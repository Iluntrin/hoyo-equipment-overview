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equipment" sheetId="1" r:id="rId1"/>
    <sheet name="characters" sheetId="2" r:id="rId2"/>
  </sheets>
  <calcPr calcId="124519" fullCalcOnLoad="1"/>
</workbook>
</file>

<file path=xl/sharedStrings.xml><?xml version="1.0" encoding="utf-8"?>
<sst xmlns="http://schemas.openxmlformats.org/spreadsheetml/2006/main" count="2670" uniqueCount="79">
  <si>
    <t>last update:</t>
  </si>
  <si>
    <t>2024-11-29</t>
  </si>
  <si>
    <t>data source:</t>
  </si>
  <si>
    <t>https://www.prydwen.gg/</t>
  </si>
  <si>
    <t>generator:</t>
  </si>
  <si>
    <t>https://github.com/Iluntrin/hoyo-equipment-overview</t>
  </si>
  <si>
    <t>Zenless Zone Zero - Drive Disk Overview</t>
  </si>
  <si>
    <t>2 (1)</t>
  </si>
  <si>
    <t>substats</t>
  </si>
  <si>
    <t>priority</t>
  </si>
  <si>
    <t>Anomaly Proficiency</t>
  </si>
  <si>
    <t>ATK%</t>
  </si>
  <si>
    <t>PEN</t>
  </si>
  <si>
    <t>ATK</t>
  </si>
  <si>
    <t>combined</t>
  </si>
  <si>
    <t/>
  </si>
  <si>
    <t>Grace</t>
  </si>
  <si>
    <t>Disk 4 (main stat)</t>
  </si>
  <si>
    <t>Disk 5 (main stat)</t>
  </si>
  <si>
    <t>Electric DMG%</t>
  </si>
  <si>
    <t>PEN Ratio%</t>
  </si>
  <si>
    <t>Disk 6 (main stat)</t>
  </si>
  <si>
    <t>Anomaly Mastery</t>
  </si>
  <si>
    <t>Chaos Jazz (4)</t>
  </si>
  <si>
    <t>CRIT Rate</t>
  </si>
  <si>
    <t>CRIT DMG</t>
  </si>
  <si>
    <t>Burnice</t>
  </si>
  <si>
    <t>Yanagi</t>
  </si>
  <si>
    <t>Lighter</t>
  </si>
  <si>
    <t>Fire DMG%</t>
  </si>
  <si>
    <t>Impact</t>
  </si>
  <si>
    <t>Chaos Jazz / Freedom Blues (1)</t>
  </si>
  <si>
    <t>Chaotic Metal (1)</t>
  </si>
  <si>
    <t>Zhu Yuan</t>
  </si>
  <si>
    <t>Ether DMG%</t>
  </si>
  <si>
    <t>Fanged Metal (5)</t>
  </si>
  <si>
    <t>Corin</t>
  </si>
  <si>
    <t>Jane Doe</t>
  </si>
  <si>
    <t>Nekomata</t>
  </si>
  <si>
    <t>Piper</t>
  </si>
  <si>
    <t>Billy</t>
  </si>
  <si>
    <t>Physical DMG%</t>
  </si>
  <si>
    <t>Freedom Blues (16)</t>
  </si>
  <si>
    <t>DEF%</t>
  </si>
  <si>
    <t>DEF</t>
  </si>
  <si>
    <t>Nicole</t>
  </si>
  <si>
    <t>Anby</t>
  </si>
  <si>
    <t>Koleda</t>
  </si>
  <si>
    <t>Lucy</t>
  </si>
  <si>
    <t>Lycaon</t>
  </si>
  <si>
    <t>Rina</t>
  </si>
  <si>
    <t>Soukaku</t>
  </si>
  <si>
    <t>Caesar</t>
  </si>
  <si>
    <t>Seth</t>
  </si>
  <si>
    <t>Ben</t>
  </si>
  <si>
    <t>Ice DMG%</t>
  </si>
  <si>
    <t>Energy Regen</t>
  </si>
  <si>
    <t>Hormone Punk (22)</t>
  </si>
  <si>
    <t>Anton</t>
  </si>
  <si>
    <t>Ellen</t>
  </si>
  <si>
    <t>Soldier 11</t>
  </si>
  <si>
    <t>Hormone Punk/Proto Punk (1)</t>
  </si>
  <si>
    <t>Inferno Metal (4)</t>
  </si>
  <si>
    <t>Polar Metal (3)</t>
  </si>
  <si>
    <t>Proto Punk (4)</t>
  </si>
  <si>
    <t>Puffer Electro (22)</t>
  </si>
  <si>
    <t>Qingyi</t>
  </si>
  <si>
    <t>Shockstar Disco (8)</t>
  </si>
  <si>
    <t>Soul Rock (1)</t>
  </si>
  <si>
    <t>Swing Jazz (13)</t>
  </si>
  <si>
    <t>Thunder Metal (7)</t>
  </si>
  <si>
    <t>Woodpecker Electro (9)</t>
  </si>
  <si>
    <t>Explanation:</t>
  </si>
  <si>
    <t>-1 show all</t>
  </si>
  <si>
    <t>-2 do not show anything for character</t>
  </si>
  <si>
    <t>0 show only priority 0 for character (=show only recommended sets)</t>
  </si>
  <si>
    <t>&lt;n&gt; show only priority 0 to &lt;n&gt; for character</t>
  </si>
  <si>
    <t>Harumasa</t>
  </si>
  <si>
    <t>Miyabi</t>
  </si>
</sst>
</file>

<file path=xl/styles.xml><?xml version="1.0" encoding="utf-8"?>
<styleSheet xmlns="http://schemas.openxmlformats.org/spreadsheetml/2006/main">
  <numFmts count="2">
    <numFmt numFmtId="164" formatCode="0.00%"/>
    <numFmt numFmtId="165" formatCode="0.#"/>
  </numFmts>
  <fonts count="6">
    <font>
      <sz val="11"/>
      <color theme="1"/>
      <name val="Calibri"/>
      <family val="2"/>
      <scheme val="minor"/>
    </font>
    <font>
      <b/>
      <sz val="15"/>
      <color theme="1"/>
      <name val="Calibri"/>
      <family val="2"/>
      <scheme val="minor"/>
    </font>
    <font>
      <u/>
      <sz val="11"/>
      <color theme="10"/>
      <name val="Calibri"/>
      <family val="2"/>
    </font>
    <font>
      <b/>
      <sz val="11"/>
      <color rgb="FFFFFFFF"/>
      <name val="Calibri"/>
      <family val="2"/>
      <scheme val="minor"/>
    </font>
    <font>
      <sz val="11"/>
      <color rgb="FFFFFFFF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666666"/>
        <bgColor indexed="64"/>
      </patternFill>
    </fill>
    <fill>
      <patternFill patternType="solid">
        <fgColor rgb="FFCCCCCC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</cellStyleXfs>
  <cellXfs count="10">
    <xf numFmtId="0" fontId="0" fillId="0" borderId="0" xfId="0"/>
    <xf numFmtId="0" fontId="1" fillId="0" borderId="0" xfId="0" applyFont="1"/>
    <xf numFmtId="0" fontId="2" fillId="0" borderId="0" xfId="1" applyAlignment="1" applyProtection="1"/>
    <xf numFmtId="0" fontId="3" fillId="2" borderId="1" xfId="0" applyFont="1" applyFill="1" applyBorder="1" applyAlignment="1">
      <alignment horizontal="center"/>
    </xf>
    <xf numFmtId="0" fontId="3" fillId="2" borderId="1" xfId="0" applyFont="1" applyFill="1" applyBorder="1"/>
    <xf numFmtId="0" fontId="0" fillId="3" borderId="1" xfId="0" applyFill="1" applyBorder="1"/>
    <xf numFmtId="164" fontId="0" fillId="3" borderId="1" xfId="0" applyNumberFormat="1" applyFill="1" applyBorder="1"/>
    <xf numFmtId="165" fontId="0" fillId="3" borderId="1" xfId="0" applyNumberFormat="1" applyFill="1" applyBorder="1"/>
    <xf numFmtId="0" fontId="4" fillId="0" borderId="0" xfId="0" applyFont="1"/>
    <xf numFmtId="0" fontId="5" fillId="0" borderId="0" xfId="0" applyFont="1"/>
  </cellXfs>
  <cellStyles count="2">
    <cellStyle name="Hyperlink" xfId="1" builtinId="8"/>
    <cellStyle name="Normal" xfId="0" builtinId="0"/>
  </cellStyles>
  <dxfs count="2">
    <dxf>
      <font>
        <b/>
        <color rgb="FF666666"/>
      </font>
      <fill>
        <patternFill>
          <bgColor rgb="FF666666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CCCCCC"/>
      </font>
      <fill>
        <patternFill>
          <bgColor rgb="FFCCCCCC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5</xdr:row>
      <xdr:rowOff>0</xdr:rowOff>
    </xdr:from>
    <xdr:to>
      <xdr:col>4</xdr:col>
      <xdr:colOff>1200150</xdr:colOff>
      <xdr:row>24</xdr:row>
      <xdr:rowOff>0</xdr:rowOff>
    </xdr:to>
    <xdr:sp macro="" textlink="">
      <xdr:nvSpPr>
        <xdr:cNvPr id="2" name="TextBox 1"/>
        <xdr:cNvSpPr txBox="1"/>
      </xdr:nvSpPr>
      <xdr:spPr>
        <a:xfrm>
          <a:off x="0" y="952500"/>
          <a:ext cx="9525000" cy="361950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rtlCol="0" anchor="t"/>
        <a:lstStyle/>
        <a:p>
          <a:endParaRPr lang="en-US" sz="1100"/>
        </a:p>
        <a:p>
          <a:r>
            <a:rPr lang="en-US" sz="1100"/>
            <a:t>The excel sheet contains multiple table groups. Each table group contains the substats and the main stats of a given drive disk set. The first data row in each table contains the combined values of each character that uses the set. </a:t>
          </a:r>
        </a:p>
        <a:p>
          <a:endParaRPr lang="en-US" sz="1100"/>
        </a:p>
        <a:p>
          <a:r>
            <a:rPr lang="en-US" sz="1100"/>
            <a:t>The values are in percentages, with the most important stat being 100%. If a subsequent stat was stated on prydwen to be &gt;= (less or equal) of the previous stat, I subtracted 1% of the previous value. If a subsequent stat was stated to be &gt; (less) important I subtracted 10% from the previous value.</a:t>
          </a:r>
        </a:p>
        <a:p>
          <a:endParaRPr lang="en-US" sz="1100"/>
        </a:p>
        <a:p>
          <a:r>
            <a:rPr lang="en-US" sz="1100"/>
            <a:t>The priority columns start with a priority of 0 (meaning this is the recommended set for the character). This value increases by 1 for each subsequent priority.2 Piece sets start their priority by 0.1 and increase them by increments of 0.1.</a:t>
          </a:r>
        </a:p>
        <a:p>
          <a:endParaRPr lang="en-US" sz="1100"/>
        </a:p>
        <a:p>
          <a:r>
            <a:rPr lang="en-US" sz="1100"/>
            <a:t>You can fine tune which characters you want to show (or how many priorities per character you want to show) on the "characters" tab/sheet. By default all characters have the value -1 next to it. -1 means that the character is shown in every set they can use. By setting this value to -2 you can completely hide this character. By setting the value to 0 only the most recommended sets are shown.(1 shows the 2 most recommended sets and so on). As I don't quite know how google docs works with changes on the sheet you most likely want to download a copy of the sheet to your local computer and change your values there.</a:t>
          </a:r>
        </a:p>
        <a:p>
          <a:endParaRPr lang="en-US" sz="1100"/>
        </a:p>
        <a:p>
          <a:r>
            <a:rPr lang="en-US" sz="1100"/>
            <a:t>Disclaimer: I don't claim that all this data is 100% correct (errors (either by me or by prydwen) can always appear or a future character might use preexisting drive disks with other stats). Please use your own judgment when trashing drive disks. I take no responsibility if you trashed a good drive disk because of the data provided in the excel sheet.</a:t>
          </a:r>
        </a:p>
        <a:p>
          <a:r>
            <a:rPr lang="en-US" sz="1100"/>
            <a:t>		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https://www.prydwen.gg/" TargetMode="External"/><Relationship Id="rId2" Type="http://schemas.openxmlformats.org/officeDocument/2006/relationships/hyperlink" Target="https://github.com/Iluntrin/hoyo-equipment-overview" TargetMode="External"/><Relationship Id="rId3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K815"/>
  <sheetViews>
    <sheetView tabSelected="1" workbookViewId="0"/>
  </sheetViews>
  <sheetFormatPr defaultRowHeight="15"/>
  <cols>
    <col min="1" max="1" width="36.42578125" bestFit="1" customWidth="1"/>
    <col min="2" max="2" width="50.140625" bestFit="1" customWidth="1"/>
    <col min="3" max="8" width="19.140625" bestFit="1" customWidth="1"/>
    <col min="9" max="10" width="12" bestFit="1" customWidth="1"/>
  </cols>
  <sheetData>
    <row r="1" spans="1:5">
      <c r="A1" s="1" t="s">
        <v>6</v>
      </c>
      <c r="B1" s="1"/>
      <c r="C1" s="1"/>
      <c r="D1" s="1"/>
      <c r="E1" s="1"/>
    </row>
    <row r="2" spans="1:5">
      <c r="A2" t="s">
        <v>0</v>
      </c>
      <c r="B2" t="s">
        <v>1</v>
      </c>
    </row>
    <row r="3" spans="1:5">
      <c r="A3" t="s">
        <v>2</v>
      </c>
      <c r="B3" s="2" t="s">
        <v>3</v>
      </c>
    </row>
    <row r="4" spans="1:5">
      <c r="A4" t="s">
        <v>4</v>
      </c>
      <c r="B4" s="2" t="s">
        <v>5</v>
      </c>
    </row>
    <row r="28" spans="1:7">
      <c r="A28" s="3" t="s">
        <v>7</v>
      </c>
    </row>
    <row r="29" spans="1:7">
      <c r="A29" s="3" t="s">
        <v>8</v>
      </c>
      <c r="B29" s="3" t="s">
        <v>9</v>
      </c>
      <c r="C29" s="3" t="s">
        <v>10</v>
      </c>
      <c r="D29" s="3" t="s">
        <v>11</v>
      </c>
      <c r="E29" s="3" t="s">
        <v>12</v>
      </c>
      <c r="F29" s="3" t="s">
        <v>13</v>
      </c>
    </row>
    <row r="30" spans="1:7">
      <c r="A30" s="4" t="s">
        <v>14</v>
      </c>
      <c r="B30" s="5" t="s">
        <v>15</v>
      </c>
      <c r="C30" s="6">
        <f>IF(SUM(G31)=0,0,SUM(C31)/SUM(G31))</f>
        <v/>
      </c>
      <c r="D30" s="6">
        <f>IF(SUM(G31)=0,0,SUM(D31)/SUM(G31))</f>
        <v/>
      </c>
      <c r="E30" s="6">
        <f>IF(SUM(G31)=0,0,SUM(E31)/SUM(G31))</f>
        <v/>
      </c>
      <c r="F30" s="6">
        <f>IF(SUM(G31)=0,0,SUM(F31)/SUM(G31))</f>
        <v/>
      </c>
    </row>
    <row r="31" spans="1:7">
      <c r="A31" s="4" t="s">
        <v>16</v>
      </c>
      <c r="B31" s="7">
        <v>2</v>
      </c>
      <c r="C31" s="6">
        <f>IF(G31=1,1.0,0)</f>
        <v/>
      </c>
      <c r="D31" s="6">
        <f>IF(G31=1,0.9,0)</f>
        <v/>
      </c>
      <c r="E31" s="6">
        <f>IF(G31=1,0.8,0)</f>
        <v/>
      </c>
      <c r="F31" s="6">
        <f>IF(G31=1,0.8,0)</f>
        <v/>
      </c>
      <c r="G31" s="8">
        <f>IF(OR(LOOKUP(A31,characters!A:A,characters!B:B)=-1, LOOKUP(A31,characters!A:A,characters!B:B)+0.1&gt;=B31),1,0)</f>
        <v/>
      </c>
    </row>
    <row r="33" spans="1:6">
      <c r="A33" s="3" t="s">
        <v>17</v>
      </c>
      <c r="B33" s="3" t="s">
        <v>9</v>
      </c>
      <c r="C33" s="3" t="s">
        <v>10</v>
      </c>
      <c r="D33" s="3" t="s">
        <v>11</v>
      </c>
    </row>
    <row r="34" spans="1:6">
      <c r="A34" s="4" t="s">
        <v>14</v>
      </c>
      <c r="B34" s="5" t="s">
        <v>15</v>
      </c>
      <c r="C34" s="6">
        <f>IF(SUM(E35)=0,0,SUM(C35)/SUM(E35))</f>
        <v/>
      </c>
      <c r="D34" s="6">
        <f>IF(SUM(E35)=0,0,SUM(D35)/SUM(E35))</f>
        <v/>
      </c>
    </row>
    <row r="35" spans="1:6">
      <c r="A35" s="4" t="s">
        <v>16</v>
      </c>
      <c r="B35" s="7">
        <v>2</v>
      </c>
      <c r="C35" s="6">
        <f>IF(E35=1,1.0,0)</f>
        <v/>
      </c>
      <c r="D35" s="6">
        <f>IF(E35=1,0.9,0)</f>
        <v/>
      </c>
      <c r="E35" s="8">
        <f>IF(OR(LOOKUP(A35,characters!A:A,characters!B:B)=-1, LOOKUP(A35,characters!A:A,characters!B:B)+0.1&gt;=B35),1,0)</f>
        <v/>
      </c>
    </row>
    <row r="37" spans="1:6">
      <c r="A37" s="3" t="s">
        <v>18</v>
      </c>
      <c r="B37" s="3" t="s">
        <v>9</v>
      </c>
      <c r="C37" s="3" t="s">
        <v>19</v>
      </c>
      <c r="D37" s="3" t="s">
        <v>20</v>
      </c>
      <c r="E37" s="3" t="s">
        <v>11</v>
      </c>
    </row>
    <row r="38" spans="1:6">
      <c r="A38" s="4" t="s">
        <v>14</v>
      </c>
      <c r="B38" s="5" t="s">
        <v>15</v>
      </c>
      <c r="C38" s="6">
        <f>IF(SUM(F39)=0,0,SUM(C39)/SUM(F39))</f>
        <v/>
      </c>
      <c r="D38" s="6">
        <f>IF(SUM(F39)=0,0,SUM(D39)/SUM(F39))</f>
        <v/>
      </c>
      <c r="E38" s="6">
        <f>IF(SUM(F39)=0,0,SUM(E39)/SUM(F39))</f>
        <v/>
      </c>
    </row>
    <row r="39" spans="1:6">
      <c r="A39" s="4" t="s">
        <v>16</v>
      </c>
      <c r="B39" s="7">
        <v>2</v>
      </c>
      <c r="C39" s="6">
        <f>IF(F39=1,1.0,0)</f>
        <v/>
      </c>
      <c r="D39" s="6">
        <f>IF(F39=1,0.9,0)</f>
        <v/>
      </c>
      <c r="E39" s="6">
        <f>IF(F39=1,0.9,0)</f>
        <v/>
      </c>
      <c r="F39" s="8">
        <f>IF(OR(LOOKUP(A39,characters!A:A,characters!B:B)=-1, LOOKUP(A39,characters!A:A,characters!B:B)+0.1&gt;=B39),1,0)</f>
        <v/>
      </c>
    </row>
    <row r="41" spans="1:6">
      <c r="A41" s="3" t="s">
        <v>21</v>
      </c>
      <c r="B41" s="3" t="s">
        <v>9</v>
      </c>
      <c r="C41" s="3" t="s">
        <v>22</v>
      </c>
      <c r="D41" s="3" t="s">
        <v>11</v>
      </c>
    </row>
    <row r="42" spans="1:6">
      <c r="A42" s="4" t="s">
        <v>14</v>
      </c>
      <c r="B42" s="5" t="s">
        <v>15</v>
      </c>
      <c r="C42" s="6">
        <f>IF(SUM(E43)=0,0,SUM(C43)/SUM(E43))</f>
        <v/>
      </c>
      <c r="D42" s="6">
        <f>IF(SUM(E43)=0,0,SUM(D43)/SUM(E43))</f>
        <v/>
      </c>
    </row>
    <row r="43" spans="1:6">
      <c r="A43" s="4" t="s">
        <v>16</v>
      </c>
      <c r="B43" s="7">
        <v>2</v>
      </c>
      <c r="C43" s="6">
        <f>IF(E43=1,1.0,0)</f>
        <v/>
      </c>
      <c r="D43" s="6">
        <f>IF(E43=1,1.0,0)</f>
        <v/>
      </c>
      <c r="E43" s="8">
        <f>IF(OR(LOOKUP(A43,characters!A:A,characters!B:B)=-1, LOOKUP(A43,characters!A:A,characters!B:B)+0.1&gt;=B43),1,0)</f>
        <v/>
      </c>
    </row>
    <row r="50" spans="1:9">
      <c r="A50" s="3" t="s">
        <v>23</v>
      </c>
    </row>
    <row r="51" spans="1:9">
      <c r="A51" s="3" t="s">
        <v>8</v>
      </c>
      <c r="B51" s="3" t="s">
        <v>9</v>
      </c>
      <c r="C51" s="3" t="s">
        <v>10</v>
      </c>
      <c r="D51" s="3" t="s">
        <v>11</v>
      </c>
      <c r="E51" s="3" t="s">
        <v>13</v>
      </c>
      <c r="F51" s="3" t="s">
        <v>12</v>
      </c>
      <c r="G51" s="3" t="s">
        <v>24</v>
      </c>
      <c r="H51" s="3" t="s">
        <v>25</v>
      </c>
    </row>
    <row r="52" spans="1:9">
      <c r="A52" s="4" t="s">
        <v>14</v>
      </c>
      <c r="B52" s="5" t="s">
        <v>15</v>
      </c>
      <c r="C52" s="6">
        <f>IF(SUM(I53:I56)=0,0,SUM(C53:C56)/SUM(I53:I56))</f>
        <v/>
      </c>
      <c r="D52" s="6">
        <f>IF(SUM(I53:I56)=0,0,SUM(D53:D56)/SUM(I53:I56))</f>
        <v/>
      </c>
      <c r="E52" s="6">
        <f>IF(SUM(I53:I56)=0,0,SUM(E53:E56)/SUM(I53:I56))</f>
        <v/>
      </c>
      <c r="F52" s="6">
        <f>IF(SUM(I53:I56)=0,0,SUM(F53:F56)/SUM(I53:I56))</f>
        <v/>
      </c>
      <c r="G52" s="6">
        <f>IF(SUM(I53:I56)=0,0,SUM(G53:G56)/SUM(I53:I56))</f>
        <v/>
      </c>
      <c r="H52" s="6">
        <f>IF(SUM(I53:I56)=0,0,SUM(H53:H56)/SUM(I53:I56))</f>
        <v/>
      </c>
    </row>
    <row r="53" spans="1:9">
      <c r="A53" s="4" t="s">
        <v>26</v>
      </c>
      <c r="B53" s="7">
        <v>0</v>
      </c>
      <c r="C53" s="6">
        <f>IF(I53=1,1.0,0)</f>
        <v/>
      </c>
      <c r="D53" s="6">
        <f>IF(I53=1,0.9,0)</f>
        <v/>
      </c>
      <c r="E53" s="6">
        <f>IF(I53=1,0.8,0)</f>
        <v/>
      </c>
      <c r="F53" s="6">
        <f>IF(I53=1,0.8,0)</f>
        <v/>
      </c>
      <c r="G53" s="5" t="s">
        <v>15</v>
      </c>
      <c r="H53" s="5" t="s">
        <v>15</v>
      </c>
      <c r="I53" s="8">
        <f>IF(OR(LOOKUP(A53,characters!A:A,characters!B:B)=-1, LOOKUP(A53,characters!A:A,characters!B:B)+0.1&gt;=B53),1,0)</f>
        <v/>
      </c>
    </row>
    <row r="54" spans="1:9">
      <c r="A54" s="4" t="s">
        <v>27</v>
      </c>
      <c r="B54" s="7">
        <v>0</v>
      </c>
      <c r="C54" s="6">
        <f>IF(I54=1,1.0,0)</f>
        <v/>
      </c>
      <c r="D54" s="6">
        <f>IF(I54=1,0.9,0)</f>
        <v/>
      </c>
      <c r="E54" s="6">
        <f>IF(I54=1,0.8,0)</f>
        <v/>
      </c>
      <c r="F54" s="6">
        <f>IF(I54=1,0.8,0)</f>
        <v/>
      </c>
      <c r="G54" s="5" t="s">
        <v>15</v>
      </c>
      <c r="H54" s="5" t="s">
        <v>15</v>
      </c>
      <c r="I54" s="8">
        <f>IF(OR(LOOKUP(A54,characters!A:A,characters!B:B)=-1, LOOKUP(A54,characters!A:A,characters!B:B)+0.1&gt;=B54),1,0)</f>
        <v/>
      </c>
    </row>
    <row r="55" spans="1:9">
      <c r="A55" s="4" t="s">
        <v>28</v>
      </c>
      <c r="B55" s="7">
        <v>0.6</v>
      </c>
      <c r="C55" s="6">
        <f>IF(I55=1,1.0,0)</f>
        <v/>
      </c>
      <c r="D55" s="6">
        <f>IF(I55=1,1.0,0)</f>
        <v/>
      </c>
      <c r="E55" s="6">
        <f>IF(I55=1,0.9,0)</f>
        <v/>
      </c>
      <c r="F55" s="6">
        <f>IF(I55=1,0.8,0)</f>
        <v/>
      </c>
      <c r="G55" s="6">
        <f>IF(I55=1,1.0,0)</f>
        <v/>
      </c>
      <c r="H55" s="6">
        <f>IF(I55=1,1.0,0)</f>
        <v/>
      </c>
      <c r="I55" s="8">
        <f>IF(OR(LOOKUP(A55,characters!A:A,characters!B:B)=-1, LOOKUP(A55,characters!A:A,characters!B:B)+0.1&gt;=B55),1,0)</f>
        <v/>
      </c>
    </row>
    <row r="56" spans="1:9">
      <c r="A56" s="4" t="s">
        <v>16</v>
      </c>
      <c r="B56" s="7">
        <v>1</v>
      </c>
      <c r="C56" s="6">
        <f>IF(I56=1,1.0,0)</f>
        <v/>
      </c>
      <c r="D56" s="6">
        <f>IF(I56=1,0.9,0)</f>
        <v/>
      </c>
      <c r="E56" s="6">
        <f>IF(I56=1,0.8,0)</f>
        <v/>
      </c>
      <c r="F56" s="6">
        <f>IF(I56=1,0.8,0)</f>
        <v/>
      </c>
      <c r="G56" s="5" t="s">
        <v>15</v>
      </c>
      <c r="H56" s="5" t="s">
        <v>15</v>
      </c>
      <c r="I56" s="8">
        <f>IF(OR(LOOKUP(A56,characters!A:A,characters!B:B)=-1, LOOKUP(A56,characters!A:A,characters!B:B)+0.1&gt;=B56),1,0)</f>
        <v/>
      </c>
    </row>
    <row r="58" spans="1:9">
      <c r="A58" s="3" t="s">
        <v>17</v>
      </c>
      <c r="B58" s="3" t="s">
        <v>9</v>
      </c>
      <c r="C58" s="3" t="s">
        <v>10</v>
      </c>
      <c r="D58" s="3" t="s">
        <v>11</v>
      </c>
      <c r="E58" s="3" t="s">
        <v>24</v>
      </c>
      <c r="F58" s="3" t="s">
        <v>25</v>
      </c>
    </row>
    <row r="59" spans="1:9">
      <c r="A59" s="4" t="s">
        <v>14</v>
      </c>
      <c r="B59" s="5" t="s">
        <v>15</v>
      </c>
      <c r="C59" s="6">
        <f>IF(SUM(G60:G63)=0,0,SUM(C60:C63)/SUM(G60:G63))</f>
        <v/>
      </c>
      <c r="D59" s="6">
        <f>IF(SUM(G60:G63)=0,0,SUM(D60:D63)/SUM(G60:G63))</f>
        <v/>
      </c>
      <c r="E59" s="6">
        <f>IF(SUM(G60:G63)=0,0,SUM(E60:E63)/SUM(G60:G63))</f>
        <v/>
      </c>
      <c r="F59" s="6">
        <f>IF(SUM(G60:G63)=0,0,SUM(F60:F63)/SUM(G60:G63))</f>
        <v/>
      </c>
    </row>
    <row r="60" spans="1:9">
      <c r="A60" s="4" t="s">
        <v>26</v>
      </c>
      <c r="B60" s="7">
        <v>0</v>
      </c>
      <c r="C60" s="6">
        <f>IF(G60=1,1.0,0)</f>
        <v/>
      </c>
      <c r="D60" s="5" t="s">
        <v>15</v>
      </c>
      <c r="E60" s="5" t="s">
        <v>15</v>
      </c>
      <c r="F60" s="5" t="s">
        <v>15</v>
      </c>
      <c r="G60" s="8">
        <f>IF(OR(LOOKUP(A60,characters!A:A,characters!B:B)=-1, LOOKUP(A60,characters!A:A,characters!B:B)+0.1&gt;=B60),1,0)</f>
        <v/>
      </c>
    </row>
    <row r="61" spans="1:9">
      <c r="A61" s="4" t="s">
        <v>16</v>
      </c>
      <c r="B61" s="7">
        <v>1</v>
      </c>
      <c r="C61" s="6">
        <f>IF(G61=1,1.0,0)</f>
        <v/>
      </c>
      <c r="D61" s="6">
        <f>IF(G61=1,0.9,0)</f>
        <v/>
      </c>
      <c r="E61" s="5" t="s">
        <v>15</v>
      </c>
      <c r="F61" s="5" t="s">
        <v>15</v>
      </c>
      <c r="G61" s="8">
        <f>IF(OR(LOOKUP(A61,characters!A:A,characters!B:B)=-1, LOOKUP(A61,characters!A:A,characters!B:B)+0.1&gt;=B61),1,0)</f>
        <v/>
      </c>
    </row>
    <row r="62" spans="1:9">
      <c r="A62" s="4" t="s">
        <v>28</v>
      </c>
      <c r="B62" s="7">
        <v>0.6</v>
      </c>
      <c r="C62" s="6">
        <f>IF(G62=1,0.99,0)</f>
        <v/>
      </c>
      <c r="D62" s="5" t="s">
        <v>15</v>
      </c>
      <c r="E62" s="6">
        <f>IF(G62=1,1.0,0)</f>
        <v/>
      </c>
      <c r="F62" s="6">
        <f>IF(G62=1,0.99,0)</f>
        <v/>
      </c>
      <c r="G62" s="8">
        <f>IF(OR(LOOKUP(A62,characters!A:A,characters!B:B)=-1, LOOKUP(A62,characters!A:A,characters!B:B)+0.1&gt;=B62),1,0)</f>
        <v/>
      </c>
    </row>
    <row r="63" spans="1:9">
      <c r="A63" s="4" t="s">
        <v>27</v>
      </c>
      <c r="B63" s="7">
        <v>0</v>
      </c>
      <c r="C63" s="6">
        <f>IF(G63=1,1.0,0)</f>
        <v/>
      </c>
      <c r="D63" s="5" t="s">
        <v>15</v>
      </c>
      <c r="E63" s="5" t="s">
        <v>15</v>
      </c>
      <c r="F63" s="5" t="s">
        <v>15</v>
      </c>
      <c r="G63" s="8">
        <f>IF(OR(LOOKUP(A63,characters!A:A,characters!B:B)=-1, LOOKUP(A63,characters!A:A,characters!B:B)+0.1&gt;=B63),1,0)</f>
        <v/>
      </c>
    </row>
    <row r="65" spans="1:7">
      <c r="A65" s="3" t="s">
        <v>18</v>
      </c>
      <c r="B65" s="3" t="s">
        <v>9</v>
      </c>
      <c r="C65" s="3" t="s">
        <v>29</v>
      </c>
      <c r="D65" s="3" t="s">
        <v>20</v>
      </c>
      <c r="E65" s="3" t="s">
        <v>19</v>
      </c>
      <c r="F65" s="3" t="s">
        <v>11</v>
      </c>
    </row>
    <row r="66" spans="1:7">
      <c r="A66" s="4" t="s">
        <v>14</v>
      </c>
      <c r="B66" s="5" t="s">
        <v>15</v>
      </c>
      <c r="C66" s="6">
        <f>IF(SUM(G67:G70)=0,0,SUM(C67:C70)/SUM(G67:G70))</f>
        <v/>
      </c>
      <c r="D66" s="6">
        <f>IF(SUM(G67:G70)=0,0,SUM(D67:D70)/SUM(G67:G70))</f>
        <v/>
      </c>
      <c r="E66" s="6">
        <f>IF(SUM(G67:G70)=0,0,SUM(E67:E70)/SUM(G67:G70))</f>
        <v/>
      </c>
      <c r="F66" s="6">
        <f>IF(SUM(G67:G70)=0,0,SUM(F67:F70)/SUM(G67:G70))</f>
        <v/>
      </c>
    </row>
    <row r="67" spans="1:7">
      <c r="A67" s="4" t="s">
        <v>26</v>
      </c>
      <c r="B67" s="7">
        <v>0</v>
      </c>
      <c r="C67" s="6">
        <f>IF(G67=1,1.0,0)</f>
        <v/>
      </c>
      <c r="D67" s="6">
        <f>IF(G67=1,0.99,0)</f>
        <v/>
      </c>
      <c r="E67" s="5" t="s">
        <v>15</v>
      </c>
      <c r="F67" s="5" t="s">
        <v>15</v>
      </c>
      <c r="G67" s="8">
        <f>IF(OR(LOOKUP(A67,characters!A:A,characters!B:B)=-1, LOOKUP(A67,characters!A:A,characters!B:B)+0.1&gt;=B67),1,0)</f>
        <v/>
      </c>
    </row>
    <row r="68" spans="1:7">
      <c r="A68" s="4" t="s">
        <v>16</v>
      </c>
      <c r="B68" s="7">
        <v>1</v>
      </c>
      <c r="C68" s="5" t="s">
        <v>15</v>
      </c>
      <c r="D68" s="6">
        <f>IF(G68=1,0.9,0)</f>
        <v/>
      </c>
      <c r="E68" s="6">
        <f>IF(G68=1,1.0,0)</f>
        <v/>
      </c>
      <c r="F68" s="6">
        <f>IF(G68=1,0.9,0)</f>
        <v/>
      </c>
      <c r="G68" s="8">
        <f>IF(OR(LOOKUP(A68,characters!A:A,characters!B:B)=-1, LOOKUP(A68,characters!A:A,characters!B:B)+0.1&gt;=B68),1,0)</f>
        <v/>
      </c>
    </row>
    <row r="69" spans="1:7">
      <c r="A69" s="4" t="s">
        <v>28</v>
      </c>
      <c r="B69" s="7">
        <v>0.6</v>
      </c>
      <c r="C69" s="6">
        <f>IF(G69=1,1.0,0)</f>
        <v/>
      </c>
      <c r="D69" s="6">
        <f>IF(G69=1,1.0,0)</f>
        <v/>
      </c>
      <c r="E69" s="5" t="s">
        <v>15</v>
      </c>
      <c r="F69" s="6">
        <f>IF(G69=1,1.0,0)</f>
        <v/>
      </c>
      <c r="G69" s="8">
        <f>IF(OR(LOOKUP(A69,characters!A:A,characters!B:B)=-1, LOOKUP(A69,characters!A:A,characters!B:B)+0.1&gt;=B69),1,0)</f>
        <v/>
      </c>
    </row>
    <row r="70" spans="1:7">
      <c r="A70" s="4" t="s">
        <v>27</v>
      </c>
      <c r="B70" s="7">
        <v>0</v>
      </c>
      <c r="C70" s="5" t="s">
        <v>15</v>
      </c>
      <c r="D70" s="6">
        <f>IF(G70=1,0.99,0)</f>
        <v/>
      </c>
      <c r="E70" s="6">
        <f>IF(G70=1,1.0,0)</f>
        <v/>
      </c>
      <c r="F70" s="5" t="s">
        <v>15</v>
      </c>
      <c r="G70" s="8">
        <f>IF(OR(LOOKUP(A70,characters!A:A,characters!B:B)=-1, LOOKUP(A70,characters!A:A,characters!B:B)+0.1&gt;=B70),1,0)</f>
        <v/>
      </c>
    </row>
    <row r="72" spans="1:7">
      <c r="A72" s="3" t="s">
        <v>21</v>
      </c>
      <c r="B72" s="3" t="s">
        <v>9</v>
      </c>
      <c r="C72" s="3" t="s">
        <v>11</v>
      </c>
      <c r="D72" s="3" t="s">
        <v>22</v>
      </c>
      <c r="E72" s="3" t="s">
        <v>30</v>
      </c>
    </row>
    <row r="73" spans="1:7">
      <c r="A73" s="4" t="s">
        <v>14</v>
      </c>
      <c r="B73" s="5" t="s">
        <v>15</v>
      </c>
      <c r="C73" s="6">
        <f>IF(SUM(F74:F77)=0,0,SUM(C74:C77)/SUM(F74:F77))</f>
        <v/>
      </c>
      <c r="D73" s="6">
        <f>IF(SUM(F74:F77)=0,0,SUM(D74:D77)/SUM(F74:F77))</f>
        <v/>
      </c>
      <c r="E73" s="6">
        <f>IF(SUM(F74:F77)=0,0,SUM(E74:E77)/SUM(F74:F77))</f>
        <v/>
      </c>
    </row>
    <row r="74" spans="1:7">
      <c r="A74" s="4" t="s">
        <v>26</v>
      </c>
      <c r="B74" s="7">
        <v>0</v>
      </c>
      <c r="C74" s="6">
        <f>IF(F74=1,1.0,0)</f>
        <v/>
      </c>
      <c r="D74" s="6">
        <f>IF(F74=1,1.0,0)</f>
        <v/>
      </c>
      <c r="E74" s="5" t="s">
        <v>15</v>
      </c>
      <c r="F74" s="8">
        <f>IF(OR(LOOKUP(A74,characters!A:A,characters!B:B)=-1, LOOKUP(A74,characters!A:A,characters!B:B)+0.1&gt;=B74),1,0)</f>
        <v/>
      </c>
    </row>
    <row r="75" spans="1:7">
      <c r="A75" s="4" t="s">
        <v>16</v>
      </c>
      <c r="B75" s="7">
        <v>1</v>
      </c>
      <c r="C75" s="6">
        <f>IF(F75=1,1.0,0)</f>
        <v/>
      </c>
      <c r="D75" s="6">
        <f>IF(F75=1,1.0,0)</f>
        <v/>
      </c>
      <c r="E75" s="5" t="s">
        <v>15</v>
      </c>
      <c r="F75" s="8">
        <f>IF(OR(LOOKUP(A75,characters!A:A,characters!B:B)=-1, LOOKUP(A75,characters!A:A,characters!B:B)+0.1&gt;=B75),1,0)</f>
        <v/>
      </c>
    </row>
    <row r="76" spans="1:7">
      <c r="A76" s="4" t="s">
        <v>28</v>
      </c>
      <c r="B76" s="7">
        <v>0.6</v>
      </c>
      <c r="C76" s="5" t="s">
        <v>15</v>
      </c>
      <c r="D76" s="5" t="s">
        <v>15</v>
      </c>
      <c r="E76" s="6">
        <f>IF(F76=1,1.0,0)</f>
        <v/>
      </c>
      <c r="F76" s="8">
        <f>IF(OR(LOOKUP(A76,characters!A:A,characters!B:B)=-1, LOOKUP(A76,characters!A:A,characters!B:B)+0.1&gt;=B76),1,0)</f>
        <v/>
      </c>
    </row>
    <row r="77" spans="1:7">
      <c r="A77" s="4" t="s">
        <v>27</v>
      </c>
      <c r="B77" s="7">
        <v>0</v>
      </c>
      <c r="C77" s="6">
        <f>IF(F77=1,1.0,0)</f>
        <v/>
      </c>
      <c r="D77" s="6">
        <f>IF(F77=1,1.0,0)</f>
        <v/>
      </c>
      <c r="E77" s="5" t="s">
        <v>15</v>
      </c>
      <c r="F77" s="8">
        <f>IF(OR(LOOKUP(A77,characters!A:A,characters!B:B)=-1, LOOKUP(A77,characters!A:A,characters!B:B)+0.1&gt;=B77),1,0)</f>
        <v/>
      </c>
    </row>
    <row r="84" spans="1:7">
      <c r="A84" s="3" t="s">
        <v>31</v>
      </c>
    </row>
    <row r="85" spans="1:7">
      <c r="A85" s="3" t="s">
        <v>8</v>
      </c>
      <c r="B85" s="3" t="s">
        <v>9</v>
      </c>
      <c r="C85" s="3" t="s">
        <v>10</v>
      </c>
      <c r="D85" s="3" t="s">
        <v>11</v>
      </c>
      <c r="E85" s="3" t="s">
        <v>12</v>
      </c>
      <c r="F85" s="3" t="s">
        <v>13</v>
      </c>
    </row>
    <row r="86" spans="1:7">
      <c r="A86" s="4" t="s">
        <v>14</v>
      </c>
      <c r="B86" s="5" t="s">
        <v>15</v>
      </c>
      <c r="C86" s="6">
        <f>IF(SUM(G87)=0,0,SUM(C87)/SUM(G87))</f>
        <v/>
      </c>
      <c r="D86" s="6">
        <f>IF(SUM(G87)=0,0,SUM(D87)/SUM(G87))</f>
        <v/>
      </c>
      <c r="E86" s="6">
        <f>IF(SUM(G87)=0,0,SUM(E87)/SUM(G87))</f>
        <v/>
      </c>
      <c r="F86" s="6">
        <f>IF(SUM(G87)=0,0,SUM(F87)/SUM(G87))</f>
        <v/>
      </c>
    </row>
    <row r="87" spans="1:7">
      <c r="A87" s="4" t="s">
        <v>27</v>
      </c>
      <c r="B87" s="7">
        <v>1.1</v>
      </c>
      <c r="C87" s="6">
        <f>IF(G87=1,1.0,0)</f>
        <v/>
      </c>
      <c r="D87" s="6">
        <f>IF(G87=1,0.9,0)</f>
        <v/>
      </c>
      <c r="E87" s="6">
        <f>IF(G87=1,0.8,0)</f>
        <v/>
      </c>
      <c r="F87" s="6">
        <f>IF(G87=1,0.8,0)</f>
        <v/>
      </c>
      <c r="G87" s="8">
        <f>IF(OR(LOOKUP(A87,characters!A:A,characters!B:B)=-1, LOOKUP(A87,characters!A:A,characters!B:B)+0.1&gt;=B87),1,0)</f>
        <v/>
      </c>
    </row>
    <row r="89" spans="1:7">
      <c r="A89" s="3" t="s">
        <v>17</v>
      </c>
      <c r="B89" s="3" t="s">
        <v>9</v>
      </c>
      <c r="C89" s="3" t="s">
        <v>10</v>
      </c>
    </row>
    <row r="90" spans="1:7">
      <c r="A90" s="4" t="s">
        <v>14</v>
      </c>
      <c r="B90" s="5" t="s">
        <v>15</v>
      </c>
      <c r="C90" s="6">
        <f>IF(SUM(D91)=0,0,SUM(C91)/SUM(D91))</f>
        <v/>
      </c>
    </row>
    <row r="91" spans="1:7">
      <c r="A91" s="4" t="s">
        <v>27</v>
      </c>
      <c r="B91" s="7">
        <v>1.1</v>
      </c>
      <c r="C91" s="6">
        <f>IF(D91=1,1.0,0)</f>
        <v/>
      </c>
      <c r="D91" s="8">
        <f>IF(OR(LOOKUP(A91,characters!A:A,characters!B:B)=-1, LOOKUP(A91,characters!A:A,characters!B:B)+0.1&gt;=B91),1,0)</f>
        <v/>
      </c>
    </row>
    <row r="93" spans="1:7">
      <c r="A93" s="3" t="s">
        <v>18</v>
      </c>
      <c r="B93" s="3" t="s">
        <v>9</v>
      </c>
      <c r="C93" s="3" t="s">
        <v>19</v>
      </c>
      <c r="D93" s="3" t="s">
        <v>20</v>
      </c>
    </row>
    <row r="94" spans="1:7">
      <c r="A94" s="4" t="s">
        <v>14</v>
      </c>
      <c r="B94" s="5" t="s">
        <v>15</v>
      </c>
      <c r="C94" s="6">
        <f>IF(SUM(E95)=0,0,SUM(C95)/SUM(E95))</f>
        <v/>
      </c>
      <c r="D94" s="6">
        <f>IF(SUM(E95)=0,0,SUM(D95)/SUM(E95))</f>
        <v/>
      </c>
    </row>
    <row r="95" spans="1:7">
      <c r="A95" s="4" t="s">
        <v>27</v>
      </c>
      <c r="B95" s="7">
        <v>1.1</v>
      </c>
      <c r="C95" s="6">
        <f>IF(E95=1,1.0,0)</f>
        <v/>
      </c>
      <c r="D95" s="6">
        <f>IF(E95=1,0.99,0)</f>
        <v/>
      </c>
      <c r="E95" s="8">
        <f>IF(OR(LOOKUP(A95,characters!A:A,characters!B:B)=-1, LOOKUP(A95,characters!A:A,characters!B:B)+0.1&gt;=B95),1,0)</f>
        <v/>
      </c>
    </row>
    <row r="97" spans="1:8">
      <c r="A97" s="3" t="s">
        <v>21</v>
      </c>
      <c r="B97" s="3" t="s">
        <v>9</v>
      </c>
      <c r="C97" s="3" t="s">
        <v>11</v>
      </c>
      <c r="D97" s="3" t="s">
        <v>22</v>
      </c>
    </row>
    <row r="98" spans="1:8">
      <c r="A98" s="4" t="s">
        <v>14</v>
      </c>
      <c r="B98" s="5" t="s">
        <v>15</v>
      </c>
      <c r="C98" s="6">
        <f>IF(SUM(E99)=0,0,SUM(C99)/SUM(E99))</f>
        <v/>
      </c>
      <c r="D98" s="6">
        <f>IF(SUM(E99)=0,0,SUM(D99)/SUM(E99))</f>
        <v/>
      </c>
    </row>
    <row r="99" spans="1:8">
      <c r="A99" s="4" t="s">
        <v>27</v>
      </c>
      <c r="B99" s="7">
        <v>1.1</v>
      </c>
      <c r="C99" s="6">
        <f>IF(E99=1,1.0,0)</f>
        <v/>
      </c>
      <c r="D99" s="6">
        <f>IF(E99=1,1.0,0)</f>
        <v/>
      </c>
      <c r="E99" s="8">
        <f>IF(OR(LOOKUP(A99,characters!A:A,characters!B:B)=-1, LOOKUP(A99,characters!A:A,characters!B:B)+0.1&gt;=B99),1,0)</f>
        <v/>
      </c>
    </row>
    <row r="106" spans="1:8">
      <c r="A106" s="3" t="s">
        <v>32</v>
      </c>
    </row>
    <row r="107" spans="1:8">
      <c r="A107" s="3" t="s">
        <v>8</v>
      </c>
      <c r="B107" s="3" t="s">
        <v>9</v>
      </c>
      <c r="C107" s="3" t="s">
        <v>24</v>
      </c>
      <c r="D107" s="3" t="s">
        <v>25</v>
      </c>
      <c r="E107" s="3" t="s">
        <v>11</v>
      </c>
      <c r="F107" s="3" t="s">
        <v>12</v>
      </c>
      <c r="G107" s="3" t="s">
        <v>13</v>
      </c>
    </row>
    <row r="108" spans="1:8">
      <c r="A108" s="4" t="s">
        <v>14</v>
      </c>
      <c r="B108" s="5" t="s">
        <v>15</v>
      </c>
      <c r="C108" s="6">
        <f>IF(SUM(H109)=0,0,SUM(C109)/SUM(H109))</f>
        <v/>
      </c>
      <c r="D108" s="6">
        <f>IF(SUM(H109)=0,0,SUM(D109)/SUM(H109))</f>
        <v/>
      </c>
      <c r="E108" s="6">
        <f>IF(SUM(H109)=0,0,SUM(E109)/SUM(H109))</f>
        <v/>
      </c>
      <c r="F108" s="6">
        <f>IF(SUM(H109)=0,0,SUM(F109)/SUM(H109))</f>
        <v/>
      </c>
      <c r="G108" s="6">
        <f>IF(SUM(H109)=0,0,SUM(G109)/SUM(H109))</f>
        <v/>
      </c>
    </row>
    <row r="109" spans="1:8">
      <c r="A109" s="4" t="s">
        <v>33</v>
      </c>
      <c r="B109" s="7">
        <v>0</v>
      </c>
      <c r="C109" s="6">
        <f>IF(H109=1,1.0,0)</f>
        <v/>
      </c>
      <c r="D109" s="6">
        <f>IF(H109=1,1.0,0)</f>
        <v/>
      </c>
      <c r="E109" s="6">
        <f>IF(H109=1,0.9,0)</f>
        <v/>
      </c>
      <c r="F109" s="6">
        <f>IF(H109=1,0.8,0)</f>
        <v/>
      </c>
      <c r="G109" s="6">
        <f>IF(H109=1,0.8,0)</f>
        <v/>
      </c>
      <c r="H109" s="8">
        <f>IF(OR(LOOKUP(A109,characters!A:A,characters!B:B)=-1, LOOKUP(A109,characters!A:A,characters!B:B)+0.1&gt;=B109),1,0)</f>
        <v/>
      </c>
    </row>
    <row r="111" spans="1:8">
      <c r="A111" s="3" t="s">
        <v>17</v>
      </c>
      <c r="B111" s="3" t="s">
        <v>9</v>
      </c>
      <c r="C111" s="3" t="s">
        <v>25</v>
      </c>
      <c r="D111" s="3" t="s">
        <v>24</v>
      </c>
    </row>
    <row r="112" spans="1:8">
      <c r="A112" s="4" t="s">
        <v>14</v>
      </c>
      <c r="B112" s="5" t="s">
        <v>15</v>
      </c>
      <c r="C112" s="6">
        <f>IF(SUM(E113)=0,0,SUM(C113)/SUM(E113))</f>
        <v/>
      </c>
      <c r="D112" s="6">
        <f>IF(SUM(E113)=0,0,SUM(D113)/SUM(E113))</f>
        <v/>
      </c>
    </row>
    <row r="113" spans="1:6">
      <c r="A113" s="4" t="s">
        <v>33</v>
      </c>
      <c r="B113" s="7">
        <v>0</v>
      </c>
      <c r="C113" s="6">
        <f>IF(E113=1,1.0,0)</f>
        <v/>
      </c>
      <c r="D113" s="6">
        <f>IF(E113=1,1.0,0)</f>
        <v/>
      </c>
      <c r="E113" s="8">
        <f>IF(OR(LOOKUP(A113,characters!A:A,characters!B:B)=-1, LOOKUP(A113,characters!A:A,characters!B:B)+0.1&gt;=B113),1,0)</f>
        <v/>
      </c>
    </row>
    <row r="115" spans="1:6">
      <c r="A115" s="3" t="s">
        <v>18</v>
      </c>
      <c r="B115" s="3" t="s">
        <v>9</v>
      </c>
      <c r="C115" s="3" t="s">
        <v>34</v>
      </c>
      <c r="D115" s="3" t="s">
        <v>11</v>
      </c>
      <c r="E115" s="3" t="s">
        <v>20</v>
      </c>
    </row>
    <row r="116" spans="1:6">
      <c r="A116" s="4" t="s">
        <v>14</v>
      </c>
      <c r="B116" s="5" t="s">
        <v>15</v>
      </c>
      <c r="C116" s="6">
        <f>IF(SUM(F117)=0,0,SUM(C117)/SUM(F117))</f>
        <v/>
      </c>
      <c r="D116" s="6">
        <f>IF(SUM(F117)=0,0,SUM(D117)/SUM(F117))</f>
        <v/>
      </c>
      <c r="E116" s="6">
        <f>IF(SUM(F117)=0,0,SUM(E117)/SUM(F117))</f>
        <v/>
      </c>
    </row>
    <row r="117" spans="1:6">
      <c r="A117" s="4" t="s">
        <v>33</v>
      </c>
      <c r="B117" s="7">
        <v>0</v>
      </c>
      <c r="C117" s="6">
        <f>IF(F117=1,1.0,0)</f>
        <v/>
      </c>
      <c r="D117" s="6">
        <f>IF(F117=1,0.9,0)</f>
        <v/>
      </c>
      <c r="E117" s="6">
        <f>IF(F117=1,0.9,0)</f>
        <v/>
      </c>
      <c r="F117" s="8">
        <f>IF(OR(LOOKUP(A117,characters!A:A,characters!B:B)=-1, LOOKUP(A117,characters!A:A,characters!B:B)+0.1&gt;=B117),1,0)</f>
        <v/>
      </c>
    </row>
    <row r="119" spans="1:6">
      <c r="A119" s="3" t="s">
        <v>21</v>
      </c>
      <c r="B119" s="3" t="s">
        <v>9</v>
      </c>
      <c r="C119" s="3" t="s">
        <v>11</v>
      </c>
    </row>
    <row r="120" spans="1:6">
      <c r="A120" s="4" t="s">
        <v>14</v>
      </c>
      <c r="B120" s="5" t="s">
        <v>15</v>
      </c>
      <c r="C120" s="6">
        <f>IF(SUM(D121)=0,0,SUM(C121)/SUM(D121))</f>
        <v/>
      </c>
    </row>
    <row r="121" spans="1:6">
      <c r="A121" s="4" t="s">
        <v>33</v>
      </c>
      <c r="B121" s="7">
        <v>0</v>
      </c>
      <c r="C121" s="6">
        <f>IF(D121=1,1.0,0)</f>
        <v/>
      </c>
      <c r="D121" s="8">
        <f>IF(OR(LOOKUP(A121,characters!A:A,characters!B:B)=-1, LOOKUP(A121,characters!A:A,characters!B:B)+0.1&gt;=B121),1,0)</f>
        <v/>
      </c>
    </row>
    <row r="128" spans="1:6">
      <c r="A128" s="3" t="s">
        <v>35</v>
      </c>
    </row>
    <row r="129" spans="1:9">
      <c r="A129" s="3" t="s">
        <v>8</v>
      </c>
      <c r="B129" s="3" t="s">
        <v>9</v>
      </c>
      <c r="C129" s="3" t="s">
        <v>11</v>
      </c>
      <c r="D129" s="3" t="s">
        <v>12</v>
      </c>
      <c r="E129" s="3" t="s">
        <v>13</v>
      </c>
      <c r="F129" s="3" t="s">
        <v>24</v>
      </c>
      <c r="G129" s="3" t="s">
        <v>25</v>
      </c>
      <c r="H129" s="3" t="s">
        <v>10</v>
      </c>
    </row>
    <row r="130" spans="1:9">
      <c r="A130" s="4" t="s">
        <v>14</v>
      </c>
      <c r="B130" s="5" t="s">
        <v>15</v>
      </c>
      <c r="C130" s="6">
        <f>IF(SUM(I131:I135)=0,0,SUM(C131:C135)/SUM(I131:I135))</f>
        <v/>
      </c>
      <c r="D130" s="6">
        <f>IF(SUM(I131:I135)=0,0,SUM(D131:D135)/SUM(I131:I135))</f>
        <v/>
      </c>
      <c r="E130" s="6">
        <f>IF(SUM(I131:I135)=0,0,SUM(E131:E135)/SUM(I131:I135))</f>
        <v/>
      </c>
      <c r="F130" s="6">
        <f>IF(SUM(I131:I135)=0,0,SUM(F131:F135)/SUM(I131:I135))</f>
        <v/>
      </c>
      <c r="G130" s="6">
        <f>IF(SUM(I131:I135)=0,0,SUM(G131:G135)/SUM(I131:I135))</f>
        <v/>
      </c>
      <c r="H130" s="6">
        <f>IF(SUM(I131:I135)=0,0,SUM(H131:H135)/SUM(I131:I135))</f>
        <v/>
      </c>
    </row>
    <row r="131" spans="1:9">
      <c r="A131" s="4" t="s">
        <v>36</v>
      </c>
      <c r="B131" s="7">
        <v>0</v>
      </c>
      <c r="C131" s="6">
        <f>IF(I131=1,0.9,0)</f>
        <v/>
      </c>
      <c r="D131" s="6">
        <f>IF(I131=1,0.8,0)</f>
        <v/>
      </c>
      <c r="E131" s="6">
        <f>IF(I131=1,0.8,0)</f>
        <v/>
      </c>
      <c r="F131" s="6">
        <f>IF(I131=1,1.0,0)</f>
        <v/>
      </c>
      <c r="G131" s="6">
        <f>IF(I131=1,1.0,0)</f>
        <v/>
      </c>
      <c r="H131" s="5" t="s">
        <v>15</v>
      </c>
      <c r="I131" s="8">
        <f>IF(OR(LOOKUP(A131,characters!A:A,characters!B:B)=-1, LOOKUP(A131,characters!A:A,characters!B:B)+0.1&gt;=B131),1,0)</f>
        <v/>
      </c>
    </row>
    <row r="132" spans="1:9">
      <c r="A132" s="4" t="s">
        <v>37</v>
      </c>
      <c r="B132" s="7">
        <v>0</v>
      </c>
      <c r="C132" s="6">
        <f>IF(I132=1,0.9,0)</f>
        <v/>
      </c>
      <c r="D132" s="6">
        <f>IF(I132=1,0.8,0)</f>
        <v/>
      </c>
      <c r="E132" s="6">
        <f>IF(I132=1,0.8,0)</f>
        <v/>
      </c>
      <c r="F132" s="5" t="s">
        <v>15</v>
      </c>
      <c r="G132" s="5" t="s">
        <v>15</v>
      </c>
      <c r="H132" s="6">
        <f>IF(I132=1,1.0,0)</f>
        <v/>
      </c>
      <c r="I132" s="8">
        <f>IF(OR(LOOKUP(A132,characters!A:A,characters!B:B)=-1, LOOKUP(A132,characters!A:A,characters!B:B)+0.1&gt;=B132),1,0)</f>
        <v/>
      </c>
    </row>
    <row r="133" spans="1:9">
      <c r="A133" s="4" t="s">
        <v>38</v>
      </c>
      <c r="B133" s="7">
        <v>0</v>
      </c>
      <c r="C133" s="6">
        <f>IF(I133=1,0.9,0)</f>
        <v/>
      </c>
      <c r="D133" s="6">
        <f>IF(I133=1,0.8,0)</f>
        <v/>
      </c>
      <c r="E133" s="6">
        <f>IF(I133=1,0.8,0)</f>
        <v/>
      </c>
      <c r="F133" s="6">
        <f>IF(I133=1,1.0,0)</f>
        <v/>
      </c>
      <c r="G133" s="6">
        <f>IF(I133=1,1.0,0)</f>
        <v/>
      </c>
      <c r="H133" s="5" t="s">
        <v>15</v>
      </c>
      <c r="I133" s="8">
        <f>IF(OR(LOOKUP(A133,characters!A:A,characters!B:B)=-1, LOOKUP(A133,characters!A:A,characters!B:B)+0.1&gt;=B133),1,0)</f>
        <v/>
      </c>
    </row>
    <row r="134" spans="1:9">
      <c r="A134" s="4" t="s">
        <v>39</v>
      </c>
      <c r="B134" s="7">
        <v>0</v>
      </c>
      <c r="C134" s="6">
        <f>IF(I134=1,0.9,0)</f>
        <v/>
      </c>
      <c r="D134" s="6">
        <f>IF(I134=1,0.8,0)</f>
        <v/>
      </c>
      <c r="E134" s="6">
        <f>IF(I134=1,0.8,0)</f>
        <v/>
      </c>
      <c r="F134" s="5" t="s">
        <v>15</v>
      </c>
      <c r="G134" s="5" t="s">
        <v>15</v>
      </c>
      <c r="H134" s="6">
        <f>IF(I134=1,1.0,0)</f>
        <v/>
      </c>
      <c r="I134" s="8">
        <f>IF(OR(LOOKUP(A134,characters!A:A,characters!B:B)=-1, LOOKUP(A134,characters!A:A,characters!B:B)+0.1&gt;=B134),1,0)</f>
        <v/>
      </c>
    </row>
    <row r="135" spans="1:9">
      <c r="A135" s="4" t="s">
        <v>40</v>
      </c>
      <c r="B135" s="7">
        <v>0.3</v>
      </c>
      <c r="C135" s="6">
        <f>IF(I135=1,0.9,0)</f>
        <v/>
      </c>
      <c r="D135" s="6">
        <f>IF(I135=1,0.8,0)</f>
        <v/>
      </c>
      <c r="E135" s="6">
        <f>IF(I135=1,0.8,0)</f>
        <v/>
      </c>
      <c r="F135" s="6">
        <f>IF(I135=1,1.0,0)</f>
        <v/>
      </c>
      <c r="G135" s="6">
        <f>IF(I135=1,1.0,0)</f>
        <v/>
      </c>
      <c r="H135" s="5" t="s">
        <v>15</v>
      </c>
      <c r="I135" s="8">
        <f>IF(OR(LOOKUP(A135,characters!A:A,characters!B:B)=-1, LOOKUP(A135,characters!A:A,characters!B:B)+0.1&gt;=B135),1,0)</f>
        <v/>
      </c>
    </row>
    <row r="137" spans="1:9">
      <c r="A137" s="3" t="s">
        <v>17</v>
      </c>
      <c r="B137" s="3" t="s">
        <v>9</v>
      </c>
      <c r="C137" s="3" t="s">
        <v>24</v>
      </c>
      <c r="D137" s="3" t="s">
        <v>25</v>
      </c>
      <c r="E137" s="3" t="s">
        <v>10</v>
      </c>
      <c r="F137" s="3" t="s">
        <v>11</v>
      </c>
    </row>
    <row r="138" spans="1:9">
      <c r="A138" s="4" t="s">
        <v>14</v>
      </c>
      <c r="B138" s="5" t="s">
        <v>15</v>
      </c>
      <c r="C138" s="6">
        <f>IF(SUM(G139:G143)=0,0,SUM(C139:C143)/SUM(G139:G143))</f>
        <v/>
      </c>
      <c r="D138" s="6">
        <f>IF(SUM(G139:G143)=0,0,SUM(D139:D143)/SUM(G139:G143))</f>
        <v/>
      </c>
      <c r="E138" s="6">
        <f>IF(SUM(G139:G143)=0,0,SUM(E139:E143)/SUM(G139:G143))</f>
        <v/>
      </c>
      <c r="F138" s="6">
        <f>IF(SUM(G139:G143)=0,0,SUM(F139:F143)/SUM(G139:G143))</f>
        <v/>
      </c>
    </row>
    <row r="139" spans="1:9">
      <c r="A139" s="4" t="s">
        <v>40</v>
      </c>
      <c r="B139" s="7">
        <v>0.3</v>
      </c>
      <c r="C139" s="6">
        <f>IF(G139=1,1.0,0)</f>
        <v/>
      </c>
      <c r="D139" s="6">
        <f>IF(G139=1,1.0,0)</f>
        <v/>
      </c>
      <c r="E139" s="5" t="s">
        <v>15</v>
      </c>
      <c r="F139" s="5" t="s">
        <v>15</v>
      </c>
      <c r="G139" s="8">
        <f>IF(OR(LOOKUP(A139,characters!A:A,characters!B:B)=-1, LOOKUP(A139,characters!A:A,characters!B:B)+0.1&gt;=B139),1,0)</f>
        <v/>
      </c>
    </row>
    <row r="140" spans="1:9">
      <c r="A140" s="4" t="s">
        <v>36</v>
      </c>
      <c r="B140" s="7">
        <v>0</v>
      </c>
      <c r="C140" s="6">
        <f>IF(G140=1,1.0,0)</f>
        <v/>
      </c>
      <c r="D140" s="6">
        <f>IF(G140=1,1.0,0)</f>
        <v/>
      </c>
      <c r="E140" s="5" t="s">
        <v>15</v>
      </c>
      <c r="F140" s="5" t="s">
        <v>15</v>
      </c>
      <c r="G140" s="8">
        <f>IF(OR(LOOKUP(A140,characters!A:A,characters!B:B)=-1, LOOKUP(A140,characters!A:A,characters!B:B)+0.1&gt;=B140),1,0)</f>
        <v/>
      </c>
    </row>
    <row r="141" spans="1:9">
      <c r="A141" s="4" t="s">
        <v>37</v>
      </c>
      <c r="B141" s="7">
        <v>0</v>
      </c>
      <c r="C141" s="5" t="s">
        <v>15</v>
      </c>
      <c r="D141" s="5" t="s">
        <v>15</v>
      </c>
      <c r="E141" s="6">
        <f>IF(G141=1,1.0,0)</f>
        <v/>
      </c>
      <c r="F141" s="5" t="s">
        <v>15</v>
      </c>
      <c r="G141" s="8">
        <f>IF(OR(LOOKUP(A141,characters!A:A,characters!B:B)=-1, LOOKUP(A141,characters!A:A,characters!B:B)+0.1&gt;=B141),1,0)</f>
        <v/>
      </c>
    </row>
    <row r="142" spans="1:9">
      <c r="A142" s="4" t="s">
        <v>38</v>
      </c>
      <c r="B142" s="7">
        <v>0</v>
      </c>
      <c r="C142" s="6">
        <f>IF(G142=1,1.0,0)</f>
        <v/>
      </c>
      <c r="D142" s="6">
        <f>IF(G142=1,1.0,0)</f>
        <v/>
      </c>
      <c r="E142" s="5" t="s">
        <v>15</v>
      </c>
      <c r="F142" s="5" t="s">
        <v>15</v>
      </c>
      <c r="G142" s="8">
        <f>IF(OR(LOOKUP(A142,characters!A:A,characters!B:B)=-1, LOOKUP(A142,characters!A:A,characters!B:B)+0.1&gt;=B142),1,0)</f>
        <v/>
      </c>
    </row>
    <row r="143" spans="1:9">
      <c r="A143" s="4" t="s">
        <v>39</v>
      </c>
      <c r="B143" s="7">
        <v>0</v>
      </c>
      <c r="C143" s="5" t="s">
        <v>15</v>
      </c>
      <c r="D143" s="5" t="s">
        <v>15</v>
      </c>
      <c r="E143" s="6">
        <f>IF(G143=1,1.0,0)</f>
        <v/>
      </c>
      <c r="F143" s="6">
        <f>IF(G143=1,0.9,0)</f>
        <v/>
      </c>
      <c r="G143" s="8">
        <f>IF(OR(LOOKUP(A143,characters!A:A,characters!B:B)=-1, LOOKUP(A143,characters!A:A,characters!B:B)+0.1&gt;=B143),1,0)</f>
        <v/>
      </c>
    </row>
    <row r="145" spans="1:6">
      <c r="A145" s="3" t="s">
        <v>18</v>
      </c>
      <c r="B145" s="3" t="s">
        <v>9</v>
      </c>
      <c r="C145" s="3" t="s">
        <v>41</v>
      </c>
      <c r="D145" s="3" t="s">
        <v>11</v>
      </c>
      <c r="E145" s="3" t="s">
        <v>20</v>
      </c>
    </row>
    <row r="146" spans="1:6">
      <c r="A146" s="4" t="s">
        <v>14</v>
      </c>
      <c r="B146" s="5" t="s">
        <v>15</v>
      </c>
      <c r="C146" s="6">
        <f>IF(SUM(F147:F151)=0,0,SUM(C147:C151)/SUM(F147:F151))</f>
        <v/>
      </c>
      <c r="D146" s="6">
        <f>IF(SUM(F147:F151)=0,0,SUM(D147:D151)/SUM(F147:F151))</f>
        <v/>
      </c>
      <c r="E146" s="6">
        <f>IF(SUM(F147:F151)=0,0,SUM(E147:E151)/SUM(F147:F151))</f>
        <v/>
      </c>
    </row>
    <row r="147" spans="1:6">
      <c r="A147" s="4" t="s">
        <v>40</v>
      </c>
      <c r="B147" s="7">
        <v>0.3</v>
      </c>
      <c r="C147" s="6">
        <f>IF(F147=1,1.0,0)</f>
        <v/>
      </c>
      <c r="D147" s="6">
        <f>IF(F147=1,0.99,0)</f>
        <v/>
      </c>
      <c r="E147" s="5" t="s">
        <v>15</v>
      </c>
      <c r="F147" s="8">
        <f>IF(OR(LOOKUP(A147,characters!A:A,characters!B:B)=-1, LOOKUP(A147,characters!A:A,characters!B:B)+0.1&gt;=B147),1,0)</f>
        <v/>
      </c>
    </row>
    <row r="148" spans="1:6">
      <c r="A148" s="4" t="s">
        <v>36</v>
      </c>
      <c r="B148" s="7">
        <v>0</v>
      </c>
      <c r="C148" s="6">
        <f>IF(F148=1,0.99,0)</f>
        <v/>
      </c>
      <c r="D148" s="6">
        <f>IF(F148=1,1.0,0)</f>
        <v/>
      </c>
      <c r="E148" s="5" t="s">
        <v>15</v>
      </c>
      <c r="F148" s="8">
        <f>IF(OR(LOOKUP(A148,characters!A:A,characters!B:B)=-1, LOOKUP(A148,characters!A:A,characters!B:B)+0.1&gt;=B148),1,0)</f>
        <v/>
      </c>
    </row>
    <row r="149" spans="1:6">
      <c r="A149" s="4" t="s">
        <v>37</v>
      </c>
      <c r="B149" s="7">
        <v>0</v>
      </c>
      <c r="C149" s="6">
        <f>IF(F149=1,1.0,0)</f>
        <v/>
      </c>
      <c r="D149" s="6">
        <f>IF(F149=1,0.89,0)</f>
        <v/>
      </c>
      <c r="E149" s="6">
        <f>IF(F149=1,0.9,0)</f>
        <v/>
      </c>
      <c r="F149" s="8">
        <f>IF(OR(LOOKUP(A149,characters!A:A,characters!B:B)=-1, LOOKUP(A149,characters!A:A,characters!B:B)+0.1&gt;=B149),1,0)</f>
        <v/>
      </c>
    </row>
    <row r="150" spans="1:6">
      <c r="A150" s="4" t="s">
        <v>38</v>
      </c>
      <c r="B150" s="7">
        <v>0</v>
      </c>
      <c r="C150" s="6">
        <f>IF(F150=1,0.99,0)</f>
        <v/>
      </c>
      <c r="D150" s="6">
        <f>IF(F150=1,1.0,0)</f>
        <v/>
      </c>
      <c r="E150" s="5" t="s">
        <v>15</v>
      </c>
      <c r="F150" s="8">
        <f>IF(OR(LOOKUP(A150,characters!A:A,characters!B:B)=-1, LOOKUP(A150,characters!A:A,characters!B:B)+0.1&gt;=B150),1,0)</f>
        <v/>
      </c>
    </row>
    <row r="151" spans="1:6">
      <c r="A151" s="4" t="s">
        <v>39</v>
      </c>
      <c r="B151" s="7">
        <v>0</v>
      </c>
      <c r="C151" s="6">
        <f>IF(F151=1,1.0,0)</f>
        <v/>
      </c>
      <c r="D151" s="6">
        <f>IF(F151=1,0.9,0)</f>
        <v/>
      </c>
      <c r="E151" s="6">
        <f>IF(F151=1,0.9,0)</f>
        <v/>
      </c>
      <c r="F151" s="8">
        <f>IF(OR(LOOKUP(A151,characters!A:A,characters!B:B)=-1, LOOKUP(A151,characters!A:A,characters!B:B)+0.1&gt;=B151),1,0)</f>
        <v/>
      </c>
    </row>
    <row r="153" spans="1:6">
      <c r="A153" s="3" t="s">
        <v>21</v>
      </c>
      <c r="B153" s="3" t="s">
        <v>9</v>
      </c>
      <c r="C153" s="3" t="s">
        <v>11</v>
      </c>
      <c r="D153" s="3" t="s">
        <v>22</v>
      </c>
    </row>
    <row r="154" spans="1:6">
      <c r="A154" s="4" t="s">
        <v>14</v>
      </c>
      <c r="B154" s="5" t="s">
        <v>15</v>
      </c>
      <c r="C154" s="6">
        <f>IF(SUM(E155:E159)=0,0,SUM(C155:C159)/SUM(E155:E159))</f>
        <v/>
      </c>
      <c r="D154" s="6">
        <f>IF(SUM(E155:E159)=0,0,SUM(D155:D159)/SUM(E155:E159))</f>
        <v/>
      </c>
    </row>
    <row r="155" spans="1:6">
      <c r="A155" s="4" t="s">
        <v>40</v>
      </c>
      <c r="B155" s="7">
        <v>0.3</v>
      </c>
      <c r="C155" s="6">
        <f>IF(E155=1,1.0,0)</f>
        <v/>
      </c>
      <c r="D155" s="5" t="s">
        <v>15</v>
      </c>
      <c r="E155" s="8">
        <f>IF(OR(LOOKUP(A155,characters!A:A,characters!B:B)=-1, LOOKUP(A155,characters!A:A,characters!B:B)+0.1&gt;=B155),1,0)</f>
        <v/>
      </c>
    </row>
    <row r="156" spans="1:6">
      <c r="A156" s="4" t="s">
        <v>36</v>
      </c>
      <c r="B156" s="7">
        <v>0</v>
      </c>
      <c r="C156" s="6">
        <f>IF(E156=1,1.0,0)</f>
        <v/>
      </c>
      <c r="D156" s="5" t="s">
        <v>15</v>
      </c>
      <c r="E156" s="8">
        <f>IF(OR(LOOKUP(A156,characters!A:A,characters!B:B)=-1, LOOKUP(A156,characters!A:A,characters!B:B)+0.1&gt;=B156),1,0)</f>
        <v/>
      </c>
    </row>
    <row r="157" spans="1:6">
      <c r="A157" s="4" t="s">
        <v>37</v>
      </c>
      <c r="B157" s="7">
        <v>0</v>
      </c>
      <c r="C157" s="6">
        <f>IF(E157=1,0.99,0)</f>
        <v/>
      </c>
      <c r="D157" s="6">
        <f>IF(E157=1,1.0,0)</f>
        <v/>
      </c>
      <c r="E157" s="8">
        <f>IF(OR(LOOKUP(A157,characters!A:A,characters!B:B)=-1, LOOKUP(A157,characters!A:A,characters!B:B)+0.1&gt;=B157),1,0)</f>
        <v/>
      </c>
    </row>
    <row r="158" spans="1:6">
      <c r="A158" s="4" t="s">
        <v>38</v>
      </c>
      <c r="B158" s="7">
        <v>0</v>
      </c>
      <c r="C158" s="6">
        <f>IF(E158=1,1.0,0)</f>
        <v/>
      </c>
      <c r="D158" s="5" t="s">
        <v>15</v>
      </c>
      <c r="E158" s="8">
        <f>IF(OR(LOOKUP(A158,characters!A:A,characters!B:B)=-1, LOOKUP(A158,characters!A:A,characters!B:B)+0.1&gt;=B158),1,0)</f>
        <v/>
      </c>
    </row>
    <row r="159" spans="1:6">
      <c r="A159" s="4" t="s">
        <v>39</v>
      </c>
      <c r="B159" s="7">
        <v>0</v>
      </c>
      <c r="C159" s="6">
        <f>IF(E159=1,1.0,0)</f>
        <v/>
      </c>
      <c r="D159" s="6">
        <f>IF(E159=1,1.0,0)</f>
        <v/>
      </c>
      <c r="E159" s="8">
        <f>IF(OR(LOOKUP(A159,characters!A:A,characters!B:B)=-1, LOOKUP(A159,characters!A:A,characters!B:B)+0.1&gt;=B159),1,0)</f>
        <v/>
      </c>
    </row>
    <row r="166" spans="1:11">
      <c r="A166" s="3" t="s">
        <v>42</v>
      </c>
    </row>
    <row r="167" spans="1:11">
      <c r="A167" s="3" t="s">
        <v>8</v>
      </c>
      <c r="B167" s="3" t="s">
        <v>9</v>
      </c>
      <c r="C167" s="3" t="s">
        <v>11</v>
      </c>
      <c r="D167" s="3" t="s">
        <v>12</v>
      </c>
      <c r="E167" s="3" t="s">
        <v>13</v>
      </c>
      <c r="F167" s="3" t="s">
        <v>10</v>
      </c>
      <c r="G167" s="3" t="s">
        <v>24</v>
      </c>
      <c r="H167" s="3" t="s">
        <v>25</v>
      </c>
      <c r="I167" s="3" t="s">
        <v>43</v>
      </c>
      <c r="J167" s="3" t="s">
        <v>44</v>
      </c>
    </row>
    <row r="168" spans="1:11">
      <c r="A168" s="4" t="s">
        <v>14</v>
      </c>
      <c r="B168" s="5" t="s">
        <v>15</v>
      </c>
      <c r="C168" s="6">
        <f>IF(SUM(K169:K184)=0,0,SUM(C169:C184)/SUM(K169:K184))</f>
        <v/>
      </c>
      <c r="D168" s="6">
        <f>IF(SUM(K169:K184)=0,0,SUM(D169:D184)/SUM(K169:K184))</f>
        <v/>
      </c>
      <c r="E168" s="6">
        <f>IF(SUM(K169:K184)=0,0,SUM(E169:E184)/SUM(K169:K184))</f>
        <v/>
      </c>
      <c r="F168" s="6">
        <f>IF(SUM(K169:K184)=0,0,SUM(F169:F184)/SUM(K169:K184))</f>
        <v/>
      </c>
      <c r="G168" s="6">
        <f>IF(SUM(K169:K184)=0,0,SUM(G169:G184)/SUM(K169:K184))</f>
        <v/>
      </c>
      <c r="H168" s="6">
        <f>IF(SUM(K169:K184)=0,0,SUM(H169:H184)/SUM(K169:K184))</f>
        <v/>
      </c>
      <c r="I168" s="6">
        <f>IF(SUM(K169:K184)=0,0,SUM(I169:I184)/SUM(K169:K184))</f>
        <v/>
      </c>
      <c r="J168" s="6">
        <f>IF(SUM(K169:K184)=0,0,SUM(J169:J184)/SUM(K169:K184))</f>
        <v/>
      </c>
    </row>
    <row r="169" spans="1:11">
      <c r="A169" s="4" t="s">
        <v>16</v>
      </c>
      <c r="B169" s="7">
        <v>0.1</v>
      </c>
      <c r="C169" s="6">
        <f>IF(K169=1,0.9,0)</f>
        <v/>
      </c>
      <c r="D169" s="6">
        <f>IF(K169=1,0.8,0)</f>
        <v/>
      </c>
      <c r="E169" s="6">
        <f>IF(K169=1,0.8,0)</f>
        <v/>
      </c>
      <c r="F169" s="6">
        <f>IF(K169=1,1.0,0)</f>
        <v/>
      </c>
      <c r="G169" s="5" t="s">
        <v>15</v>
      </c>
      <c r="H169" s="5" t="s">
        <v>15</v>
      </c>
      <c r="I169" s="5" t="s">
        <v>15</v>
      </c>
      <c r="J169" s="5" t="s">
        <v>15</v>
      </c>
      <c r="K169" s="8">
        <f>IF(OR(LOOKUP(A169,characters!A:A,characters!B:B)=-1, LOOKUP(A169,characters!A:A,characters!B:B)+0.1&gt;=B169),1,0)</f>
        <v/>
      </c>
    </row>
    <row r="170" spans="1:11">
      <c r="A170" s="4" t="s">
        <v>37</v>
      </c>
      <c r="B170" s="7">
        <v>0.1</v>
      </c>
      <c r="C170" s="6">
        <f>IF(K170=1,0.9,0)</f>
        <v/>
      </c>
      <c r="D170" s="6">
        <f>IF(K170=1,0.8,0)</f>
        <v/>
      </c>
      <c r="E170" s="6">
        <f>IF(K170=1,0.8,0)</f>
        <v/>
      </c>
      <c r="F170" s="6">
        <f>IF(K170=1,1.0,0)</f>
        <v/>
      </c>
      <c r="G170" s="5" t="s">
        <v>15</v>
      </c>
      <c r="H170" s="5" t="s">
        <v>15</v>
      </c>
      <c r="I170" s="5" t="s">
        <v>15</v>
      </c>
      <c r="J170" s="5" t="s">
        <v>15</v>
      </c>
      <c r="K170" s="8">
        <f>IF(OR(LOOKUP(A170,characters!A:A,characters!B:B)=-1, LOOKUP(A170,characters!A:A,characters!B:B)+0.1&gt;=B170),1,0)</f>
        <v/>
      </c>
    </row>
    <row r="171" spans="1:11">
      <c r="A171" s="4" t="s">
        <v>45</v>
      </c>
      <c r="B171" s="7">
        <v>0.1</v>
      </c>
      <c r="C171" s="6">
        <f>IF(K171=1,1.0,0)</f>
        <v/>
      </c>
      <c r="D171" s="6">
        <f>IF(K171=1,0.9,0)</f>
        <v/>
      </c>
      <c r="E171" s="6">
        <f>IF(K171=1,0.9,0)</f>
        <v/>
      </c>
      <c r="F171" s="6">
        <f>IF(K171=1,1.0,0)</f>
        <v/>
      </c>
      <c r="G171" s="5" t="s">
        <v>15</v>
      </c>
      <c r="H171" s="5" t="s">
        <v>15</v>
      </c>
      <c r="I171" s="5" t="s">
        <v>15</v>
      </c>
      <c r="J171" s="5" t="s">
        <v>15</v>
      </c>
      <c r="K171" s="8">
        <f>IF(OR(LOOKUP(A171,characters!A:A,characters!B:B)=-1, LOOKUP(A171,characters!A:A,characters!B:B)+0.1&gt;=B171),1,0)</f>
        <v/>
      </c>
    </row>
    <row r="172" spans="1:11">
      <c r="A172" s="4" t="s">
        <v>39</v>
      </c>
      <c r="B172" s="7">
        <v>0.1</v>
      </c>
      <c r="C172" s="6">
        <f>IF(K172=1,0.9,0)</f>
        <v/>
      </c>
      <c r="D172" s="6">
        <f>IF(K172=1,0.8,0)</f>
        <v/>
      </c>
      <c r="E172" s="6">
        <f>IF(K172=1,0.8,0)</f>
        <v/>
      </c>
      <c r="F172" s="6">
        <f>IF(K172=1,1.0,0)</f>
        <v/>
      </c>
      <c r="G172" s="5" t="s">
        <v>15</v>
      </c>
      <c r="H172" s="5" t="s">
        <v>15</v>
      </c>
      <c r="I172" s="5" t="s">
        <v>15</v>
      </c>
      <c r="J172" s="5" t="s">
        <v>15</v>
      </c>
      <c r="K172" s="8">
        <f>IF(OR(LOOKUP(A172,characters!A:A,characters!B:B)=-1, LOOKUP(A172,characters!A:A,characters!B:B)+0.1&gt;=B172),1,0)</f>
        <v/>
      </c>
    </row>
    <row r="173" spans="1:11">
      <c r="A173" s="4" t="s">
        <v>27</v>
      </c>
      <c r="B173" s="7">
        <v>0.1</v>
      </c>
      <c r="C173" s="6">
        <f>IF(K173=1,0.9,0)</f>
        <v/>
      </c>
      <c r="D173" s="6">
        <f>IF(K173=1,0.8,0)</f>
        <v/>
      </c>
      <c r="E173" s="6">
        <f>IF(K173=1,0.8,0)</f>
        <v/>
      </c>
      <c r="F173" s="6">
        <f>IF(K173=1,1.0,0)</f>
        <v/>
      </c>
      <c r="G173" s="5" t="s">
        <v>15</v>
      </c>
      <c r="H173" s="5" t="s">
        <v>15</v>
      </c>
      <c r="I173" s="5" t="s">
        <v>15</v>
      </c>
      <c r="J173" s="5" t="s">
        <v>15</v>
      </c>
      <c r="K173" s="8">
        <f>IF(OR(LOOKUP(A173,characters!A:A,characters!B:B)=-1, LOOKUP(A173,characters!A:A,characters!B:B)+0.1&gt;=B173),1,0)</f>
        <v/>
      </c>
    </row>
    <row r="174" spans="1:11">
      <c r="A174" s="4" t="s">
        <v>46</v>
      </c>
      <c r="B174" s="7">
        <v>0.2</v>
      </c>
      <c r="C174" s="6">
        <f>IF(K174=1,0.9,0)</f>
        <v/>
      </c>
      <c r="D174" s="6">
        <f>IF(K174=1,0.8,0)</f>
        <v/>
      </c>
      <c r="E174" s="6">
        <f>IF(K174=1,0.8,0)</f>
        <v/>
      </c>
      <c r="F174" s="5" t="s">
        <v>15</v>
      </c>
      <c r="G174" s="6">
        <f>IF(K174=1,1.0,0)</f>
        <v/>
      </c>
      <c r="H174" s="6">
        <f>IF(K174=1,1.0,0)</f>
        <v/>
      </c>
      <c r="I174" s="5" t="s">
        <v>15</v>
      </c>
      <c r="J174" s="5" t="s">
        <v>15</v>
      </c>
      <c r="K174" s="8">
        <f>IF(OR(LOOKUP(A174,characters!A:A,characters!B:B)=-1, LOOKUP(A174,characters!A:A,characters!B:B)+0.1&gt;=B174),1,0)</f>
        <v/>
      </c>
    </row>
    <row r="175" spans="1:11">
      <c r="A175" s="4" t="s">
        <v>26</v>
      </c>
      <c r="B175" s="7">
        <v>0.2</v>
      </c>
      <c r="C175" s="6">
        <f>IF(K175=1,0.9,0)</f>
        <v/>
      </c>
      <c r="D175" s="6">
        <f>IF(K175=1,0.8,0)</f>
        <v/>
      </c>
      <c r="E175" s="6">
        <f>IF(K175=1,0.8,0)</f>
        <v/>
      </c>
      <c r="F175" s="6">
        <f>IF(K175=1,1.0,0)</f>
        <v/>
      </c>
      <c r="G175" s="5" t="s">
        <v>15</v>
      </c>
      <c r="H175" s="5" t="s">
        <v>15</v>
      </c>
      <c r="I175" s="5" t="s">
        <v>15</v>
      </c>
      <c r="J175" s="5" t="s">
        <v>15</v>
      </c>
      <c r="K175" s="8">
        <f>IF(OR(LOOKUP(A175,characters!A:A,characters!B:B)=-1, LOOKUP(A175,characters!A:A,characters!B:B)+0.1&gt;=B175),1,0)</f>
        <v/>
      </c>
    </row>
    <row r="176" spans="1:11">
      <c r="A176" s="4" t="s">
        <v>47</v>
      </c>
      <c r="B176" s="7">
        <v>0.2</v>
      </c>
      <c r="C176" s="6">
        <f>IF(K176=1,0.9,0)</f>
        <v/>
      </c>
      <c r="D176" s="6">
        <f>IF(K176=1,0.8,0)</f>
        <v/>
      </c>
      <c r="E176" s="6">
        <f>IF(K176=1,0.8,0)</f>
        <v/>
      </c>
      <c r="F176" s="5" t="s">
        <v>15</v>
      </c>
      <c r="G176" s="6">
        <f>IF(K176=1,1.0,0)</f>
        <v/>
      </c>
      <c r="H176" s="6">
        <f>IF(K176=1,1.0,0)</f>
        <v/>
      </c>
      <c r="I176" s="5" t="s">
        <v>15</v>
      </c>
      <c r="J176" s="5" t="s">
        <v>15</v>
      </c>
      <c r="K176" s="8">
        <f>IF(OR(LOOKUP(A176,characters!A:A,characters!B:B)=-1, LOOKUP(A176,characters!A:A,characters!B:B)+0.1&gt;=B176),1,0)</f>
        <v/>
      </c>
    </row>
    <row r="177" spans="1:11">
      <c r="A177" s="4" t="s">
        <v>48</v>
      </c>
      <c r="B177" s="7">
        <v>0.2</v>
      </c>
      <c r="C177" s="6">
        <f>IF(K177=1,1.0,0)</f>
        <v/>
      </c>
      <c r="D177" s="6">
        <f>IF(K177=1,0.9,0)</f>
        <v/>
      </c>
      <c r="E177" s="6">
        <f>IF(K177=1,0.9,0)</f>
        <v/>
      </c>
      <c r="F177" s="5" t="s">
        <v>15</v>
      </c>
      <c r="G177" s="6">
        <f>IF(K177=1,1.0,0)</f>
        <v/>
      </c>
      <c r="H177" s="6">
        <f>IF(K177=1,1.0,0)</f>
        <v/>
      </c>
      <c r="I177" s="5" t="s">
        <v>15</v>
      </c>
      <c r="J177" s="5" t="s">
        <v>15</v>
      </c>
      <c r="K177" s="8">
        <f>IF(OR(LOOKUP(A177,characters!A:A,characters!B:B)=-1, LOOKUP(A177,characters!A:A,characters!B:B)+0.1&gt;=B177),1,0)</f>
        <v/>
      </c>
    </row>
    <row r="178" spans="1:11">
      <c r="A178" s="4" t="s">
        <v>49</v>
      </c>
      <c r="B178" s="7">
        <v>0.2</v>
      </c>
      <c r="C178" s="6">
        <f>IF(K178=1,0.9,0)</f>
        <v/>
      </c>
      <c r="D178" s="6">
        <f>IF(K178=1,0.8,0)</f>
        <v/>
      </c>
      <c r="E178" s="6">
        <f>IF(K178=1,0.8,0)</f>
        <v/>
      </c>
      <c r="F178" s="5" t="s">
        <v>15</v>
      </c>
      <c r="G178" s="6">
        <f>IF(K178=1,1.0,0)</f>
        <v/>
      </c>
      <c r="H178" s="6">
        <f>IF(K178=1,1.0,0)</f>
        <v/>
      </c>
      <c r="I178" s="5" t="s">
        <v>15</v>
      </c>
      <c r="J178" s="5" t="s">
        <v>15</v>
      </c>
      <c r="K178" s="8">
        <f>IF(OR(LOOKUP(A178,characters!A:A,characters!B:B)=-1, LOOKUP(A178,characters!A:A,characters!B:B)+0.1&gt;=B178),1,0)</f>
        <v/>
      </c>
    </row>
    <row r="179" spans="1:11">
      <c r="A179" s="4" t="s">
        <v>50</v>
      </c>
      <c r="B179" s="7">
        <v>0.2</v>
      </c>
      <c r="C179" s="6">
        <f>IF(K179=1,0.9,0)</f>
        <v/>
      </c>
      <c r="D179" s="6">
        <f>IF(K179=1,0.8,0)</f>
        <v/>
      </c>
      <c r="E179" s="6">
        <f>IF(K179=1,0.8,0)</f>
        <v/>
      </c>
      <c r="F179" s="6">
        <f>IF(K179=1,1.0,0)</f>
        <v/>
      </c>
      <c r="G179" s="5" t="s">
        <v>15</v>
      </c>
      <c r="H179" s="5" t="s">
        <v>15</v>
      </c>
      <c r="I179" s="5" t="s">
        <v>15</v>
      </c>
      <c r="J179" s="5" t="s">
        <v>15</v>
      </c>
      <c r="K179" s="8">
        <f>IF(OR(LOOKUP(A179,characters!A:A,characters!B:B)=-1, LOOKUP(A179,characters!A:A,characters!B:B)+0.1&gt;=B179),1,0)</f>
        <v/>
      </c>
    </row>
    <row r="180" spans="1:11">
      <c r="A180" s="4" t="s">
        <v>51</v>
      </c>
      <c r="B180" s="7">
        <v>0.2</v>
      </c>
      <c r="C180" s="6">
        <f>IF(K180=1,1.0,0)</f>
        <v/>
      </c>
      <c r="D180" s="6">
        <f>IF(K180=1,0.9,0)</f>
        <v/>
      </c>
      <c r="E180" s="6">
        <f>IF(K180=1,0.9,0)</f>
        <v/>
      </c>
      <c r="F180" s="5" t="s">
        <v>15</v>
      </c>
      <c r="G180" s="6">
        <f>IF(K180=1,1.0,0)</f>
        <v/>
      </c>
      <c r="H180" s="6">
        <f>IF(K180=1,1.0,0)</f>
        <v/>
      </c>
      <c r="I180" s="5" t="s">
        <v>15</v>
      </c>
      <c r="J180" s="5" t="s">
        <v>15</v>
      </c>
      <c r="K180" s="8">
        <f>IF(OR(LOOKUP(A180,characters!A:A,characters!B:B)=-1, LOOKUP(A180,characters!A:A,characters!B:B)+0.1&gt;=B180),1,0)</f>
        <v/>
      </c>
    </row>
    <row r="181" spans="1:11">
      <c r="A181" s="4" t="s">
        <v>28</v>
      </c>
      <c r="B181" s="7">
        <v>0.7</v>
      </c>
      <c r="C181" s="6">
        <f>IF(K181=1,1.0,0)</f>
        <v/>
      </c>
      <c r="D181" s="6">
        <f>IF(K181=1,0.8,0)</f>
        <v/>
      </c>
      <c r="E181" s="6">
        <f>IF(K181=1,0.9,0)</f>
        <v/>
      </c>
      <c r="F181" s="6">
        <f>IF(K181=1,1.0,0)</f>
        <v/>
      </c>
      <c r="G181" s="6">
        <f>IF(K181=1,1.0,0)</f>
        <v/>
      </c>
      <c r="H181" s="6">
        <f>IF(K181=1,1.0,0)</f>
        <v/>
      </c>
      <c r="I181" s="5" t="s">
        <v>15</v>
      </c>
      <c r="J181" s="5" t="s">
        <v>15</v>
      </c>
      <c r="K181" s="8">
        <f>IF(OR(LOOKUP(A181,characters!A:A,characters!B:B)=-1, LOOKUP(A181,characters!A:A,characters!B:B)+0.1&gt;=B181),1,0)</f>
        <v/>
      </c>
    </row>
    <row r="182" spans="1:11">
      <c r="A182" s="4" t="s">
        <v>52</v>
      </c>
      <c r="B182" s="7">
        <v>1</v>
      </c>
      <c r="C182" s="6">
        <f>IF(K182=1,0.9,0)</f>
        <v/>
      </c>
      <c r="D182" s="6">
        <f>IF(K182=1,0.8,0)</f>
        <v/>
      </c>
      <c r="E182" s="6">
        <f>IF(K182=1,0.8,0)</f>
        <v/>
      </c>
      <c r="F182" s="6">
        <f>IF(K182=1,1.0,0)</f>
        <v/>
      </c>
      <c r="G182" s="6">
        <f>IF(K182=1,1.0,0)</f>
        <v/>
      </c>
      <c r="H182" s="6">
        <f>IF(K182=1,1.0,0)</f>
        <v/>
      </c>
      <c r="I182" s="5" t="s">
        <v>15</v>
      </c>
      <c r="J182" s="5" t="s">
        <v>15</v>
      </c>
      <c r="K182" s="8">
        <f>IF(OR(LOOKUP(A182,characters!A:A,characters!B:B)=-1, LOOKUP(A182,characters!A:A,characters!B:B)+0.1&gt;=B182),1,0)</f>
        <v/>
      </c>
    </row>
    <row r="183" spans="1:11">
      <c r="A183" s="4" t="s">
        <v>53</v>
      </c>
      <c r="B183" s="7">
        <v>2</v>
      </c>
      <c r="C183" s="6">
        <f>IF(K183=1,1.0,0)</f>
        <v/>
      </c>
      <c r="D183" s="6">
        <f>IF(K183=1,0.7,0)</f>
        <v/>
      </c>
      <c r="E183" s="6">
        <f>IF(K183=1,0.8,0)</f>
        <v/>
      </c>
      <c r="F183" s="6">
        <f>IF(K183=1,0.9,0)</f>
        <v/>
      </c>
      <c r="G183" s="5" t="s">
        <v>15</v>
      </c>
      <c r="H183" s="5" t="s">
        <v>15</v>
      </c>
      <c r="I183" s="5" t="s">
        <v>15</v>
      </c>
      <c r="J183" s="5" t="s">
        <v>15</v>
      </c>
      <c r="K183" s="8">
        <f>IF(OR(LOOKUP(A183,characters!A:A,characters!B:B)=-1, LOOKUP(A183,characters!A:A,characters!B:B)+0.1&gt;=B183),1,0)</f>
        <v/>
      </c>
    </row>
    <row r="184" spans="1:11">
      <c r="A184" s="4" t="s">
        <v>54</v>
      </c>
      <c r="B184" s="7">
        <v>2.3</v>
      </c>
      <c r="C184" s="5" t="s">
        <v>15</v>
      </c>
      <c r="D184" s="6">
        <f>IF(K184=1,0.7,0)</f>
        <v/>
      </c>
      <c r="E184" s="5" t="s">
        <v>15</v>
      </c>
      <c r="F184" s="5" t="s">
        <v>15</v>
      </c>
      <c r="G184" s="6">
        <f>IF(K184=1,0.9,0)</f>
        <v/>
      </c>
      <c r="H184" s="6">
        <f>IF(K184=1,0.9,0)</f>
        <v/>
      </c>
      <c r="I184" s="6">
        <f>IF(K184=1,1.0,0)</f>
        <v/>
      </c>
      <c r="J184" s="6">
        <f>IF(K184=1,0.8,0)</f>
        <v/>
      </c>
      <c r="K184" s="8">
        <f>IF(OR(LOOKUP(A184,characters!A:A,characters!B:B)=-1, LOOKUP(A184,characters!A:A,characters!B:B)+0.1&gt;=B184),1,0)</f>
        <v/>
      </c>
    </row>
    <row r="186" spans="1:11">
      <c r="A186" s="3" t="s">
        <v>17</v>
      </c>
      <c r="B186" s="3" t="s">
        <v>9</v>
      </c>
      <c r="C186" s="3" t="s">
        <v>24</v>
      </c>
      <c r="D186" s="3" t="s">
        <v>25</v>
      </c>
      <c r="E186" s="3" t="s">
        <v>43</v>
      </c>
      <c r="F186" s="3" t="s">
        <v>10</v>
      </c>
      <c r="G186" s="3" t="s">
        <v>11</v>
      </c>
    </row>
    <row r="187" spans="1:11">
      <c r="A187" s="4" t="s">
        <v>14</v>
      </c>
      <c r="B187" s="5" t="s">
        <v>15</v>
      </c>
      <c r="C187" s="6">
        <f>IF(SUM(H188:H203)=0,0,SUM(C188:C203)/SUM(H188:H203))</f>
        <v/>
      </c>
      <c r="D187" s="6">
        <f>IF(SUM(H188:H203)=0,0,SUM(D188:D203)/SUM(H188:H203))</f>
        <v/>
      </c>
      <c r="E187" s="6">
        <f>IF(SUM(H188:H203)=0,0,SUM(E188:E203)/SUM(H188:H203))</f>
        <v/>
      </c>
      <c r="F187" s="6">
        <f>IF(SUM(H188:H203)=0,0,SUM(F188:F203)/SUM(H188:H203))</f>
        <v/>
      </c>
      <c r="G187" s="6">
        <f>IF(SUM(H188:H203)=0,0,SUM(G188:G203)/SUM(H188:H203))</f>
        <v/>
      </c>
    </row>
    <row r="188" spans="1:11">
      <c r="A188" s="4" t="s">
        <v>46</v>
      </c>
      <c r="B188" s="7">
        <v>0.2</v>
      </c>
      <c r="C188" s="6">
        <f>IF(H188=1,1.0,0)</f>
        <v/>
      </c>
      <c r="D188" s="6">
        <f>IF(H188=1,0.99,0)</f>
        <v/>
      </c>
      <c r="E188" s="5" t="s">
        <v>15</v>
      </c>
      <c r="F188" s="5" t="s">
        <v>15</v>
      </c>
      <c r="G188" s="5" t="s">
        <v>15</v>
      </c>
      <c r="H188" s="8">
        <f>IF(OR(LOOKUP(A188,characters!A:A,characters!B:B)=-1, LOOKUP(A188,characters!A:A,characters!B:B)+0.1&gt;=B188),1,0)</f>
        <v/>
      </c>
    </row>
    <row r="189" spans="1:11">
      <c r="A189" s="4" t="s">
        <v>54</v>
      </c>
      <c r="B189" s="7">
        <v>2.3</v>
      </c>
      <c r="C189" s="5" t="s">
        <v>15</v>
      </c>
      <c r="D189" s="6">
        <f>IF(H189=1,0.9,0)</f>
        <v/>
      </c>
      <c r="E189" s="6">
        <f>IF(H189=1,1.0,0)</f>
        <v/>
      </c>
      <c r="F189" s="5" t="s">
        <v>15</v>
      </c>
      <c r="G189" s="5" t="s">
        <v>15</v>
      </c>
      <c r="H189" s="8">
        <f>IF(OR(LOOKUP(A189,characters!A:A,characters!B:B)=-1, LOOKUP(A189,characters!A:A,characters!B:B)+0.1&gt;=B189),1,0)</f>
        <v/>
      </c>
    </row>
    <row r="190" spans="1:11">
      <c r="A190" s="4" t="s">
        <v>26</v>
      </c>
      <c r="B190" s="7">
        <v>0.2</v>
      </c>
      <c r="C190" s="5" t="s">
        <v>15</v>
      </c>
      <c r="D190" s="5" t="s">
        <v>15</v>
      </c>
      <c r="E190" s="5" t="s">
        <v>15</v>
      </c>
      <c r="F190" s="6">
        <f>IF(H190=1,1.0,0)</f>
        <v/>
      </c>
      <c r="G190" s="5" t="s">
        <v>15</v>
      </c>
      <c r="H190" s="8">
        <f>IF(OR(LOOKUP(A190,characters!A:A,characters!B:B)=-1, LOOKUP(A190,characters!A:A,characters!B:B)+0.1&gt;=B190),1,0)</f>
        <v/>
      </c>
    </row>
    <row r="191" spans="1:11">
      <c r="A191" s="4" t="s">
        <v>52</v>
      </c>
      <c r="B191" s="7">
        <v>1</v>
      </c>
      <c r="C191" s="6">
        <f>IF(H191=1,1.0,0)</f>
        <v/>
      </c>
      <c r="D191" s="5" t="s">
        <v>15</v>
      </c>
      <c r="E191" s="5" t="s">
        <v>15</v>
      </c>
      <c r="F191" s="6">
        <f>IF(H191=1,1.0,0)</f>
        <v/>
      </c>
      <c r="G191" s="5" t="s">
        <v>15</v>
      </c>
      <c r="H191" s="8">
        <f>IF(OR(LOOKUP(A191,characters!A:A,characters!B:B)=-1, LOOKUP(A191,characters!A:A,characters!B:B)+0.1&gt;=B191),1,0)</f>
        <v/>
      </c>
    </row>
    <row r="192" spans="1:11">
      <c r="A192" s="4" t="s">
        <v>16</v>
      </c>
      <c r="B192" s="7">
        <v>0.1</v>
      </c>
      <c r="C192" s="5" t="s">
        <v>15</v>
      </c>
      <c r="D192" s="5" t="s">
        <v>15</v>
      </c>
      <c r="E192" s="5" t="s">
        <v>15</v>
      </c>
      <c r="F192" s="6">
        <f>IF(H192=1,1.0,0)</f>
        <v/>
      </c>
      <c r="G192" s="6">
        <f>IF(H192=1,0.9,0)</f>
        <v/>
      </c>
      <c r="H192" s="8">
        <f>IF(OR(LOOKUP(A192,characters!A:A,characters!B:B)=-1, LOOKUP(A192,characters!A:A,characters!B:B)+0.1&gt;=B192),1,0)</f>
        <v/>
      </c>
    </row>
    <row r="193" spans="1:11">
      <c r="A193" s="4" t="s">
        <v>37</v>
      </c>
      <c r="B193" s="7">
        <v>0.1</v>
      </c>
      <c r="C193" s="5" t="s">
        <v>15</v>
      </c>
      <c r="D193" s="5" t="s">
        <v>15</v>
      </c>
      <c r="E193" s="5" t="s">
        <v>15</v>
      </c>
      <c r="F193" s="6">
        <f>IF(H193=1,1.0,0)</f>
        <v/>
      </c>
      <c r="G193" s="5" t="s">
        <v>15</v>
      </c>
      <c r="H193" s="8">
        <f>IF(OR(LOOKUP(A193,characters!A:A,characters!B:B)=-1, LOOKUP(A193,characters!A:A,characters!B:B)+0.1&gt;=B193),1,0)</f>
        <v/>
      </c>
    </row>
    <row r="194" spans="1:11">
      <c r="A194" s="4" t="s">
        <v>47</v>
      </c>
      <c r="B194" s="7">
        <v>0.2</v>
      </c>
      <c r="C194" s="6">
        <f>IF(H194=1,1.0,0)</f>
        <v/>
      </c>
      <c r="D194" s="6">
        <f>IF(H194=1,0.99,0)</f>
        <v/>
      </c>
      <c r="E194" s="5" t="s">
        <v>15</v>
      </c>
      <c r="F194" s="5" t="s">
        <v>15</v>
      </c>
      <c r="G194" s="5" t="s">
        <v>15</v>
      </c>
      <c r="H194" s="8">
        <f>IF(OR(LOOKUP(A194,characters!A:A,characters!B:B)=-1, LOOKUP(A194,characters!A:A,characters!B:B)+0.1&gt;=B194),1,0)</f>
        <v/>
      </c>
    </row>
    <row r="195" spans="1:11">
      <c r="A195" s="4" t="s">
        <v>28</v>
      </c>
      <c r="B195" s="7">
        <v>0.7</v>
      </c>
      <c r="C195" s="6">
        <f>IF(H195=1,1.0,0)</f>
        <v/>
      </c>
      <c r="D195" s="6">
        <f>IF(H195=1,0.99,0)</f>
        <v/>
      </c>
      <c r="E195" s="5" t="s">
        <v>15</v>
      </c>
      <c r="F195" s="6">
        <f>IF(H195=1,0.99,0)</f>
        <v/>
      </c>
      <c r="G195" s="5" t="s">
        <v>15</v>
      </c>
      <c r="H195" s="8">
        <f>IF(OR(LOOKUP(A195,characters!A:A,characters!B:B)=-1, LOOKUP(A195,characters!A:A,characters!B:B)+0.1&gt;=B195),1,0)</f>
        <v/>
      </c>
    </row>
    <row r="196" spans="1:11">
      <c r="A196" s="4" t="s">
        <v>48</v>
      </c>
      <c r="B196" s="7">
        <v>0.2</v>
      </c>
      <c r="C196" s="6">
        <f>IF(H196=1,0.9,0)</f>
        <v/>
      </c>
      <c r="D196" s="5" t="s">
        <v>15</v>
      </c>
      <c r="E196" s="5" t="s">
        <v>15</v>
      </c>
      <c r="F196" s="5" t="s">
        <v>15</v>
      </c>
      <c r="G196" s="6">
        <f>IF(H196=1,1.0,0)</f>
        <v/>
      </c>
      <c r="H196" s="8">
        <f>IF(OR(LOOKUP(A196,characters!A:A,characters!B:B)=-1, LOOKUP(A196,characters!A:A,characters!B:B)+0.1&gt;=B196),1,0)</f>
        <v/>
      </c>
    </row>
    <row r="197" spans="1:11">
      <c r="A197" s="4" t="s">
        <v>49</v>
      </c>
      <c r="B197" s="7">
        <v>0.2</v>
      </c>
      <c r="C197" s="6">
        <f>IF(H197=1,1.0,0)</f>
        <v/>
      </c>
      <c r="D197" s="6">
        <f>IF(H197=1,0.99,0)</f>
        <v/>
      </c>
      <c r="E197" s="5" t="s">
        <v>15</v>
      </c>
      <c r="F197" s="5" t="s">
        <v>15</v>
      </c>
      <c r="G197" s="5" t="s">
        <v>15</v>
      </c>
      <c r="H197" s="8">
        <f>IF(OR(LOOKUP(A197,characters!A:A,characters!B:B)=-1, LOOKUP(A197,characters!A:A,characters!B:B)+0.1&gt;=B197),1,0)</f>
        <v/>
      </c>
    </row>
    <row r="198" spans="1:11">
      <c r="A198" s="4" t="s">
        <v>45</v>
      </c>
      <c r="B198" s="7">
        <v>0.1</v>
      </c>
      <c r="C198" s="5" t="s">
        <v>15</v>
      </c>
      <c r="D198" s="5" t="s">
        <v>15</v>
      </c>
      <c r="E198" s="5" t="s">
        <v>15</v>
      </c>
      <c r="F198" s="6">
        <f>IF(H198=1,1.0,0)</f>
        <v/>
      </c>
      <c r="G198" s="6">
        <f>IF(H198=1,1.0,0)</f>
        <v/>
      </c>
      <c r="H198" s="8">
        <f>IF(OR(LOOKUP(A198,characters!A:A,characters!B:B)=-1, LOOKUP(A198,characters!A:A,characters!B:B)+0.1&gt;=B198),1,0)</f>
        <v/>
      </c>
    </row>
    <row r="199" spans="1:11">
      <c r="A199" s="4" t="s">
        <v>39</v>
      </c>
      <c r="B199" s="7">
        <v>0.1</v>
      </c>
      <c r="C199" s="5" t="s">
        <v>15</v>
      </c>
      <c r="D199" s="5" t="s">
        <v>15</v>
      </c>
      <c r="E199" s="5" t="s">
        <v>15</v>
      </c>
      <c r="F199" s="6">
        <f>IF(H199=1,1.0,0)</f>
        <v/>
      </c>
      <c r="G199" s="6">
        <f>IF(H199=1,0.9,0)</f>
        <v/>
      </c>
      <c r="H199" s="8">
        <f>IF(OR(LOOKUP(A199,characters!A:A,characters!B:B)=-1, LOOKUP(A199,characters!A:A,characters!B:B)+0.1&gt;=B199),1,0)</f>
        <v/>
      </c>
    </row>
    <row r="200" spans="1:11">
      <c r="A200" s="4" t="s">
        <v>50</v>
      </c>
      <c r="B200" s="7">
        <v>0.2</v>
      </c>
      <c r="C200" s="5" t="s">
        <v>15</v>
      </c>
      <c r="D200" s="5" t="s">
        <v>15</v>
      </c>
      <c r="E200" s="5" t="s">
        <v>15</v>
      </c>
      <c r="F200" s="6">
        <f>IF(H200=1,1.0,0)</f>
        <v/>
      </c>
      <c r="G200" s="6">
        <f>IF(H200=1,1.0,0)</f>
        <v/>
      </c>
      <c r="H200" s="8">
        <f>IF(OR(LOOKUP(A200,characters!A:A,characters!B:B)=-1, LOOKUP(A200,characters!A:A,characters!B:B)+0.1&gt;=B200),1,0)</f>
        <v/>
      </c>
    </row>
    <row r="201" spans="1:11">
      <c r="A201" s="4" t="s">
        <v>53</v>
      </c>
      <c r="B201" s="7">
        <v>2</v>
      </c>
      <c r="C201" s="5" t="s">
        <v>15</v>
      </c>
      <c r="D201" s="5" t="s">
        <v>15</v>
      </c>
      <c r="E201" s="5" t="s">
        <v>15</v>
      </c>
      <c r="F201" s="6">
        <f>IF(H201=1,0.99,0)</f>
        <v/>
      </c>
      <c r="G201" s="6">
        <f>IF(H201=1,1.0,0)</f>
        <v/>
      </c>
      <c r="H201" s="8">
        <f>IF(OR(LOOKUP(A201,characters!A:A,characters!B:B)=-1, LOOKUP(A201,characters!A:A,characters!B:B)+0.1&gt;=B201),1,0)</f>
        <v/>
      </c>
    </row>
    <row r="202" spans="1:11">
      <c r="A202" s="4" t="s">
        <v>51</v>
      </c>
      <c r="B202" s="7">
        <v>0.2</v>
      </c>
      <c r="C202" s="6">
        <f>IF(H202=1,0.9,0)</f>
        <v/>
      </c>
      <c r="D202" s="5" t="s">
        <v>15</v>
      </c>
      <c r="E202" s="5" t="s">
        <v>15</v>
      </c>
      <c r="F202" s="5" t="s">
        <v>15</v>
      </c>
      <c r="G202" s="6">
        <f>IF(H202=1,1.0,0)</f>
        <v/>
      </c>
      <c r="H202" s="8">
        <f>IF(OR(LOOKUP(A202,characters!A:A,characters!B:B)=-1, LOOKUP(A202,characters!A:A,characters!B:B)+0.1&gt;=B202),1,0)</f>
        <v/>
      </c>
    </row>
    <row r="203" spans="1:11">
      <c r="A203" s="4" t="s">
        <v>27</v>
      </c>
      <c r="B203" s="7">
        <v>0.1</v>
      </c>
      <c r="C203" s="5" t="s">
        <v>15</v>
      </c>
      <c r="D203" s="5" t="s">
        <v>15</v>
      </c>
      <c r="E203" s="5" t="s">
        <v>15</v>
      </c>
      <c r="F203" s="6">
        <f>IF(H203=1,1.0,0)</f>
        <v/>
      </c>
      <c r="G203" s="5" t="s">
        <v>15</v>
      </c>
      <c r="H203" s="8">
        <f>IF(OR(LOOKUP(A203,characters!A:A,characters!B:B)=-1, LOOKUP(A203,characters!A:A,characters!B:B)+0.1&gt;=B203),1,0)</f>
        <v/>
      </c>
    </row>
    <row r="205" spans="1:11">
      <c r="A205" s="3" t="s">
        <v>18</v>
      </c>
      <c r="B205" s="3" t="s">
        <v>9</v>
      </c>
      <c r="C205" s="3" t="s">
        <v>19</v>
      </c>
      <c r="D205" s="3" t="s">
        <v>43</v>
      </c>
      <c r="E205" s="3" t="s">
        <v>29</v>
      </c>
      <c r="F205" s="3" t="s">
        <v>20</v>
      </c>
      <c r="G205" s="3" t="s">
        <v>41</v>
      </c>
      <c r="H205" s="3" t="s">
        <v>11</v>
      </c>
      <c r="I205" s="3" t="s">
        <v>55</v>
      </c>
      <c r="J205" s="3" t="s">
        <v>34</v>
      </c>
    </row>
    <row r="206" spans="1:11">
      <c r="A206" s="4" t="s">
        <v>14</v>
      </c>
      <c r="B206" s="5" t="s">
        <v>15</v>
      </c>
      <c r="C206" s="6">
        <f>IF(SUM(K207:K222)=0,0,SUM(C207:C222)/SUM(K207:K222))</f>
        <v/>
      </c>
      <c r="D206" s="6">
        <f>IF(SUM(K207:K222)=0,0,SUM(D207:D222)/SUM(K207:K222))</f>
        <v/>
      </c>
      <c r="E206" s="6">
        <f>IF(SUM(K207:K222)=0,0,SUM(E207:E222)/SUM(K207:K222))</f>
        <v/>
      </c>
      <c r="F206" s="6">
        <f>IF(SUM(K207:K222)=0,0,SUM(F207:F222)/SUM(K207:K222))</f>
        <v/>
      </c>
      <c r="G206" s="6">
        <f>IF(SUM(K207:K222)=0,0,SUM(G207:G222)/SUM(K207:K222))</f>
        <v/>
      </c>
      <c r="H206" s="6">
        <f>IF(SUM(K207:K222)=0,0,SUM(H207:H222)/SUM(K207:K222))</f>
        <v/>
      </c>
      <c r="I206" s="6">
        <f>IF(SUM(K207:K222)=0,0,SUM(I207:I222)/SUM(K207:K222))</f>
        <v/>
      </c>
      <c r="J206" s="6">
        <f>IF(SUM(K207:K222)=0,0,SUM(J207:J222)/SUM(K207:K222))</f>
        <v/>
      </c>
    </row>
    <row r="207" spans="1:11">
      <c r="A207" s="4" t="s">
        <v>46</v>
      </c>
      <c r="B207" s="7">
        <v>0.2</v>
      </c>
      <c r="C207" s="6">
        <f>IF(K207=1,1.0,0)</f>
        <v/>
      </c>
      <c r="D207" s="5" t="s">
        <v>15</v>
      </c>
      <c r="E207" s="5" t="s">
        <v>15</v>
      </c>
      <c r="F207" s="5" t="s">
        <v>15</v>
      </c>
      <c r="G207" s="5" t="s">
        <v>15</v>
      </c>
      <c r="H207" s="5" t="s">
        <v>15</v>
      </c>
      <c r="I207" s="5" t="s">
        <v>15</v>
      </c>
      <c r="J207" s="5" t="s">
        <v>15</v>
      </c>
      <c r="K207" s="8">
        <f>IF(OR(LOOKUP(A207,characters!A:A,characters!B:B)=-1, LOOKUP(A207,characters!A:A,characters!B:B)+0.1&gt;=B207),1,0)</f>
        <v/>
      </c>
    </row>
    <row r="208" spans="1:11">
      <c r="A208" s="4" t="s">
        <v>54</v>
      </c>
      <c r="B208" s="7">
        <v>2.3</v>
      </c>
      <c r="C208" s="5" t="s">
        <v>15</v>
      </c>
      <c r="D208" s="6">
        <f>IF(K208=1,1.0,0)</f>
        <v/>
      </c>
      <c r="E208" s="6">
        <f>IF(K208=1,1.0,0)</f>
        <v/>
      </c>
      <c r="F208" s="5" t="s">
        <v>15</v>
      </c>
      <c r="G208" s="5" t="s">
        <v>15</v>
      </c>
      <c r="H208" s="5" t="s">
        <v>15</v>
      </c>
      <c r="I208" s="5" t="s">
        <v>15</v>
      </c>
      <c r="J208" s="5" t="s">
        <v>15</v>
      </c>
      <c r="K208" s="8">
        <f>IF(OR(LOOKUP(A208,characters!A:A,characters!B:B)=-1, LOOKUP(A208,characters!A:A,characters!B:B)+0.1&gt;=B208),1,0)</f>
        <v/>
      </c>
    </row>
    <row r="209" spans="1:11">
      <c r="A209" s="4" t="s">
        <v>26</v>
      </c>
      <c r="B209" s="7">
        <v>0.2</v>
      </c>
      <c r="C209" s="5" t="s">
        <v>15</v>
      </c>
      <c r="D209" s="5" t="s">
        <v>15</v>
      </c>
      <c r="E209" s="6">
        <f>IF(K209=1,1.0,0)</f>
        <v/>
      </c>
      <c r="F209" s="6">
        <f>IF(K209=1,0.99,0)</f>
        <v/>
      </c>
      <c r="G209" s="5" t="s">
        <v>15</v>
      </c>
      <c r="H209" s="5" t="s">
        <v>15</v>
      </c>
      <c r="I209" s="5" t="s">
        <v>15</v>
      </c>
      <c r="J209" s="5" t="s">
        <v>15</v>
      </c>
      <c r="K209" s="8">
        <f>IF(OR(LOOKUP(A209,characters!A:A,characters!B:B)=-1, LOOKUP(A209,characters!A:A,characters!B:B)+0.1&gt;=B209),1,0)</f>
        <v/>
      </c>
    </row>
    <row r="210" spans="1:11">
      <c r="A210" s="4" t="s">
        <v>52</v>
      </c>
      <c r="B210" s="7">
        <v>1</v>
      </c>
      <c r="C210" s="5" t="s">
        <v>15</v>
      </c>
      <c r="D210" s="5" t="s">
        <v>15</v>
      </c>
      <c r="E210" s="5" t="s">
        <v>15</v>
      </c>
      <c r="F210" s="6">
        <f>IF(K210=1,0.9,0)</f>
        <v/>
      </c>
      <c r="G210" s="6">
        <f>IF(K210=1,1.0,0)</f>
        <v/>
      </c>
      <c r="H210" s="6">
        <f>IF(K210=1,0.9,0)</f>
        <v/>
      </c>
      <c r="I210" s="5" t="s">
        <v>15</v>
      </c>
      <c r="J210" s="5" t="s">
        <v>15</v>
      </c>
      <c r="K210" s="8">
        <f>IF(OR(LOOKUP(A210,characters!A:A,characters!B:B)=-1, LOOKUP(A210,characters!A:A,characters!B:B)+0.1&gt;=B210),1,0)</f>
        <v/>
      </c>
    </row>
    <row r="211" spans="1:11">
      <c r="A211" s="4" t="s">
        <v>16</v>
      </c>
      <c r="B211" s="7">
        <v>0.1</v>
      </c>
      <c r="C211" s="6">
        <f>IF(K211=1,1.0,0)</f>
        <v/>
      </c>
      <c r="D211" s="5" t="s">
        <v>15</v>
      </c>
      <c r="E211" s="5" t="s">
        <v>15</v>
      </c>
      <c r="F211" s="6">
        <f>IF(K211=1,0.9,0)</f>
        <v/>
      </c>
      <c r="G211" s="5" t="s">
        <v>15</v>
      </c>
      <c r="H211" s="6">
        <f>IF(K211=1,0.9,0)</f>
        <v/>
      </c>
      <c r="I211" s="5" t="s">
        <v>15</v>
      </c>
      <c r="J211" s="5" t="s">
        <v>15</v>
      </c>
      <c r="K211" s="8">
        <f>IF(OR(LOOKUP(A211,characters!A:A,characters!B:B)=-1, LOOKUP(A211,characters!A:A,characters!B:B)+0.1&gt;=B211),1,0)</f>
        <v/>
      </c>
    </row>
    <row r="212" spans="1:11">
      <c r="A212" s="4" t="s">
        <v>37</v>
      </c>
      <c r="B212" s="7">
        <v>0.1</v>
      </c>
      <c r="C212" s="5" t="s">
        <v>15</v>
      </c>
      <c r="D212" s="5" t="s">
        <v>15</v>
      </c>
      <c r="E212" s="5" t="s">
        <v>15</v>
      </c>
      <c r="F212" s="6">
        <f>IF(K212=1,0.9,0)</f>
        <v/>
      </c>
      <c r="G212" s="6">
        <f>IF(K212=1,1.0,0)</f>
        <v/>
      </c>
      <c r="H212" s="6">
        <f>IF(K212=1,0.89,0)</f>
        <v/>
      </c>
      <c r="I212" s="5" t="s">
        <v>15</v>
      </c>
      <c r="J212" s="5" t="s">
        <v>15</v>
      </c>
      <c r="K212" s="8">
        <f>IF(OR(LOOKUP(A212,characters!A:A,characters!B:B)=-1, LOOKUP(A212,characters!A:A,characters!B:B)+0.1&gt;=B212),1,0)</f>
        <v/>
      </c>
    </row>
    <row r="213" spans="1:11">
      <c r="A213" s="4" t="s">
        <v>47</v>
      </c>
      <c r="B213" s="7">
        <v>0.2</v>
      </c>
      <c r="C213" s="5" t="s">
        <v>15</v>
      </c>
      <c r="D213" s="5" t="s">
        <v>15</v>
      </c>
      <c r="E213" s="6">
        <f>IF(K213=1,1.0,0)</f>
        <v/>
      </c>
      <c r="F213" s="5" t="s">
        <v>15</v>
      </c>
      <c r="G213" s="5" t="s">
        <v>15</v>
      </c>
      <c r="H213" s="5" t="s">
        <v>15</v>
      </c>
      <c r="I213" s="5" t="s">
        <v>15</v>
      </c>
      <c r="J213" s="5" t="s">
        <v>15</v>
      </c>
      <c r="K213" s="8">
        <f>IF(OR(LOOKUP(A213,characters!A:A,characters!B:B)=-1, LOOKUP(A213,characters!A:A,characters!B:B)+0.1&gt;=B213),1,0)</f>
        <v/>
      </c>
    </row>
    <row r="214" spans="1:11">
      <c r="A214" s="4" t="s">
        <v>28</v>
      </c>
      <c r="B214" s="7">
        <v>0.7</v>
      </c>
      <c r="C214" s="5" t="s">
        <v>15</v>
      </c>
      <c r="D214" s="5" t="s">
        <v>15</v>
      </c>
      <c r="E214" s="6">
        <f>IF(K214=1,1.0,0)</f>
        <v/>
      </c>
      <c r="F214" s="6">
        <f>IF(K214=1,1.0,0)</f>
        <v/>
      </c>
      <c r="G214" s="5" t="s">
        <v>15</v>
      </c>
      <c r="H214" s="6">
        <f>IF(K214=1,1.0,0)</f>
        <v/>
      </c>
      <c r="I214" s="5" t="s">
        <v>15</v>
      </c>
      <c r="J214" s="5" t="s">
        <v>15</v>
      </c>
      <c r="K214" s="8">
        <f>IF(OR(LOOKUP(A214,characters!A:A,characters!B:B)=-1, LOOKUP(A214,characters!A:A,characters!B:B)+0.1&gt;=B214),1,0)</f>
        <v/>
      </c>
    </row>
    <row r="215" spans="1:11">
      <c r="A215" s="4" t="s">
        <v>48</v>
      </c>
      <c r="B215" s="7">
        <v>0.2</v>
      </c>
      <c r="C215" s="5" t="s">
        <v>15</v>
      </c>
      <c r="D215" s="5" t="s">
        <v>15</v>
      </c>
      <c r="E215" s="5" t="s">
        <v>15</v>
      </c>
      <c r="F215" s="5" t="s">
        <v>15</v>
      </c>
      <c r="G215" s="5" t="s">
        <v>15</v>
      </c>
      <c r="H215" s="6">
        <f>IF(K215=1,1.0,0)</f>
        <v/>
      </c>
      <c r="I215" s="5" t="s">
        <v>15</v>
      </c>
      <c r="J215" s="5" t="s">
        <v>15</v>
      </c>
      <c r="K215" s="8">
        <f>IF(OR(LOOKUP(A215,characters!A:A,characters!B:B)=-1, LOOKUP(A215,characters!A:A,characters!B:B)+0.1&gt;=B215),1,0)</f>
        <v/>
      </c>
    </row>
    <row r="216" spans="1:11">
      <c r="A216" s="4" t="s">
        <v>49</v>
      </c>
      <c r="B216" s="7">
        <v>0.2</v>
      </c>
      <c r="C216" s="5" t="s">
        <v>15</v>
      </c>
      <c r="D216" s="5" t="s">
        <v>15</v>
      </c>
      <c r="E216" s="5" t="s">
        <v>15</v>
      </c>
      <c r="F216" s="5" t="s">
        <v>15</v>
      </c>
      <c r="G216" s="5" t="s">
        <v>15</v>
      </c>
      <c r="H216" s="5" t="s">
        <v>15</v>
      </c>
      <c r="I216" s="6">
        <f>IF(K216=1,1.0,0)</f>
        <v/>
      </c>
      <c r="J216" s="5" t="s">
        <v>15</v>
      </c>
      <c r="K216" s="8">
        <f>IF(OR(LOOKUP(A216,characters!A:A,characters!B:B)=-1, LOOKUP(A216,characters!A:A,characters!B:B)+0.1&gt;=B216),1,0)</f>
        <v/>
      </c>
    </row>
    <row r="217" spans="1:11">
      <c r="A217" s="4" t="s">
        <v>45</v>
      </c>
      <c r="B217" s="7">
        <v>0.1</v>
      </c>
      <c r="C217" s="5" t="s">
        <v>15</v>
      </c>
      <c r="D217" s="5" t="s">
        <v>15</v>
      </c>
      <c r="E217" s="5" t="s">
        <v>15</v>
      </c>
      <c r="F217" s="5" t="s">
        <v>15</v>
      </c>
      <c r="G217" s="5" t="s">
        <v>15</v>
      </c>
      <c r="H217" s="6">
        <f>IF(K217=1,0.9,0)</f>
        <v/>
      </c>
      <c r="I217" s="5" t="s">
        <v>15</v>
      </c>
      <c r="J217" s="6">
        <f>IF(K217=1,1.0,0)</f>
        <v/>
      </c>
      <c r="K217" s="8">
        <f>IF(OR(LOOKUP(A217,characters!A:A,characters!B:B)=-1, LOOKUP(A217,characters!A:A,characters!B:B)+0.1&gt;=B217),1,0)</f>
        <v/>
      </c>
    </row>
    <row r="218" spans="1:11">
      <c r="A218" s="4" t="s">
        <v>39</v>
      </c>
      <c r="B218" s="7">
        <v>0.1</v>
      </c>
      <c r="C218" s="5" t="s">
        <v>15</v>
      </c>
      <c r="D218" s="5" t="s">
        <v>15</v>
      </c>
      <c r="E218" s="5" t="s">
        <v>15</v>
      </c>
      <c r="F218" s="6">
        <f>IF(K218=1,0.9,0)</f>
        <v/>
      </c>
      <c r="G218" s="6">
        <f>IF(K218=1,1.0,0)</f>
        <v/>
      </c>
      <c r="H218" s="6">
        <f>IF(K218=1,0.9,0)</f>
        <v/>
      </c>
      <c r="I218" s="5" t="s">
        <v>15</v>
      </c>
      <c r="J218" s="5" t="s">
        <v>15</v>
      </c>
      <c r="K218" s="8">
        <f>IF(OR(LOOKUP(A218,characters!A:A,characters!B:B)=-1, LOOKUP(A218,characters!A:A,characters!B:B)+0.1&gt;=B218),1,0)</f>
        <v/>
      </c>
    </row>
    <row r="219" spans="1:11">
      <c r="A219" s="4" t="s">
        <v>50</v>
      </c>
      <c r="B219" s="7">
        <v>0.2</v>
      </c>
      <c r="C219" s="5" t="s">
        <v>15</v>
      </c>
      <c r="D219" s="5" t="s">
        <v>15</v>
      </c>
      <c r="E219" s="5" t="s">
        <v>15</v>
      </c>
      <c r="F219" s="6">
        <f>IF(K219=1,1.0,0)</f>
        <v/>
      </c>
      <c r="G219" s="5" t="s">
        <v>15</v>
      </c>
      <c r="H219" s="5" t="s">
        <v>15</v>
      </c>
      <c r="I219" s="5" t="s">
        <v>15</v>
      </c>
      <c r="J219" s="5" t="s">
        <v>15</v>
      </c>
      <c r="K219" s="8">
        <f>IF(OR(LOOKUP(A219,characters!A:A,characters!B:B)=-1, LOOKUP(A219,characters!A:A,characters!B:B)+0.1&gt;=B219),1,0)</f>
        <v/>
      </c>
    </row>
    <row r="220" spans="1:11">
      <c r="A220" s="4" t="s">
        <v>53</v>
      </c>
      <c r="B220" s="7">
        <v>2</v>
      </c>
      <c r="C220" s="6">
        <f>IF(K220=1,0.99,0)</f>
        <v/>
      </c>
      <c r="D220" s="5" t="s">
        <v>15</v>
      </c>
      <c r="E220" s="5" t="s">
        <v>15</v>
      </c>
      <c r="F220" s="5" t="s">
        <v>15</v>
      </c>
      <c r="G220" s="5" t="s">
        <v>15</v>
      </c>
      <c r="H220" s="6">
        <f>IF(K220=1,1.0,0)</f>
        <v/>
      </c>
      <c r="I220" s="5" t="s">
        <v>15</v>
      </c>
      <c r="J220" s="5" t="s">
        <v>15</v>
      </c>
      <c r="K220" s="8">
        <f>IF(OR(LOOKUP(A220,characters!A:A,characters!B:B)=-1, LOOKUP(A220,characters!A:A,characters!B:B)+0.1&gt;=B220),1,0)</f>
        <v/>
      </c>
    </row>
    <row r="221" spans="1:11">
      <c r="A221" s="4" t="s">
        <v>51</v>
      </c>
      <c r="B221" s="7">
        <v>0.2</v>
      </c>
      <c r="C221" s="5" t="s">
        <v>15</v>
      </c>
      <c r="D221" s="5" t="s">
        <v>15</v>
      </c>
      <c r="E221" s="5" t="s">
        <v>15</v>
      </c>
      <c r="F221" s="5" t="s">
        <v>15</v>
      </c>
      <c r="G221" s="5" t="s">
        <v>15</v>
      </c>
      <c r="H221" s="6">
        <f>IF(K221=1,1.0,0)</f>
        <v/>
      </c>
      <c r="I221" s="6">
        <f>IF(K221=1,0.9,0)</f>
        <v/>
      </c>
      <c r="J221" s="5" t="s">
        <v>15</v>
      </c>
      <c r="K221" s="8">
        <f>IF(OR(LOOKUP(A221,characters!A:A,characters!B:B)=-1, LOOKUP(A221,characters!A:A,characters!B:B)+0.1&gt;=B221),1,0)</f>
        <v/>
      </c>
    </row>
    <row r="222" spans="1:11">
      <c r="A222" s="4" t="s">
        <v>27</v>
      </c>
      <c r="B222" s="7">
        <v>0.1</v>
      </c>
      <c r="C222" s="6">
        <f>IF(K222=1,1.0,0)</f>
        <v/>
      </c>
      <c r="D222" s="5" t="s">
        <v>15</v>
      </c>
      <c r="E222" s="5" t="s">
        <v>15</v>
      </c>
      <c r="F222" s="6">
        <f>IF(K222=1,0.99,0)</f>
        <v/>
      </c>
      <c r="G222" s="5" t="s">
        <v>15</v>
      </c>
      <c r="H222" s="5" t="s">
        <v>15</v>
      </c>
      <c r="I222" s="5" t="s">
        <v>15</v>
      </c>
      <c r="J222" s="5" t="s">
        <v>15</v>
      </c>
      <c r="K222" s="8">
        <f>IF(OR(LOOKUP(A222,characters!A:A,characters!B:B)=-1, LOOKUP(A222,characters!A:A,characters!B:B)+0.1&gt;=B222),1,0)</f>
        <v/>
      </c>
    </row>
    <row r="224" spans="1:11">
      <c r="A224" s="3" t="s">
        <v>21</v>
      </c>
      <c r="B224" s="3" t="s">
        <v>9</v>
      </c>
      <c r="C224" s="3" t="s">
        <v>30</v>
      </c>
      <c r="D224" s="3" t="s">
        <v>43</v>
      </c>
      <c r="E224" s="3" t="s">
        <v>56</v>
      </c>
      <c r="F224" s="3" t="s">
        <v>11</v>
      </c>
      <c r="G224" s="3" t="s">
        <v>22</v>
      </c>
    </row>
    <row r="225" spans="1:8">
      <c r="A225" s="4" t="s">
        <v>14</v>
      </c>
      <c r="B225" s="5" t="s">
        <v>15</v>
      </c>
      <c r="C225" s="6">
        <f>IF(SUM(H226:H241)=0,0,SUM(C226:C241)/SUM(H226:H241))</f>
        <v/>
      </c>
      <c r="D225" s="6">
        <f>IF(SUM(H226:H241)=0,0,SUM(D226:D241)/SUM(H226:H241))</f>
        <v/>
      </c>
      <c r="E225" s="6">
        <f>IF(SUM(H226:H241)=0,0,SUM(E226:E241)/SUM(H226:H241))</f>
        <v/>
      </c>
      <c r="F225" s="6">
        <f>IF(SUM(H226:H241)=0,0,SUM(F226:F241)/SUM(H226:H241))</f>
        <v/>
      </c>
      <c r="G225" s="6">
        <f>IF(SUM(H226:H241)=0,0,SUM(G226:G241)/SUM(H226:H241))</f>
        <v/>
      </c>
    </row>
    <row r="226" spans="1:8">
      <c r="A226" s="4" t="s">
        <v>46</v>
      </c>
      <c r="B226" s="7">
        <v>0.2</v>
      </c>
      <c r="C226" s="6">
        <f>IF(H226=1,1.0,0)</f>
        <v/>
      </c>
      <c r="D226" s="5" t="s">
        <v>15</v>
      </c>
      <c r="E226" s="5" t="s">
        <v>15</v>
      </c>
      <c r="F226" s="5" t="s">
        <v>15</v>
      </c>
      <c r="G226" s="5" t="s">
        <v>15</v>
      </c>
      <c r="H226" s="8">
        <f>IF(OR(LOOKUP(A226,characters!A:A,characters!B:B)=-1, LOOKUP(A226,characters!A:A,characters!B:B)+0.1&gt;=B226),1,0)</f>
        <v/>
      </c>
    </row>
    <row r="227" spans="1:8">
      <c r="A227" s="4" t="s">
        <v>54</v>
      </c>
      <c r="B227" s="7">
        <v>2.3</v>
      </c>
      <c r="C227" s="5" t="s">
        <v>15</v>
      </c>
      <c r="D227" s="6">
        <f>IF(H227=1,1.0,0)</f>
        <v/>
      </c>
      <c r="E227" s="6">
        <f>IF(H227=1,1.0,0)</f>
        <v/>
      </c>
      <c r="F227" s="5" t="s">
        <v>15</v>
      </c>
      <c r="G227" s="5" t="s">
        <v>15</v>
      </c>
      <c r="H227" s="8">
        <f>IF(OR(LOOKUP(A227,characters!A:A,characters!B:B)=-1, LOOKUP(A227,characters!A:A,characters!B:B)+0.1&gt;=B227),1,0)</f>
        <v/>
      </c>
    </row>
    <row r="228" spans="1:8">
      <c r="A228" s="4" t="s">
        <v>26</v>
      </c>
      <c r="B228" s="7">
        <v>0.2</v>
      </c>
      <c r="C228" s="5" t="s">
        <v>15</v>
      </c>
      <c r="D228" s="5" t="s">
        <v>15</v>
      </c>
      <c r="E228" s="5" t="s">
        <v>15</v>
      </c>
      <c r="F228" s="6">
        <f>IF(H228=1,1.0,0)</f>
        <v/>
      </c>
      <c r="G228" s="6">
        <f>IF(H228=1,1.0,0)</f>
        <v/>
      </c>
      <c r="H228" s="8">
        <f>IF(OR(LOOKUP(A228,characters!A:A,characters!B:B)=-1, LOOKUP(A228,characters!A:A,characters!B:B)+0.1&gt;=B228),1,0)</f>
        <v/>
      </c>
    </row>
    <row r="229" spans="1:8">
      <c r="A229" s="4" t="s">
        <v>52</v>
      </c>
      <c r="B229" s="7">
        <v>1</v>
      </c>
      <c r="C229" s="6">
        <f>IF(H229=1,1.0,0)</f>
        <v/>
      </c>
      <c r="D229" s="5" t="s">
        <v>15</v>
      </c>
      <c r="E229" s="5" t="s">
        <v>15</v>
      </c>
      <c r="F229" s="5" t="s">
        <v>15</v>
      </c>
      <c r="G229" s="5" t="s">
        <v>15</v>
      </c>
      <c r="H229" s="8">
        <f>IF(OR(LOOKUP(A229,characters!A:A,characters!B:B)=-1, LOOKUP(A229,characters!A:A,characters!B:B)+0.1&gt;=B229),1,0)</f>
        <v/>
      </c>
    </row>
    <row r="230" spans="1:8">
      <c r="A230" s="4" t="s">
        <v>16</v>
      </c>
      <c r="B230" s="7">
        <v>0.1</v>
      </c>
      <c r="C230" s="5" t="s">
        <v>15</v>
      </c>
      <c r="D230" s="5" t="s">
        <v>15</v>
      </c>
      <c r="E230" s="5" t="s">
        <v>15</v>
      </c>
      <c r="F230" s="6">
        <f>IF(H230=1,1.0,0)</f>
        <v/>
      </c>
      <c r="G230" s="6">
        <f>IF(H230=1,1.0,0)</f>
        <v/>
      </c>
      <c r="H230" s="8">
        <f>IF(OR(LOOKUP(A230,characters!A:A,characters!B:B)=-1, LOOKUP(A230,characters!A:A,characters!B:B)+0.1&gt;=B230),1,0)</f>
        <v/>
      </c>
    </row>
    <row r="231" spans="1:8">
      <c r="A231" s="4" t="s">
        <v>37</v>
      </c>
      <c r="B231" s="7">
        <v>0.1</v>
      </c>
      <c r="C231" s="5" t="s">
        <v>15</v>
      </c>
      <c r="D231" s="5" t="s">
        <v>15</v>
      </c>
      <c r="E231" s="5" t="s">
        <v>15</v>
      </c>
      <c r="F231" s="6">
        <f>IF(H231=1,0.99,0)</f>
        <v/>
      </c>
      <c r="G231" s="6">
        <f>IF(H231=1,1.0,0)</f>
        <v/>
      </c>
      <c r="H231" s="8">
        <f>IF(OR(LOOKUP(A231,characters!A:A,characters!B:B)=-1, LOOKUP(A231,characters!A:A,characters!B:B)+0.1&gt;=B231),1,0)</f>
        <v/>
      </c>
    </row>
    <row r="232" spans="1:8">
      <c r="A232" s="4" t="s">
        <v>47</v>
      </c>
      <c r="B232" s="7">
        <v>0.2</v>
      </c>
      <c r="C232" s="6">
        <f>IF(H232=1,1.0,0)</f>
        <v/>
      </c>
      <c r="D232" s="5" t="s">
        <v>15</v>
      </c>
      <c r="E232" s="5" t="s">
        <v>15</v>
      </c>
      <c r="F232" s="5" t="s">
        <v>15</v>
      </c>
      <c r="G232" s="5" t="s">
        <v>15</v>
      </c>
      <c r="H232" s="8">
        <f>IF(OR(LOOKUP(A232,characters!A:A,characters!B:B)=-1, LOOKUP(A232,characters!A:A,characters!B:B)+0.1&gt;=B232),1,0)</f>
        <v/>
      </c>
    </row>
    <row r="233" spans="1:8">
      <c r="A233" s="4" t="s">
        <v>28</v>
      </c>
      <c r="B233" s="7">
        <v>0.7</v>
      </c>
      <c r="C233" s="6">
        <f>IF(H233=1,1.0,0)</f>
        <v/>
      </c>
      <c r="D233" s="5" t="s">
        <v>15</v>
      </c>
      <c r="E233" s="5" t="s">
        <v>15</v>
      </c>
      <c r="F233" s="5" t="s">
        <v>15</v>
      </c>
      <c r="G233" s="5" t="s">
        <v>15</v>
      </c>
      <c r="H233" s="8">
        <f>IF(OR(LOOKUP(A233,characters!A:A,characters!B:B)=-1, LOOKUP(A233,characters!A:A,characters!B:B)+0.1&gt;=B233),1,0)</f>
        <v/>
      </c>
    </row>
    <row r="234" spans="1:8">
      <c r="A234" s="4" t="s">
        <v>48</v>
      </c>
      <c r="B234" s="7">
        <v>0.2</v>
      </c>
      <c r="C234" s="5" t="s">
        <v>15</v>
      </c>
      <c r="D234" s="5" t="s">
        <v>15</v>
      </c>
      <c r="E234" s="6">
        <f>IF(H234=1,1.0,0)</f>
        <v/>
      </c>
      <c r="F234" s="6">
        <f>IF(H234=1,1.0,0)</f>
        <v/>
      </c>
      <c r="G234" s="5" t="s">
        <v>15</v>
      </c>
      <c r="H234" s="8">
        <f>IF(OR(LOOKUP(A234,characters!A:A,characters!B:B)=-1, LOOKUP(A234,characters!A:A,characters!B:B)+0.1&gt;=B234),1,0)</f>
        <v/>
      </c>
    </row>
    <row r="235" spans="1:8">
      <c r="A235" s="4" t="s">
        <v>49</v>
      </c>
      <c r="B235" s="7">
        <v>0.2</v>
      </c>
      <c r="C235" s="6">
        <f>IF(H235=1,1.0,0)</f>
        <v/>
      </c>
      <c r="D235" s="5" t="s">
        <v>15</v>
      </c>
      <c r="E235" s="5" t="s">
        <v>15</v>
      </c>
      <c r="F235" s="5" t="s">
        <v>15</v>
      </c>
      <c r="G235" s="5" t="s">
        <v>15</v>
      </c>
      <c r="H235" s="8">
        <f>IF(OR(LOOKUP(A235,characters!A:A,characters!B:B)=-1, LOOKUP(A235,characters!A:A,characters!B:B)+0.1&gt;=B235),1,0)</f>
        <v/>
      </c>
    </row>
    <row r="236" spans="1:8">
      <c r="A236" s="4" t="s">
        <v>45</v>
      </c>
      <c r="B236" s="7">
        <v>0.1</v>
      </c>
      <c r="C236" s="5" t="s">
        <v>15</v>
      </c>
      <c r="D236" s="5" t="s">
        <v>15</v>
      </c>
      <c r="E236" s="6">
        <f>IF(H236=1,1.0,0)</f>
        <v/>
      </c>
      <c r="F236" s="6">
        <f>IF(H236=1,1.0,0)</f>
        <v/>
      </c>
      <c r="G236" s="5" t="s">
        <v>15</v>
      </c>
      <c r="H236" s="8">
        <f>IF(OR(LOOKUP(A236,characters!A:A,characters!B:B)=-1, LOOKUP(A236,characters!A:A,characters!B:B)+0.1&gt;=B236),1,0)</f>
        <v/>
      </c>
    </row>
    <row r="237" spans="1:8">
      <c r="A237" s="4" t="s">
        <v>39</v>
      </c>
      <c r="B237" s="7">
        <v>0.1</v>
      </c>
      <c r="C237" s="5" t="s">
        <v>15</v>
      </c>
      <c r="D237" s="5" t="s">
        <v>15</v>
      </c>
      <c r="E237" s="5" t="s">
        <v>15</v>
      </c>
      <c r="F237" s="6">
        <f>IF(H237=1,1.0,0)</f>
        <v/>
      </c>
      <c r="G237" s="6">
        <f>IF(H237=1,1.0,0)</f>
        <v/>
      </c>
      <c r="H237" s="8">
        <f>IF(OR(LOOKUP(A237,characters!A:A,characters!B:B)=-1, LOOKUP(A237,characters!A:A,characters!B:B)+0.1&gt;=B237),1,0)</f>
        <v/>
      </c>
    </row>
    <row r="238" spans="1:8">
      <c r="A238" s="4" t="s">
        <v>50</v>
      </c>
      <c r="B238" s="7">
        <v>0.2</v>
      </c>
      <c r="C238" s="5" t="s">
        <v>15</v>
      </c>
      <c r="D238" s="5" t="s">
        <v>15</v>
      </c>
      <c r="E238" s="6">
        <f>IF(H238=1,1.0,0)</f>
        <v/>
      </c>
      <c r="F238" s="6">
        <f>IF(H238=1,0.99,0)</f>
        <v/>
      </c>
      <c r="G238" s="5" t="s">
        <v>15</v>
      </c>
      <c r="H238" s="8">
        <f>IF(OR(LOOKUP(A238,characters!A:A,characters!B:B)=-1, LOOKUP(A238,characters!A:A,characters!B:B)+0.1&gt;=B238),1,0)</f>
        <v/>
      </c>
    </row>
    <row r="239" spans="1:8">
      <c r="A239" s="4" t="s">
        <v>53</v>
      </c>
      <c r="B239" s="7">
        <v>2</v>
      </c>
      <c r="C239" s="5" t="s">
        <v>15</v>
      </c>
      <c r="D239" s="5" t="s">
        <v>15</v>
      </c>
      <c r="E239" s="6">
        <f>IF(H239=1,1.0,0)</f>
        <v/>
      </c>
      <c r="F239" s="5" t="s">
        <v>15</v>
      </c>
      <c r="G239" s="6">
        <f>IF(H239=1,1.0,0)</f>
        <v/>
      </c>
      <c r="H239" s="8">
        <f>IF(OR(LOOKUP(A239,characters!A:A,characters!B:B)=-1, LOOKUP(A239,characters!A:A,characters!B:B)+0.1&gt;=B239),1,0)</f>
        <v/>
      </c>
    </row>
    <row r="240" spans="1:8">
      <c r="A240" s="4" t="s">
        <v>51</v>
      </c>
      <c r="B240" s="7">
        <v>0.2</v>
      </c>
      <c r="C240" s="5" t="s">
        <v>15</v>
      </c>
      <c r="D240" s="5" t="s">
        <v>15</v>
      </c>
      <c r="E240" s="6">
        <f>IF(H240=1,1.0,0)</f>
        <v/>
      </c>
      <c r="F240" s="6">
        <f>IF(H240=1,1.0,0)</f>
        <v/>
      </c>
      <c r="G240" s="5" t="s">
        <v>15</v>
      </c>
      <c r="H240" s="8">
        <f>IF(OR(LOOKUP(A240,characters!A:A,characters!B:B)=-1, LOOKUP(A240,characters!A:A,characters!B:B)+0.1&gt;=B240),1,0)</f>
        <v/>
      </c>
    </row>
    <row r="241" spans="1:11">
      <c r="A241" s="4" t="s">
        <v>27</v>
      </c>
      <c r="B241" s="7">
        <v>0.1</v>
      </c>
      <c r="C241" s="5" t="s">
        <v>15</v>
      </c>
      <c r="D241" s="5" t="s">
        <v>15</v>
      </c>
      <c r="E241" s="5" t="s">
        <v>15</v>
      </c>
      <c r="F241" s="6">
        <f>IF(H241=1,1.0,0)</f>
        <v/>
      </c>
      <c r="G241" s="6">
        <f>IF(H241=1,1.0,0)</f>
        <v/>
      </c>
      <c r="H241" s="8">
        <f>IF(OR(LOOKUP(A241,characters!A:A,characters!B:B)=-1, LOOKUP(A241,characters!A:A,characters!B:B)+0.1&gt;=B241),1,0)</f>
        <v/>
      </c>
    </row>
    <row r="248" spans="1:11">
      <c r="A248" s="3" t="s">
        <v>57</v>
      </c>
    </row>
    <row r="249" spans="1:11">
      <c r="A249" s="3" t="s">
        <v>8</v>
      </c>
      <c r="B249" s="3" t="s">
        <v>9</v>
      </c>
      <c r="C249" s="3" t="s">
        <v>11</v>
      </c>
      <c r="D249" s="3" t="s">
        <v>12</v>
      </c>
      <c r="E249" s="3" t="s">
        <v>13</v>
      </c>
      <c r="F249" s="3" t="s">
        <v>24</v>
      </c>
      <c r="G249" s="3" t="s">
        <v>25</v>
      </c>
      <c r="H249" s="3" t="s">
        <v>10</v>
      </c>
      <c r="I249" s="3" t="s">
        <v>43</v>
      </c>
      <c r="J249" s="3" t="s">
        <v>44</v>
      </c>
    </row>
    <row r="250" spans="1:11">
      <c r="A250" s="4" t="s">
        <v>14</v>
      </c>
      <c r="B250" s="5" t="s">
        <v>15</v>
      </c>
      <c r="C250" s="6">
        <f>IF(SUM(K251:K272)=0,0,SUM(C251:C272)/SUM(K251:K272))</f>
        <v/>
      </c>
      <c r="D250" s="6">
        <f>IF(SUM(K251:K272)=0,0,SUM(D251:D272)/SUM(K251:K272))</f>
        <v/>
      </c>
      <c r="E250" s="6">
        <f>IF(SUM(K251:K272)=0,0,SUM(E251:E272)/SUM(K251:K272))</f>
        <v/>
      </c>
      <c r="F250" s="6">
        <f>IF(SUM(K251:K272)=0,0,SUM(F251:F272)/SUM(K251:K272))</f>
        <v/>
      </c>
      <c r="G250" s="6">
        <f>IF(SUM(K251:K272)=0,0,SUM(G251:G272)/SUM(K251:K272))</f>
        <v/>
      </c>
      <c r="H250" s="6">
        <f>IF(SUM(K251:K272)=0,0,SUM(H251:H272)/SUM(K251:K272))</f>
        <v/>
      </c>
      <c r="I250" s="6">
        <f>IF(SUM(K251:K272)=0,0,SUM(I251:I272)/SUM(K251:K272))</f>
        <v/>
      </c>
      <c r="J250" s="6">
        <f>IF(SUM(K251:K272)=0,0,SUM(J251:J272)/SUM(K251:K272))</f>
        <v/>
      </c>
    </row>
    <row r="251" spans="1:11">
      <c r="A251" s="4" t="s">
        <v>48</v>
      </c>
      <c r="B251" s="7">
        <v>0.1</v>
      </c>
      <c r="C251" s="6">
        <f>IF(K251=1,1.0,0)</f>
        <v/>
      </c>
      <c r="D251" s="6">
        <f>IF(K251=1,0.9,0)</f>
        <v/>
      </c>
      <c r="E251" s="6">
        <f>IF(K251=1,0.9,0)</f>
        <v/>
      </c>
      <c r="F251" s="6">
        <f>IF(K251=1,1.0,0)</f>
        <v/>
      </c>
      <c r="G251" s="6">
        <f>IF(K251=1,1.0,0)</f>
        <v/>
      </c>
      <c r="H251" s="5" t="s">
        <v>15</v>
      </c>
      <c r="I251" s="5" t="s">
        <v>15</v>
      </c>
      <c r="J251" s="5" t="s">
        <v>15</v>
      </c>
      <c r="K251" s="8">
        <f>IF(OR(LOOKUP(A251,characters!A:A,characters!B:B)=-1, LOOKUP(A251,characters!A:A,characters!B:B)+0.1&gt;=B251),1,0)</f>
        <v/>
      </c>
    </row>
    <row r="252" spans="1:11">
      <c r="A252" s="4" t="s">
        <v>51</v>
      </c>
      <c r="B252" s="7">
        <v>0.1</v>
      </c>
      <c r="C252" s="6">
        <f>IF(K252=1,1.0,0)</f>
        <v/>
      </c>
      <c r="D252" s="6">
        <f>IF(K252=1,0.9,0)</f>
        <v/>
      </c>
      <c r="E252" s="6">
        <f>IF(K252=1,0.9,0)</f>
        <v/>
      </c>
      <c r="F252" s="6">
        <f>IF(K252=1,1.0,0)</f>
        <v/>
      </c>
      <c r="G252" s="6">
        <f>IF(K252=1,1.0,0)</f>
        <v/>
      </c>
      <c r="H252" s="5" t="s">
        <v>15</v>
      </c>
      <c r="I252" s="5" t="s">
        <v>15</v>
      </c>
      <c r="J252" s="5" t="s">
        <v>15</v>
      </c>
      <c r="K252" s="8">
        <f>IF(OR(LOOKUP(A252,characters!A:A,characters!B:B)=-1, LOOKUP(A252,characters!A:A,characters!B:B)+0.1&gt;=B252),1,0)</f>
        <v/>
      </c>
    </row>
    <row r="253" spans="1:11">
      <c r="A253" s="4" t="s">
        <v>58</v>
      </c>
      <c r="B253" s="7">
        <v>0.2</v>
      </c>
      <c r="C253" s="6">
        <f>IF(K253=1,0.9,0)</f>
        <v/>
      </c>
      <c r="D253" s="6">
        <f>IF(K253=1,0.8,0)</f>
        <v/>
      </c>
      <c r="E253" s="6">
        <f>IF(K253=1,0.8,0)</f>
        <v/>
      </c>
      <c r="F253" s="6">
        <f>IF(K253=1,1.0,0)</f>
        <v/>
      </c>
      <c r="G253" s="6">
        <f>IF(K253=1,1.0,0)</f>
        <v/>
      </c>
      <c r="H253" s="5" t="s">
        <v>15</v>
      </c>
      <c r="I253" s="5" t="s">
        <v>15</v>
      </c>
      <c r="J253" s="5" t="s">
        <v>15</v>
      </c>
      <c r="K253" s="8">
        <f>IF(OR(LOOKUP(A253,characters!A:A,characters!B:B)=-1, LOOKUP(A253,characters!A:A,characters!B:B)+0.1&gt;=B253),1,0)</f>
        <v/>
      </c>
    </row>
    <row r="254" spans="1:11">
      <c r="A254" s="4" t="s">
        <v>40</v>
      </c>
      <c r="B254" s="7">
        <v>0.2</v>
      </c>
      <c r="C254" s="6">
        <f>IF(K254=1,0.9,0)</f>
        <v/>
      </c>
      <c r="D254" s="6">
        <f>IF(K254=1,0.8,0)</f>
        <v/>
      </c>
      <c r="E254" s="6">
        <f>IF(K254=1,0.8,0)</f>
        <v/>
      </c>
      <c r="F254" s="6">
        <f>IF(K254=1,1.0,0)</f>
        <v/>
      </c>
      <c r="G254" s="6">
        <f>IF(K254=1,1.0,0)</f>
        <v/>
      </c>
      <c r="H254" s="5" t="s">
        <v>15</v>
      </c>
      <c r="I254" s="5" t="s">
        <v>15</v>
      </c>
      <c r="J254" s="5" t="s">
        <v>15</v>
      </c>
      <c r="K254" s="8">
        <f>IF(OR(LOOKUP(A254,characters!A:A,characters!B:B)=-1, LOOKUP(A254,characters!A:A,characters!B:B)+0.1&gt;=B254),1,0)</f>
        <v/>
      </c>
    </row>
    <row r="255" spans="1:11">
      <c r="A255" s="4" t="s">
        <v>36</v>
      </c>
      <c r="B255" s="7">
        <v>0.2</v>
      </c>
      <c r="C255" s="6">
        <f>IF(K255=1,0.9,0)</f>
        <v/>
      </c>
      <c r="D255" s="6">
        <f>IF(K255=1,0.8,0)</f>
        <v/>
      </c>
      <c r="E255" s="6">
        <f>IF(K255=1,0.8,0)</f>
        <v/>
      </c>
      <c r="F255" s="6">
        <f>IF(K255=1,1.0,0)</f>
        <v/>
      </c>
      <c r="G255" s="6">
        <f>IF(K255=1,1.0,0)</f>
        <v/>
      </c>
      <c r="H255" s="5" t="s">
        <v>15</v>
      </c>
      <c r="I255" s="5" t="s">
        <v>15</v>
      </c>
      <c r="J255" s="5" t="s">
        <v>15</v>
      </c>
      <c r="K255" s="8">
        <f>IF(OR(LOOKUP(A255,characters!A:A,characters!B:B)=-1, LOOKUP(A255,characters!A:A,characters!B:B)+0.1&gt;=B255),1,0)</f>
        <v/>
      </c>
    </row>
    <row r="256" spans="1:11">
      <c r="A256" s="4" t="s">
        <v>59</v>
      </c>
      <c r="B256" s="7">
        <v>0.2</v>
      </c>
      <c r="C256" s="6">
        <f>IF(K256=1,0.9,0)</f>
        <v/>
      </c>
      <c r="D256" s="6">
        <f>IF(K256=1,0.8,0)</f>
        <v/>
      </c>
      <c r="E256" s="6">
        <f>IF(K256=1,0.8,0)</f>
        <v/>
      </c>
      <c r="F256" s="6">
        <f>IF(K256=1,1.0,0)</f>
        <v/>
      </c>
      <c r="G256" s="6">
        <f>IF(K256=1,1.0,0)</f>
        <v/>
      </c>
      <c r="H256" s="5" t="s">
        <v>15</v>
      </c>
      <c r="I256" s="5" t="s">
        <v>15</v>
      </c>
      <c r="J256" s="5" t="s">
        <v>15</v>
      </c>
      <c r="K256" s="8">
        <f>IF(OR(LOOKUP(A256,characters!A:A,characters!B:B)=-1, LOOKUP(A256,characters!A:A,characters!B:B)+0.1&gt;=B256),1,0)</f>
        <v/>
      </c>
    </row>
    <row r="257" spans="1:11">
      <c r="A257" s="4" t="s">
        <v>16</v>
      </c>
      <c r="B257" s="7">
        <v>0.2</v>
      </c>
      <c r="C257" s="6">
        <f>IF(K257=1,0.9,0)</f>
        <v/>
      </c>
      <c r="D257" s="6">
        <f>IF(K257=1,0.8,0)</f>
        <v/>
      </c>
      <c r="E257" s="6">
        <f>IF(K257=1,0.8,0)</f>
        <v/>
      </c>
      <c r="F257" s="5" t="s">
        <v>15</v>
      </c>
      <c r="G257" s="5" t="s">
        <v>15</v>
      </c>
      <c r="H257" s="6">
        <f>IF(K257=1,1.0,0)</f>
        <v/>
      </c>
      <c r="I257" s="5" t="s">
        <v>15</v>
      </c>
      <c r="J257" s="5" t="s">
        <v>15</v>
      </c>
      <c r="K257" s="8">
        <f>IF(OR(LOOKUP(A257,characters!A:A,characters!B:B)=-1, LOOKUP(A257,characters!A:A,characters!B:B)+0.1&gt;=B257),1,0)</f>
        <v/>
      </c>
    </row>
    <row r="258" spans="1:11">
      <c r="A258" s="4" t="s">
        <v>37</v>
      </c>
      <c r="B258" s="7">
        <v>0.2</v>
      </c>
      <c r="C258" s="6">
        <f>IF(K258=1,0.9,0)</f>
        <v/>
      </c>
      <c r="D258" s="6">
        <f>IF(K258=1,0.8,0)</f>
        <v/>
      </c>
      <c r="E258" s="6">
        <f>IF(K258=1,0.8,0)</f>
        <v/>
      </c>
      <c r="F258" s="5" t="s">
        <v>15</v>
      </c>
      <c r="G258" s="5" t="s">
        <v>15</v>
      </c>
      <c r="H258" s="6">
        <f>IF(K258=1,1.0,0)</f>
        <v/>
      </c>
      <c r="I258" s="5" t="s">
        <v>15</v>
      </c>
      <c r="J258" s="5" t="s">
        <v>15</v>
      </c>
      <c r="K258" s="8">
        <f>IF(OR(LOOKUP(A258,characters!A:A,characters!B:B)=-1, LOOKUP(A258,characters!A:A,characters!B:B)+0.1&gt;=B258),1,0)</f>
        <v/>
      </c>
    </row>
    <row r="259" spans="1:11">
      <c r="A259" s="4" t="s">
        <v>38</v>
      </c>
      <c r="B259" s="7">
        <v>0.2</v>
      </c>
      <c r="C259" s="6">
        <f>IF(K259=1,0.9,0)</f>
        <v/>
      </c>
      <c r="D259" s="6">
        <f>IF(K259=1,0.8,0)</f>
        <v/>
      </c>
      <c r="E259" s="6">
        <f>IF(K259=1,0.8,0)</f>
        <v/>
      </c>
      <c r="F259" s="6">
        <f>IF(K259=1,1.0,0)</f>
        <v/>
      </c>
      <c r="G259" s="6">
        <f>IF(K259=1,1.0,0)</f>
        <v/>
      </c>
      <c r="H259" s="5" t="s">
        <v>15</v>
      </c>
      <c r="I259" s="5" t="s">
        <v>15</v>
      </c>
      <c r="J259" s="5" t="s">
        <v>15</v>
      </c>
      <c r="K259" s="8">
        <f>IF(OR(LOOKUP(A259,characters!A:A,characters!B:B)=-1, LOOKUP(A259,characters!A:A,characters!B:B)+0.1&gt;=B259),1,0)</f>
        <v/>
      </c>
    </row>
    <row r="260" spans="1:11">
      <c r="A260" s="4" t="s">
        <v>45</v>
      </c>
      <c r="B260" s="7">
        <v>0.2</v>
      </c>
      <c r="C260" s="6">
        <f>IF(K260=1,1.0,0)</f>
        <v/>
      </c>
      <c r="D260" s="6">
        <f>IF(K260=1,0.9,0)</f>
        <v/>
      </c>
      <c r="E260" s="6">
        <f>IF(K260=1,0.9,0)</f>
        <v/>
      </c>
      <c r="F260" s="5" t="s">
        <v>15</v>
      </c>
      <c r="G260" s="5" t="s">
        <v>15</v>
      </c>
      <c r="H260" s="6">
        <f>IF(K260=1,1.0,0)</f>
        <v/>
      </c>
      <c r="I260" s="5" t="s">
        <v>15</v>
      </c>
      <c r="J260" s="5" t="s">
        <v>15</v>
      </c>
      <c r="K260" s="8">
        <f>IF(OR(LOOKUP(A260,characters!A:A,characters!B:B)=-1, LOOKUP(A260,characters!A:A,characters!B:B)+0.1&gt;=B260),1,0)</f>
        <v/>
      </c>
    </row>
    <row r="261" spans="1:11">
      <c r="A261" s="4" t="s">
        <v>39</v>
      </c>
      <c r="B261" s="7">
        <v>0.2</v>
      </c>
      <c r="C261" s="6">
        <f>IF(K261=1,0.9,0)</f>
        <v/>
      </c>
      <c r="D261" s="6">
        <f>IF(K261=1,0.8,0)</f>
        <v/>
      </c>
      <c r="E261" s="6">
        <f>IF(K261=1,0.8,0)</f>
        <v/>
      </c>
      <c r="F261" s="5" t="s">
        <v>15</v>
      </c>
      <c r="G261" s="5" t="s">
        <v>15</v>
      </c>
      <c r="H261" s="6">
        <f>IF(K261=1,1.0,0)</f>
        <v/>
      </c>
      <c r="I261" s="5" t="s">
        <v>15</v>
      </c>
      <c r="J261" s="5" t="s">
        <v>15</v>
      </c>
      <c r="K261" s="8">
        <f>IF(OR(LOOKUP(A261,characters!A:A,characters!B:B)=-1, LOOKUP(A261,characters!A:A,characters!B:B)+0.1&gt;=B261),1,0)</f>
        <v/>
      </c>
    </row>
    <row r="262" spans="1:11">
      <c r="A262" s="4" t="s">
        <v>60</v>
      </c>
      <c r="B262" s="7">
        <v>0.2</v>
      </c>
      <c r="C262" s="6">
        <f>IF(K262=1,0.9,0)</f>
        <v/>
      </c>
      <c r="D262" s="6">
        <f>IF(K262=1,0.8,0)</f>
        <v/>
      </c>
      <c r="E262" s="6">
        <f>IF(K262=1,0.8,0)</f>
        <v/>
      </c>
      <c r="F262" s="6">
        <f>IF(K262=1,1.0,0)</f>
        <v/>
      </c>
      <c r="G262" s="6">
        <f>IF(K262=1,1.0,0)</f>
        <v/>
      </c>
      <c r="H262" s="5" t="s">
        <v>15</v>
      </c>
      <c r="I262" s="5" t="s">
        <v>15</v>
      </c>
      <c r="J262" s="5" t="s">
        <v>15</v>
      </c>
      <c r="K262" s="8">
        <f>IF(OR(LOOKUP(A262,characters!A:A,characters!B:B)=-1, LOOKUP(A262,characters!A:A,characters!B:B)+0.1&gt;=B262),1,0)</f>
        <v/>
      </c>
    </row>
    <row r="263" spans="1:11">
      <c r="A263" s="4" t="s">
        <v>33</v>
      </c>
      <c r="B263" s="7">
        <v>0.2</v>
      </c>
      <c r="C263" s="6">
        <f>IF(K263=1,0.9,0)</f>
        <v/>
      </c>
      <c r="D263" s="6">
        <f>IF(K263=1,0.8,0)</f>
        <v/>
      </c>
      <c r="E263" s="6">
        <f>IF(K263=1,0.8,0)</f>
        <v/>
      </c>
      <c r="F263" s="6">
        <f>IF(K263=1,1.0,0)</f>
        <v/>
      </c>
      <c r="G263" s="6">
        <f>IF(K263=1,1.0,0)</f>
        <v/>
      </c>
      <c r="H263" s="5" t="s">
        <v>15</v>
      </c>
      <c r="I263" s="5" t="s">
        <v>15</v>
      </c>
      <c r="J263" s="5" t="s">
        <v>15</v>
      </c>
      <c r="K263" s="8">
        <f>IF(OR(LOOKUP(A263,characters!A:A,characters!B:B)=-1, LOOKUP(A263,characters!A:A,characters!B:B)+0.1&gt;=B263),1,0)</f>
        <v/>
      </c>
    </row>
    <row r="264" spans="1:11">
      <c r="A264" s="4" t="s">
        <v>26</v>
      </c>
      <c r="B264" s="7">
        <v>0.3</v>
      </c>
      <c r="C264" s="6">
        <f>IF(K264=1,0.9,0)</f>
        <v/>
      </c>
      <c r="D264" s="6">
        <f>IF(K264=1,0.8,0)</f>
        <v/>
      </c>
      <c r="E264" s="6">
        <f>IF(K264=1,0.8,0)</f>
        <v/>
      </c>
      <c r="F264" s="5" t="s">
        <v>15</v>
      </c>
      <c r="G264" s="5" t="s">
        <v>15</v>
      </c>
      <c r="H264" s="6">
        <f>IF(K264=1,1.0,0)</f>
        <v/>
      </c>
      <c r="I264" s="5" t="s">
        <v>15</v>
      </c>
      <c r="J264" s="5" t="s">
        <v>15</v>
      </c>
      <c r="K264" s="8">
        <f>IF(OR(LOOKUP(A264,characters!A:A,characters!B:B)=-1, LOOKUP(A264,characters!A:A,characters!B:B)+0.1&gt;=B264),1,0)</f>
        <v/>
      </c>
    </row>
    <row r="265" spans="1:11">
      <c r="A265" s="4" t="s">
        <v>50</v>
      </c>
      <c r="B265" s="7">
        <v>0.3</v>
      </c>
      <c r="C265" s="6">
        <f>IF(K265=1,0.9,0)</f>
        <v/>
      </c>
      <c r="D265" s="6">
        <f>IF(K265=1,0.8,0)</f>
        <v/>
      </c>
      <c r="E265" s="6">
        <f>IF(K265=1,0.8,0)</f>
        <v/>
      </c>
      <c r="F265" s="5" t="s">
        <v>15</v>
      </c>
      <c r="G265" s="5" t="s">
        <v>15</v>
      </c>
      <c r="H265" s="6">
        <f>IF(K265=1,1.0,0)</f>
        <v/>
      </c>
      <c r="I265" s="5" t="s">
        <v>15</v>
      </c>
      <c r="J265" s="5" t="s">
        <v>15</v>
      </c>
      <c r="K265" s="8">
        <f>IF(OR(LOOKUP(A265,characters!A:A,characters!B:B)=-1, LOOKUP(A265,characters!A:A,characters!B:B)+0.1&gt;=B265),1,0)</f>
        <v/>
      </c>
    </row>
    <row r="266" spans="1:11">
      <c r="A266" s="4" t="s">
        <v>28</v>
      </c>
      <c r="B266" s="7">
        <v>0.4</v>
      </c>
      <c r="C266" s="6">
        <f>IF(K266=1,1.0,0)</f>
        <v/>
      </c>
      <c r="D266" s="6">
        <f>IF(K266=1,0.8,0)</f>
        <v/>
      </c>
      <c r="E266" s="6">
        <f>IF(K266=1,0.9,0)</f>
        <v/>
      </c>
      <c r="F266" s="6">
        <f>IF(K266=1,1.0,0)</f>
        <v/>
      </c>
      <c r="G266" s="6">
        <f>IF(K266=1,1.0,0)</f>
        <v/>
      </c>
      <c r="H266" s="6">
        <f>IF(K266=1,1.0,0)</f>
        <v/>
      </c>
      <c r="I266" s="5" t="s">
        <v>15</v>
      </c>
      <c r="J266" s="5" t="s">
        <v>15</v>
      </c>
      <c r="K266" s="8">
        <f>IF(OR(LOOKUP(A266,characters!A:A,characters!B:B)=-1, LOOKUP(A266,characters!A:A,characters!B:B)+0.1&gt;=B266),1,0)</f>
        <v/>
      </c>
    </row>
    <row r="267" spans="1:11">
      <c r="A267" s="4" t="s">
        <v>27</v>
      </c>
      <c r="B267" s="7">
        <v>0.4</v>
      </c>
      <c r="C267" s="6">
        <f>IF(K267=1,0.9,0)</f>
        <v/>
      </c>
      <c r="D267" s="6">
        <f>IF(K267=1,0.8,0)</f>
        <v/>
      </c>
      <c r="E267" s="6">
        <f>IF(K267=1,0.8,0)</f>
        <v/>
      </c>
      <c r="F267" s="5" t="s">
        <v>15</v>
      </c>
      <c r="G267" s="5" t="s">
        <v>15</v>
      </c>
      <c r="H267" s="6">
        <f>IF(K267=1,1.0,0)</f>
        <v/>
      </c>
      <c r="I267" s="5" t="s">
        <v>15</v>
      </c>
      <c r="J267" s="5" t="s">
        <v>15</v>
      </c>
      <c r="K267" s="8">
        <f>IF(OR(LOOKUP(A267,characters!A:A,characters!B:B)=-1, LOOKUP(A267,characters!A:A,characters!B:B)+0.1&gt;=B267),1,0)</f>
        <v/>
      </c>
    </row>
    <row r="268" spans="1:11">
      <c r="A268" s="4" t="s">
        <v>46</v>
      </c>
      <c r="B268" s="7">
        <v>0.5</v>
      </c>
      <c r="C268" s="6">
        <f>IF(K268=1,0.9,0)</f>
        <v/>
      </c>
      <c r="D268" s="6">
        <f>IF(K268=1,0.8,0)</f>
        <v/>
      </c>
      <c r="E268" s="6">
        <f>IF(K268=1,0.8,0)</f>
        <v/>
      </c>
      <c r="F268" s="6">
        <f>IF(K268=1,1.0,0)</f>
        <v/>
      </c>
      <c r="G268" s="6">
        <f>IF(K268=1,1.0,0)</f>
        <v/>
      </c>
      <c r="H268" s="5" t="s">
        <v>15</v>
      </c>
      <c r="I268" s="5" t="s">
        <v>15</v>
      </c>
      <c r="J268" s="5" t="s">
        <v>15</v>
      </c>
      <c r="K268" s="8">
        <f>IF(OR(LOOKUP(A268,characters!A:A,characters!B:B)=-1, LOOKUP(A268,characters!A:A,characters!B:B)+0.1&gt;=B268),1,0)</f>
        <v/>
      </c>
    </row>
    <row r="269" spans="1:11">
      <c r="A269" s="4" t="s">
        <v>47</v>
      </c>
      <c r="B269" s="7">
        <v>0.5</v>
      </c>
      <c r="C269" s="6">
        <f>IF(K269=1,0.9,0)</f>
        <v/>
      </c>
      <c r="D269" s="6">
        <f>IF(K269=1,0.8,0)</f>
        <v/>
      </c>
      <c r="E269" s="6">
        <f>IF(K269=1,0.8,0)</f>
        <v/>
      </c>
      <c r="F269" s="6">
        <f>IF(K269=1,1.0,0)</f>
        <v/>
      </c>
      <c r="G269" s="6">
        <f>IF(K269=1,1.0,0)</f>
        <v/>
      </c>
      <c r="H269" s="5" t="s">
        <v>15</v>
      </c>
      <c r="I269" s="5" t="s">
        <v>15</v>
      </c>
      <c r="J269" s="5" t="s">
        <v>15</v>
      </c>
      <c r="K269" s="8">
        <f>IF(OR(LOOKUP(A269,characters!A:A,characters!B:B)=-1, LOOKUP(A269,characters!A:A,characters!B:B)+0.1&gt;=B269),1,0)</f>
        <v/>
      </c>
    </row>
    <row r="270" spans="1:11">
      <c r="A270" s="4" t="s">
        <v>49</v>
      </c>
      <c r="B270" s="7">
        <v>0.5</v>
      </c>
      <c r="C270" s="6">
        <f>IF(K270=1,0.9,0)</f>
        <v/>
      </c>
      <c r="D270" s="6">
        <f>IF(K270=1,0.8,0)</f>
        <v/>
      </c>
      <c r="E270" s="6">
        <f>IF(K270=1,0.8,0)</f>
        <v/>
      </c>
      <c r="F270" s="6">
        <f>IF(K270=1,1.0,0)</f>
        <v/>
      </c>
      <c r="G270" s="6">
        <f>IF(K270=1,1.0,0)</f>
        <v/>
      </c>
      <c r="H270" s="5" t="s">
        <v>15</v>
      </c>
      <c r="I270" s="5" t="s">
        <v>15</v>
      </c>
      <c r="J270" s="5" t="s">
        <v>15</v>
      </c>
      <c r="K270" s="8">
        <f>IF(OR(LOOKUP(A270,characters!A:A,characters!B:B)=-1, LOOKUP(A270,characters!A:A,characters!B:B)+0.1&gt;=B270),1,0)</f>
        <v/>
      </c>
    </row>
    <row r="271" spans="1:11">
      <c r="A271" s="4" t="s">
        <v>53</v>
      </c>
      <c r="B271" s="7">
        <v>1.2</v>
      </c>
      <c r="C271" s="6">
        <f>IF(K271=1,1.0,0)</f>
        <v/>
      </c>
      <c r="D271" s="6">
        <f>IF(K271=1,0.7,0)</f>
        <v/>
      </c>
      <c r="E271" s="6">
        <f>IF(K271=1,0.8,0)</f>
        <v/>
      </c>
      <c r="F271" s="5" t="s">
        <v>15</v>
      </c>
      <c r="G271" s="5" t="s">
        <v>15</v>
      </c>
      <c r="H271" s="6">
        <f>IF(K271=1,0.9,0)</f>
        <v/>
      </c>
      <c r="I271" s="5" t="s">
        <v>15</v>
      </c>
      <c r="J271" s="5" t="s">
        <v>15</v>
      </c>
      <c r="K271" s="8">
        <f>IF(OR(LOOKUP(A271,characters!A:A,characters!B:B)=-1, LOOKUP(A271,characters!A:A,characters!B:B)+0.1&gt;=B271),1,0)</f>
        <v/>
      </c>
    </row>
    <row r="272" spans="1:11">
      <c r="A272" s="4" t="s">
        <v>54</v>
      </c>
      <c r="B272" s="7">
        <v>2.600000000000001</v>
      </c>
      <c r="C272" s="5" t="s">
        <v>15</v>
      </c>
      <c r="D272" s="6">
        <f>IF(K272=1,0.7,0)</f>
        <v/>
      </c>
      <c r="E272" s="5" t="s">
        <v>15</v>
      </c>
      <c r="F272" s="6">
        <f>IF(K272=1,0.9,0)</f>
        <v/>
      </c>
      <c r="G272" s="6">
        <f>IF(K272=1,0.9,0)</f>
        <v/>
      </c>
      <c r="H272" s="5" t="s">
        <v>15</v>
      </c>
      <c r="I272" s="6">
        <f>IF(K272=1,1.0,0)</f>
        <v/>
      </c>
      <c r="J272" s="6">
        <f>IF(K272=1,0.8,0)</f>
        <v/>
      </c>
      <c r="K272" s="8">
        <f>IF(OR(LOOKUP(A272,characters!A:A,characters!B:B)=-1, LOOKUP(A272,characters!A:A,characters!B:B)+0.1&gt;=B272),1,0)</f>
        <v/>
      </c>
    </row>
    <row r="274" spans="1:8">
      <c r="A274" s="3" t="s">
        <v>17</v>
      </c>
      <c r="B274" s="3" t="s">
        <v>9</v>
      </c>
      <c r="C274" s="3" t="s">
        <v>24</v>
      </c>
      <c r="D274" s="3" t="s">
        <v>25</v>
      </c>
      <c r="E274" s="3" t="s">
        <v>43</v>
      </c>
      <c r="F274" s="3" t="s">
        <v>10</v>
      </c>
      <c r="G274" s="3" t="s">
        <v>11</v>
      </c>
    </row>
    <row r="275" spans="1:8">
      <c r="A275" s="4" t="s">
        <v>14</v>
      </c>
      <c r="B275" s="5" t="s">
        <v>15</v>
      </c>
      <c r="C275" s="6">
        <f>IF(SUM(H276:H297)=0,0,SUM(C276:C297)/SUM(H276:H297))</f>
        <v/>
      </c>
      <c r="D275" s="6">
        <f>IF(SUM(H276:H297)=0,0,SUM(D276:D297)/SUM(H276:H297))</f>
        <v/>
      </c>
      <c r="E275" s="6">
        <f>IF(SUM(H276:H297)=0,0,SUM(E276:E297)/SUM(H276:H297))</f>
        <v/>
      </c>
      <c r="F275" s="6">
        <f>IF(SUM(H276:H297)=0,0,SUM(F276:F297)/SUM(H276:H297))</f>
        <v/>
      </c>
      <c r="G275" s="6">
        <f>IF(SUM(H276:H297)=0,0,SUM(G276:G297)/SUM(H276:H297))</f>
        <v/>
      </c>
    </row>
    <row r="276" spans="1:8">
      <c r="A276" s="4" t="s">
        <v>46</v>
      </c>
      <c r="B276" s="7">
        <v>0.5</v>
      </c>
      <c r="C276" s="6">
        <f>IF(H276=1,1.0,0)</f>
        <v/>
      </c>
      <c r="D276" s="6">
        <f>IF(H276=1,0.99,0)</f>
        <v/>
      </c>
      <c r="E276" s="5" t="s">
        <v>15</v>
      </c>
      <c r="F276" s="5" t="s">
        <v>15</v>
      </c>
      <c r="G276" s="5" t="s">
        <v>15</v>
      </c>
      <c r="H276" s="8">
        <f>IF(OR(LOOKUP(A276,characters!A:A,characters!B:B)=-1, LOOKUP(A276,characters!A:A,characters!B:B)+0.1&gt;=B276),1,0)</f>
        <v/>
      </c>
    </row>
    <row r="277" spans="1:8">
      <c r="A277" s="4" t="s">
        <v>58</v>
      </c>
      <c r="B277" s="7">
        <v>0.2</v>
      </c>
      <c r="C277" s="6">
        <f>IF(H277=1,1.0,0)</f>
        <v/>
      </c>
      <c r="D277" s="6">
        <f>IF(H277=1,0.99,0)</f>
        <v/>
      </c>
      <c r="E277" s="5" t="s">
        <v>15</v>
      </c>
      <c r="F277" s="5" t="s">
        <v>15</v>
      </c>
      <c r="G277" s="5" t="s">
        <v>15</v>
      </c>
      <c r="H277" s="8">
        <f>IF(OR(LOOKUP(A277,characters!A:A,characters!B:B)=-1, LOOKUP(A277,characters!A:A,characters!B:B)+0.1&gt;=B277),1,0)</f>
        <v/>
      </c>
    </row>
    <row r="278" spans="1:8">
      <c r="A278" s="4" t="s">
        <v>54</v>
      </c>
      <c r="B278" s="7">
        <v>2.600000000000001</v>
      </c>
      <c r="C278" s="5" t="s">
        <v>15</v>
      </c>
      <c r="D278" s="6">
        <f>IF(H278=1,0.9,0)</f>
        <v/>
      </c>
      <c r="E278" s="6">
        <f>IF(H278=1,1.0,0)</f>
        <v/>
      </c>
      <c r="F278" s="5" t="s">
        <v>15</v>
      </c>
      <c r="G278" s="5" t="s">
        <v>15</v>
      </c>
      <c r="H278" s="8">
        <f>IF(OR(LOOKUP(A278,characters!A:A,characters!B:B)=-1, LOOKUP(A278,characters!A:A,characters!B:B)+0.1&gt;=B278),1,0)</f>
        <v/>
      </c>
    </row>
    <row r="279" spans="1:8">
      <c r="A279" s="4" t="s">
        <v>40</v>
      </c>
      <c r="B279" s="7">
        <v>0.2</v>
      </c>
      <c r="C279" s="6">
        <f>IF(H279=1,1.0,0)</f>
        <v/>
      </c>
      <c r="D279" s="6">
        <f>IF(H279=1,1.0,0)</f>
        <v/>
      </c>
      <c r="E279" s="5" t="s">
        <v>15</v>
      </c>
      <c r="F279" s="5" t="s">
        <v>15</v>
      </c>
      <c r="G279" s="5" t="s">
        <v>15</v>
      </c>
      <c r="H279" s="8">
        <f>IF(OR(LOOKUP(A279,characters!A:A,characters!B:B)=-1, LOOKUP(A279,characters!A:A,characters!B:B)+0.1&gt;=B279),1,0)</f>
        <v/>
      </c>
    </row>
    <row r="280" spans="1:8">
      <c r="A280" s="4" t="s">
        <v>26</v>
      </c>
      <c r="B280" s="7">
        <v>0.3</v>
      </c>
      <c r="C280" s="5" t="s">
        <v>15</v>
      </c>
      <c r="D280" s="5" t="s">
        <v>15</v>
      </c>
      <c r="E280" s="5" t="s">
        <v>15</v>
      </c>
      <c r="F280" s="6">
        <f>IF(H280=1,1.0,0)</f>
        <v/>
      </c>
      <c r="G280" s="5" t="s">
        <v>15</v>
      </c>
      <c r="H280" s="8">
        <f>IF(OR(LOOKUP(A280,characters!A:A,characters!B:B)=-1, LOOKUP(A280,characters!A:A,characters!B:B)+0.1&gt;=B280),1,0)</f>
        <v/>
      </c>
    </row>
    <row r="281" spans="1:8">
      <c r="A281" s="4" t="s">
        <v>36</v>
      </c>
      <c r="B281" s="7">
        <v>0.2</v>
      </c>
      <c r="C281" s="6">
        <f>IF(H281=1,1.0,0)</f>
        <v/>
      </c>
      <c r="D281" s="6">
        <f>IF(H281=1,1.0,0)</f>
        <v/>
      </c>
      <c r="E281" s="5" t="s">
        <v>15</v>
      </c>
      <c r="F281" s="5" t="s">
        <v>15</v>
      </c>
      <c r="G281" s="5" t="s">
        <v>15</v>
      </c>
      <c r="H281" s="8">
        <f>IF(OR(LOOKUP(A281,characters!A:A,characters!B:B)=-1, LOOKUP(A281,characters!A:A,characters!B:B)+0.1&gt;=B281),1,0)</f>
        <v/>
      </c>
    </row>
    <row r="282" spans="1:8">
      <c r="A282" s="4" t="s">
        <v>59</v>
      </c>
      <c r="B282" s="7">
        <v>0.2</v>
      </c>
      <c r="C282" s="6">
        <f>IF(H282=1,1.0,0)</f>
        <v/>
      </c>
      <c r="D282" s="6">
        <f>IF(H282=1,1.0,0)</f>
        <v/>
      </c>
      <c r="E282" s="5" t="s">
        <v>15</v>
      </c>
      <c r="F282" s="5" t="s">
        <v>15</v>
      </c>
      <c r="G282" s="5" t="s">
        <v>15</v>
      </c>
      <c r="H282" s="8">
        <f>IF(OR(LOOKUP(A282,characters!A:A,characters!B:B)=-1, LOOKUP(A282,characters!A:A,characters!B:B)+0.1&gt;=B282),1,0)</f>
        <v/>
      </c>
    </row>
    <row r="283" spans="1:8">
      <c r="A283" s="4" t="s">
        <v>16</v>
      </c>
      <c r="B283" s="7">
        <v>0.2</v>
      </c>
      <c r="C283" s="5" t="s">
        <v>15</v>
      </c>
      <c r="D283" s="5" t="s">
        <v>15</v>
      </c>
      <c r="E283" s="5" t="s">
        <v>15</v>
      </c>
      <c r="F283" s="6">
        <f>IF(H283=1,1.0,0)</f>
        <v/>
      </c>
      <c r="G283" s="6">
        <f>IF(H283=1,0.9,0)</f>
        <v/>
      </c>
      <c r="H283" s="8">
        <f>IF(OR(LOOKUP(A283,characters!A:A,characters!B:B)=-1, LOOKUP(A283,characters!A:A,characters!B:B)+0.1&gt;=B283),1,0)</f>
        <v/>
      </c>
    </row>
    <row r="284" spans="1:8">
      <c r="A284" s="4" t="s">
        <v>37</v>
      </c>
      <c r="B284" s="7">
        <v>0.2</v>
      </c>
      <c r="C284" s="5" t="s">
        <v>15</v>
      </c>
      <c r="D284" s="5" t="s">
        <v>15</v>
      </c>
      <c r="E284" s="5" t="s">
        <v>15</v>
      </c>
      <c r="F284" s="6">
        <f>IF(H284=1,1.0,0)</f>
        <v/>
      </c>
      <c r="G284" s="5" t="s">
        <v>15</v>
      </c>
      <c r="H284" s="8">
        <f>IF(OR(LOOKUP(A284,characters!A:A,characters!B:B)=-1, LOOKUP(A284,characters!A:A,characters!B:B)+0.1&gt;=B284),1,0)</f>
        <v/>
      </c>
    </row>
    <row r="285" spans="1:8">
      <c r="A285" s="4" t="s">
        <v>47</v>
      </c>
      <c r="B285" s="7">
        <v>0.5</v>
      </c>
      <c r="C285" s="6">
        <f>IF(H285=1,1.0,0)</f>
        <v/>
      </c>
      <c r="D285" s="6">
        <f>IF(H285=1,0.99,0)</f>
        <v/>
      </c>
      <c r="E285" s="5" t="s">
        <v>15</v>
      </c>
      <c r="F285" s="5" t="s">
        <v>15</v>
      </c>
      <c r="G285" s="5" t="s">
        <v>15</v>
      </c>
      <c r="H285" s="8">
        <f>IF(OR(LOOKUP(A285,characters!A:A,characters!B:B)=-1, LOOKUP(A285,characters!A:A,characters!B:B)+0.1&gt;=B285),1,0)</f>
        <v/>
      </c>
    </row>
    <row r="286" spans="1:8">
      <c r="A286" s="4" t="s">
        <v>28</v>
      </c>
      <c r="B286" s="7">
        <v>0.4</v>
      </c>
      <c r="C286" s="6">
        <f>IF(H286=1,1.0,0)</f>
        <v/>
      </c>
      <c r="D286" s="6">
        <f>IF(H286=1,0.99,0)</f>
        <v/>
      </c>
      <c r="E286" s="5" t="s">
        <v>15</v>
      </c>
      <c r="F286" s="6">
        <f>IF(H286=1,0.99,0)</f>
        <v/>
      </c>
      <c r="G286" s="5" t="s">
        <v>15</v>
      </c>
      <c r="H286" s="8">
        <f>IF(OR(LOOKUP(A286,characters!A:A,characters!B:B)=-1, LOOKUP(A286,characters!A:A,characters!B:B)+0.1&gt;=B286),1,0)</f>
        <v/>
      </c>
    </row>
    <row r="287" spans="1:8">
      <c r="A287" s="4" t="s">
        <v>48</v>
      </c>
      <c r="B287" s="7">
        <v>0.1</v>
      </c>
      <c r="C287" s="6">
        <f>IF(H287=1,0.9,0)</f>
        <v/>
      </c>
      <c r="D287" s="5" t="s">
        <v>15</v>
      </c>
      <c r="E287" s="5" t="s">
        <v>15</v>
      </c>
      <c r="F287" s="5" t="s">
        <v>15</v>
      </c>
      <c r="G287" s="6">
        <f>IF(H287=1,1.0,0)</f>
        <v/>
      </c>
      <c r="H287" s="8">
        <f>IF(OR(LOOKUP(A287,characters!A:A,characters!B:B)=-1, LOOKUP(A287,characters!A:A,characters!B:B)+0.1&gt;=B287),1,0)</f>
        <v/>
      </c>
    </row>
    <row r="288" spans="1:8">
      <c r="A288" s="4" t="s">
        <v>49</v>
      </c>
      <c r="B288" s="7">
        <v>0.5</v>
      </c>
      <c r="C288" s="6">
        <f>IF(H288=1,1.0,0)</f>
        <v/>
      </c>
      <c r="D288" s="6">
        <f>IF(H288=1,0.99,0)</f>
        <v/>
      </c>
      <c r="E288" s="5" t="s">
        <v>15</v>
      </c>
      <c r="F288" s="5" t="s">
        <v>15</v>
      </c>
      <c r="G288" s="5" t="s">
        <v>15</v>
      </c>
      <c r="H288" s="8">
        <f>IF(OR(LOOKUP(A288,characters!A:A,characters!B:B)=-1, LOOKUP(A288,characters!A:A,characters!B:B)+0.1&gt;=B288),1,0)</f>
        <v/>
      </c>
    </row>
    <row r="289" spans="1:11">
      <c r="A289" s="4" t="s">
        <v>38</v>
      </c>
      <c r="B289" s="7">
        <v>0.2</v>
      </c>
      <c r="C289" s="6">
        <f>IF(H289=1,1.0,0)</f>
        <v/>
      </c>
      <c r="D289" s="6">
        <f>IF(H289=1,1.0,0)</f>
        <v/>
      </c>
      <c r="E289" s="5" t="s">
        <v>15</v>
      </c>
      <c r="F289" s="5" t="s">
        <v>15</v>
      </c>
      <c r="G289" s="5" t="s">
        <v>15</v>
      </c>
      <c r="H289" s="8">
        <f>IF(OR(LOOKUP(A289,characters!A:A,characters!B:B)=-1, LOOKUP(A289,characters!A:A,characters!B:B)+0.1&gt;=B289),1,0)</f>
        <v/>
      </c>
    </row>
    <row r="290" spans="1:11">
      <c r="A290" s="4" t="s">
        <v>45</v>
      </c>
      <c r="B290" s="7">
        <v>0.2</v>
      </c>
      <c r="C290" s="5" t="s">
        <v>15</v>
      </c>
      <c r="D290" s="5" t="s">
        <v>15</v>
      </c>
      <c r="E290" s="5" t="s">
        <v>15</v>
      </c>
      <c r="F290" s="6">
        <f>IF(H290=1,1.0,0)</f>
        <v/>
      </c>
      <c r="G290" s="6">
        <f>IF(H290=1,1.0,0)</f>
        <v/>
      </c>
      <c r="H290" s="8">
        <f>IF(OR(LOOKUP(A290,characters!A:A,characters!B:B)=-1, LOOKUP(A290,characters!A:A,characters!B:B)+0.1&gt;=B290),1,0)</f>
        <v/>
      </c>
    </row>
    <row r="291" spans="1:11">
      <c r="A291" s="4" t="s">
        <v>39</v>
      </c>
      <c r="B291" s="7">
        <v>0.2</v>
      </c>
      <c r="C291" s="5" t="s">
        <v>15</v>
      </c>
      <c r="D291" s="5" t="s">
        <v>15</v>
      </c>
      <c r="E291" s="5" t="s">
        <v>15</v>
      </c>
      <c r="F291" s="6">
        <f>IF(H291=1,1.0,0)</f>
        <v/>
      </c>
      <c r="G291" s="6">
        <f>IF(H291=1,0.9,0)</f>
        <v/>
      </c>
      <c r="H291" s="8">
        <f>IF(OR(LOOKUP(A291,characters!A:A,characters!B:B)=-1, LOOKUP(A291,characters!A:A,characters!B:B)+0.1&gt;=B291),1,0)</f>
        <v/>
      </c>
    </row>
    <row r="292" spans="1:11">
      <c r="A292" s="4" t="s">
        <v>50</v>
      </c>
      <c r="B292" s="7">
        <v>0.3</v>
      </c>
      <c r="C292" s="5" t="s">
        <v>15</v>
      </c>
      <c r="D292" s="5" t="s">
        <v>15</v>
      </c>
      <c r="E292" s="5" t="s">
        <v>15</v>
      </c>
      <c r="F292" s="6">
        <f>IF(H292=1,1.0,0)</f>
        <v/>
      </c>
      <c r="G292" s="6">
        <f>IF(H292=1,1.0,0)</f>
        <v/>
      </c>
      <c r="H292" s="8">
        <f>IF(OR(LOOKUP(A292,characters!A:A,characters!B:B)=-1, LOOKUP(A292,characters!A:A,characters!B:B)+0.1&gt;=B292),1,0)</f>
        <v/>
      </c>
    </row>
    <row r="293" spans="1:11">
      <c r="A293" s="4" t="s">
        <v>53</v>
      </c>
      <c r="B293" s="7">
        <v>1.2</v>
      </c>
      <c r="C293" s="5" t="s">
        <v>15</v>
      </c>
      <c r="D293" s="5" t="s">
        <v>15</v>
      </c>
      <c r="E293" s="5" t="s">
        <v>15</v>
      </c>
      <c r="F293" s="6">
        <f>IF(H293=1,0.99,0)</f>
        <v/>
      </c>
      <c r="G293" s="6">
        <f>IF(H293=1,1.0,0)</f>
        <v/>
      </c>
      <c r="H293" s="8">
        <f>IF(OR(LOOKUP(A293,characters!A:A,characters!B:B)=-1, LOOKUP(A293,characters!A:A,characters!B:B)+0.1&gt;=B293),1,0)</f>
        <v/>
      </c>
    </row>
    <row r="294" spans="1:11">
      <c r="A294" s="4" t="s">
        <v>60</v>
      </c>
      <c r="B294" s="7">
        <v>0.2</v>
      </c>
      <c r="C294" s="6">
        <f>IF(H294=1,1.0,0)</f>
        <v/>
      </c>
      <c r="D294" s="6">
        <f>IF(H294=1,1.0,0)</f>
        <v/>
      </c>
      <c r="E294" s="5" t="s">
        <v>15</v>
      </c>
      <c r="F294" s="5" t="s">
        <v>15</v>
      </c>
      <c r="G294" s="5" t="s">
        <v>15</v>
      </c>
      <c r="H294" s="8">
        <f>IF(OR(LOOKUP(A294,characters!A:A,characters!B:B)=-1, LOOKUP(A294,characters!A:A,characters!B:B)+0.1&gt;=B294),1,0)</f>
        <v/>
      </c>
    </row>
    <row r="295" spans="1:11">
      <c r="A295" s="4" t="s">
        <v>51</v>
      </c>
      <c r="B295" s="7">
        <v>0.1</v>
      </c>
      <c r="C295" s="6">
        <f>IF(H295=1,0.9,0)</f>
        <v/>
      </c>
      <c r="D295" s="5" t="s">
        <v>15</v>
      </c>
      <c r="E295" s="5" t="s">
        <v>15</v>
      </c>
      <c r="F295" s="5" t="s">
        <v>15</v>
      </c>
      <c r="G295" s="6">
        <f>IF(H295=1,1.0,0)</f>
        <v/>
      </c>
      <c r="H295" s="8">
        <f>IF(OR(LOOKUP(A295,characters!A:A,characters!B:B)=-1, LOOKUP(A295,characters!A:A,characters!B:B)+0.1&gt;=B295),1,0)</f>
        <v/>
      </c>
    </row>
    <row r="296" spans="1:11">
      <c r="A296" s="4" t="s">
        <v>27</v>
      </c>
      <c r="B296" s="7">
        <v>0.4</v>
      </c>
      <c r="C296" s="5" t="s">
        <v>15</v>
      </c>
      <c r="D296" s="5" t="s">
        <v>15</v>
      </c>
      <c r="E296" s="5" t="s">
        <v>15</v>
      </c>
      <c r="F296" s="6">
        <f>IF(H296=1,1.0,0)</f>
        <v/>
      </c>
      <c r="G296" s="5" t="s">
        <v>15</v>
      </c>
      <c r="H296" s="8">
        <f>IF(OR(LOOKUP(A296,characters!A:A,characters!B:B)=-1, LOOKUP(A296,characters!A:A,characters!B:B)+0.1&gt;=B296),1,0)</f>
        <v/>
      </c>
    </row>
    <row r="297" spans="1:11">
      <c r="A297" s="4" t="s">
        <v>33</v>
      </c>
      <c r="B297" s="7">
        <v>0.2</v>
      </c>
      <c r="C297" s="6">
        <f>IF(H297=1,1.0,0)</f>
        <v/>
      </c>
      <c r="D297" s="6">
        <f>IF(H297=1,1.0,0)</f>
        <v/>
      </c>
      <c r="E297" s="5" t="s">
        <v>15</v>
      </c>
      <c r="F297" s="5" t="s">
        <v>15</v>
      </c>
      <c r="G297" s="5" t="s">
        <v>15</v>
      </c>
      <c r="H297" s="8">
        <f>IF(OR(LOOKUP(A297,characters!A:A,characters!B:B)=-1, LOOKUP(A297,characters!A:A,characters!B:B)+0.1&gt;=B297),1,0)</f>
        <v/>
      </c>
    </row>
    <row r="299" spans="1:11">
      <c r="A299" s="3" t="s">
        <v>18</v>
      </c>
      <c r="B299" s="3" t="s">
        <v>9</v>
      </c>
      <c r="C299" s="3" t="s">
        <v>19</v>
      </c>
      <c r="D299" s="3" t="s">
        <v>43</v>
      </c>
      <c r="E299" s="3" t="s">
        <v>29</v>
      </c>
      <c r="F299" s="3" t="s">
        <v>41</v>
      </c>
      <c r="G299" s="3" t="s">
        <v>11</v>
      </c>
      <c r="H299" s="3" t="s">
        <v>20</v>
      </c>
      <c r="I299" s="3" t="s">
        <v>55</v>
      </c>
      <c r="J299" s="3" t="s">
        <v>34</v>
      </c>
    </row>
    <row r="300" spans="1:11">
      <c r="A300" s="4" t="s">
        <v>14</v>
      </c>
      <c r="B300" s="5" t="s">
        <v>15</v>
      </c>
      <c r="C300" s="6">
        <f>IF(SUM(K301:K322)=0,0,SUM(C301:C322)/SUM(K301:K322))</f>
        <v/>
      </c>
      <c r="D300" s="6">
        <f>IF(SUM(K301:K322)=0,0,SUM(D301:D322)/SUM(K301:K322))</f>
        <v/>
      </c>
      <c r="E300" s="6">
        <f>IF(SUM(K301:K322)=0,0,SUM(E301:E322)/SUM(K301:K322))</f>
        <v/>
      </c>
      <c r="F300" s="6">
        <f>IF(SUM(K301:K322)=0,0,SUM(F301:F322)/SUM(K301:K322))</f>
        <v/>
      </c>
      <c r="G300" s="6">
        <f>IF(SUM(K301:K322)=0,0,SUM(G301:G322)/SUM(K301:K322))</f>
        <v/>
      </c>
      <c r="H300" s="6">
        <f>IF(SUM(K301:K322)=0,0,SUM(H301:H322)/SUM(K301:K322))</f>
        <v/>
      </c>
      <c r="I300" s="6">
        <f>IF(SUM(K301:K322)=0,0,SUM(I301:I322)/SUM(K301:K322))</f>
        <v/>
      </c>
      <c r="J300" s="6">
        <f>IF(SUM(K301:K322)=0,0,SUM(J301:J322)/SUM(K301:K322))</f>
        <v/>
      </c>
    </row>
    <row r="301" spans="1:11">
      <c r="A301" s="4" t="s">
        <v>46</v>
      </c>
      <c r="B301" s="7">
        <v>0.5</v>
      </c>
      <c r="C301" s="6">
        <f>IF(K301=1,1.0,0)</f>
        <v/>
      </c>
      <c r="D301" s="5" t="s">
        <v>15</v>
      </c>
      <c r="E301" s="5" t="s">
        <v>15</v>
      </c>
      <c r="F301" s="5" t="s">
        <v>15</v>
      </c>
      <c r="G301" s="5" t="s">
        <v>15</v>
      </c>
      <c r="H301" s="5" t="s">
        <v>15</v>
      </c>
      <c r="I301" s="5" t="s">
        <v>15</v>
      </c>
      <c r="J301" s="5" t="s">
        <v>15</v>
      </c>
      <c r="K301" s="8">
        <f>IF(OR(LOOKUP(A301,characters!A:A,characters!B:B)=-1, LOOKUP(A301,characters!A:A,characters!B:B)+0.1&gt;=B301),1,0)</f>
        <v/>
      </c>
    </row>
    <row r="302" spans="1:11">
      <c r="A302" s="4" t="s">
        <v>58</v>
      </c>
      <c r="B302" s="7">
        <v>0.2</v>
      </c>
      <c r="C302" s="6">
        <f>IF(K302=1,1.0,0)</f>
        <v/>
      </c>
      <c r="D302" s="5" t="s">
        <v>15</v>
      </c>
      <c r="E302" s="5" t="s">
        <v>15</v>
      </c>
      <c r="F302" s="5" t="s">
        <v>15</v>
      </c>
      <c r="G302" s="5" t="s">
        <v>15</v>
      </c>
      <c r="H302" s="5" t="s">
        <v>15</v>
      </c>
      <c r="I302" s="5" t="s">
        <v>15</v>
      </c>
      <c r="J302" s="5" t="s">
        <v>15</v>
      </c>
      <c r="K302" s="8">
        <f>IF(OR(LOOKUP(A302,characters!A:A,characters!B:B)=-1, LOOKUP(A302,characters!A:A,characters!B:B)+0.1&gt;=B302),1,0)</f>
        <v/>
      </c>
    </row>
    <row r="303" spans="1:11">
      <c r="A303" s="4" t="s">
        <v>54</v>
      </c>
      <c r="B303" s="7">
        <v>2.600000000000001</v>
      </c>
      <c r="C303" s="5" t="s">
        <v>15</v>
      </c>
      <c r="D303" s="6">
        <f>IF(K303=1,1.0,0)</f>
        <v/>
      </c>
      <c r="E303" s="6">
        <f>IF(K303=1,1.0,0)</f>
        <v/>
      </c>
      <c r="F303" s="5" t="s">
        <v>15</v>
      </c>
      <c r="G303" s="5" t="s">
        <v>15</v>
      </c>
      <c r="H303" s="5" t="s">
        <v>15</v>
      </c>
      <c r="I303" s="5" t="s">
        <v>15</v>
      </c>
      <c r="J303" s="5" t="s">
        <v>15</v>
      </c>
      <c r="K303" s="8">
        <f>IF(OR(LOOKUP(A303,characters!A:A,characters!B:B)=-1, LOOKUP(A303,characters!A:A,characters!B:B)+0.1&gt;=B303),1,0)</f>
        <v/>
      </c>
    </row>
    <row r="304" spans="1:11">
      <c r="A304" s="4" t="s">
        <v>40</v>
      </c>
      <c r="B304" s="7">
        <v>0.2</v>
      </c>
      <c r="C304" s="5" t="s">
        <v>15</v>
      </c>
      <c r="D304" s="5" t="s">
        <v>15</v>
      </c>
      <c r="E304" s="5" t="s">
        <v>15</v>
      </c>
      <c r="F304" s="6">
        <f>IF(K304=1,1.0,0)</f>
        <v/>
      </c>
      <c r="G304" s="6">
        <f>IF(K304=1,0.99,0)</f>
        <v/>
      </c>
      <c r="H304" s="5" t="s">
        <v>15</v>
      </c>
      <c r="I304" s="5" t="s">
        <v>15</v>
      </c>
      <c r="J304" s="5" t="s">
        <v>15</v>
      </c>
      <c r="K304" s="8">
        <f>IF(OR(LOOKUP(A304,characters!A:A,characters!B:B)=-1, LOOKUP(A304,characters!A:A,characters!B:B)+0.1&gt;=B304),1,0)</f>
        <v/>
      </c>
    </row>
    <row r="305" spans="1:11">
      <c r="A305" s="4" t="s">
        <v>26</v>
      </c>
      <c r="B305" s="7">
        <v>0.3</v>
      </c>
      <c r="C305" s="5" t="s">
        <v>15</v>
      </c>
      <c r="D305" s="5" t="s">
        <v>15</v>
      </c>
      <c r="E305" s="6">
        <f>IF(K305=1,1.0,0)</f>
        <v/>
      </c>
      <c r="F305" s="5" t="s">
        <v>15</v>
      </c>
      <c r="G305" s="5" t="s">
        <v>15</v>
      </c>
      <c r="H305" s="6">
        <f>IF(K305=1,0.99,0)</f>
        <v/>
      </c>
      <c r="I305" s="5" t="s">
        <v>15</v>
      </c>
      <c r="J305" s="5" t="s">
        <v>15</v>
      </c>
      <c r="K305" s="8">
        <f>IF(OR(LOOKUP(A305,characters!A:A,characters!B:B)=-1, LOOKUP(A305,characters!A:A,characters!B:B)+0.1&gt;=B305),1,0)</f>
        <v/>
      </c>
    </row>
    <row r="306" spans="1:11">
      <c r="A306" s="4" t="s">
        <v>36</v>
      </c>
      <c r="B306" s="7">
        <v>0.2</v>
      </c>
      <c r="C306" s="5" t="s">
        <v>15</v>
      </c>
      <c r="D306" s="5" t="s">
        <v>15</v>
      </c>
      <c r="E306" s="5" t="s">
        <v>15</v>
      </c>
      <c r="F306" s="6">
        <f>IF(K306=1,0.99,0)</f>
        <v/>
      </c>
      <c r="G306" s="6">
        <f>IF(K306=1,1.0,0)</f>
        <v/>
      </c>
      <c r="H306" s="5" t="s">
        <v>15</v>
      </c>
      <c r="I306" s="5" t="s">
        <v>15</v>
      </c>
      <c r="J306" s="5" t="s">
        <v>15</v>
      </c>
      <c r="K306" s="8">
        <f>IF(OR(LOOKUP(A306,characters!A:A,characters!B:B)=-1, LOOKUP(A306,characters!A:A,characters!B:B)+0.1&gt;=B306),1,0)</f>
        <v/>
      </c>
    </row>
    <row r="307" spans="1:11">
      <c r="A307" s="4" t="s">
        <v>59</v>
      </c>
      <c r="B307" s="7">
        <v>0.2</v>
      </c>
      <c r="C307" s="5" t="s">
        <v>15</v>
      </c>
      <c r="D307" s="5" t="s">
        <v>15</v>
      </c>
      <c r="E307" s="5" t="s">
        <v>15</v>
      </c>
      <c r="F307" s="5" t="s">
        <v>15</v>
      </c>
      <c r="G307" s="6">
        <f>IF(K307=1,0.9,0)</f>
        <v/>
      </c>
      <c r="H307" s="5" t="s">
        <v>15</v>
      </c>
      <c r="I307" s="6">
        <f>IF(K307=1,1.0,0)</f>
        <v/>
      </c>
      <c r="J307" s="5" t="s">
        <v>15</v>
      </c>
      <c r="K307" s="8">
        <f>IF(OR(LOOKUP(A307,characters!A:A,characters!B:B)=-1, LOOKUP(A307,characters!A:A,characters!B:B)+0.1&gt;=B307),1,0)</f>
        <v/>
      </c>
    </row>
    <row r="308" spans="1:11">
      <c r="A308" s="4" t="s">
        <v>16</v>
      </c>
      <c r="B308" s="7">
        <v>0.2</v>
      </c>
      <c r="C308" s="6">
        <f>IF(K308=1,1.0,0)</f>
        <v/>
      </c>
      <c r="D308" s="5" t="s">
        <v>15</v>
      </c>
      <c r="E308" s="5" t="s">
        <v>15</v>
      </c>
      <c r="F308" s="5" t="s">
        <v>15</v>
      </c>
      <c r="G308" s="6">
        <f>IF(K308=1,0.9,0)</f>
        <v/>
      </c>
      <c r="H308" s="6">
        <f>IF(K308=1,0.9,0)</f>
        <v/>
      </c>
      <c r="I308" s="5" t="s">
        <v>15</v>
      </c>
      <c r="J308" s="5" t="s">
        <v>15</v>
      </c>
      <c r="K308" s="8">
        <f>IF(OR(LOOKUP(A308,characters!A:A,characters!B:B)=-1, LOOKUP(A308,characters!A:A,characters!B:B)+0.1&gt;=B308),1,0)</f>
        <v/>
      </c>
    </row>
    <row r="309" spans="1:11">
      <c r="A309" s="4" t="s">
        <v>37</v>
      </c>
      <c r="B309" s="7">
        <v>0.2</v>
      </c>
      <c r="C309" s="5" t="s">
        <v>15</v>
      </c>
      <c r="D309" s="5" t="s">
        <v>15</v>
      </c>
      <c r="E309" s="5" t="s">
        <v>15</v>
      </c>
      <c r="F309" s="6">
        <f>IF(K309=1,1.0,0)</f>
        <v/>
      </c>
      <c r="G309" s="6">
        <f>IF(K309=1,0.89,0)</f>
        <v/>
      </c>
      <c r="H309" s="6">
        <f>IF(K309=1,0.9,0)</f>
        <v/>
      </c>
      <c r="I309" s="5" t="s">
        <v>15</v>
      </c>
      <c r="J309" s="5" t="s">
        <v>15</v>
      </c>
      <c r="K309" s="8">
        <f>IF(OR(LOOKUP(A309,characters!A:A,characters!B:B)=-1, LOOKUP(A309,characters!A:A,characters!B:B)+0.1&gt;=B309),1,0)</f>
        <v/>
      </c>
    </row>
    <row r="310" spans="1:11">
      <c r="A310" s="4" t="s">
        <v>47</v>
      </c>
      <c r="B310" s="7">
        <v>0.5</v>
      </c>
      <c r="C310" s="5" t="s">
        <v>15</v>
      </c>
      <c r="D310" s="5" t="s">
        <v>15</v>
      </c>
      <c r="E310" s="6">
        <f>IF(K310=1,1.0,0)</f>
        <v/>
      </c>
      <c r="F310" s="5" t="s">
        <v>15</v>
      </c>
      <c r="G310" s="5" t="s">
        <v>15</v>
      </c>
      <c r="H310" s="5" t="s">
        <v>15</v>
      </c>
      <c r="I310" s="5" t="s">
        <v>15</v>
      </c>
      <c r="J310" s="5" t="s">
        <v>15</v>
      </c>
      <c r="K310" s="8">
        <f>IF(OR(LOOKUP(A310,characters!A:A,characters!B:B)=-1, LOOKUP(A310,characters!A:A,characters!B:B)+0.1&gt;=B310),1,0)</f>
        <v/>
      </c>
    </row>
    <row r="311" spans="1:11">
      <c r="A311" s="4" t="s">
        <v>28</v>
      </c>
      <c r="B311" s="7">
        <v>0.4</v>
      </c>
      <c r="C311" s="5" t="s">
        <v>15</v>
      </c>
      <c r="D311" s="5" t="s">
        <v>15</v>
      </c>
      <c r="E311" s="6">
        <f>IF(K311=1,1.0,0)</f>
        <v/>
      </c>
      <c r="F311" s="5" t="s">
        <v>15</v>
      </c>
      <c r="G311" s="6">
        <f>IF(K311=1,1.0,0)</f>
        <v/>
      </c>
      <c r="H311" s="6">
        <f>IF(K311=1,1.0,0)</f>
        <v/>
      </c>
      <c r="I311" s="5" t="s">
        <v>15</v>
      </c>
      <c r="J311" s="5" t="s">
        <v>15</v>
      </c>
      <c r="K311" s="8">
        <f>IF(OR(LOOKUP(A311,characters!A:A,characters!B:B)=-1, LOOKUP(A311,characters!A:A,characters!B:B)+0.1&gt;=B311),1,0)</f>
        <v/>
      </c>
    </row>
    <row r="312" spans="1:11">
      <c r="A312" s="4" t="s">
        <v>48</v>
      </c>
      <c r="B312" s="7">
        <v>0.1</v>
      </c>
      <c r="C312" s="5" t="s">
        <v>15</v>
      </c>
      <c r="D312" s="5" t="s">
        <v>15</v>
      </c>
      <c r="E312" s="5" t="s">
        <v>15</v>
      </c>
      <c r="F312" s="5" t="s">
        <v>15</v>
      </c>
      <c r="G312" s="6">
        <f>IF(K312=1,1.0,0)</f>
        <v/>
      </c>
      <c r="H312" s="5" t="s">
        <v>15</v>
      </c>
      <c r="I312" s="5" t="s">
        <v>15</v>
      </c>
      <c r="J312" s="5" t="s">
        <v>15</v>
      </c>
      <c r="K312" s="8">
        <f>IF(OR(LOOKUP(A312,characters!A:A,characters!B:B)=-1, LOOKUP(A312,characters!A:A,characters!B:B)+0.1&gt;=B312),1,0)</f>
        <v/>
      </c>
    </row>
    <row r="313" spans="1:11">
      <c r="A313" s="4" t="s">
        <v>49</v>
      </c>
      <c r="B313" s="7">
        <v>0.5</v>
      </c>
      <c r="C313" s="5" t="s">
        <v>15</v>
      </c>
      <c r="D313" s="5" t="s">
        <v>15</v>
      </c>
      <c r="E313" s="5" t="s">
        <v>15</v>
      </c>
      <c r="F313" s="5" t="s">
        <v>15</v>
      </c>
      <c r="G313" s="5" t="s">
        <v>15</v>
      </c>
      <c r="H313" s="5" t="s">
        <v>15</v>
      </c>
      <c r="I313" s="6">
        <f>IF(K313=1,1.0,0)</f>
        <v/>
      </c>
      <c r="J313" s="5" t="s">
        <v>15</v>
      </c>
      <c r="K313" s="8">
        <f>IF(OR(LOOKUP(A313,characters!A:A,characters!B:B)=-1, LOOKUP(A313,characters!A:A,characters!B:B)+0.1&gt;=B313),1,0)</f>
        <v/>
      </c>
    </row>
    <row r="314" spans="1:11">
      <c r="A314" s="4" t="s">
        <v>38</v>
      </c>
      <c r="B314" s="7">
        <v>0.2</v>
      </c>
      <c r="C314" s="5" t="s">
        <v>15</v>
      </c>
      <c r="D314" s="5" t="s">
        <v>15</v>
      </c>
      <c r="E314" s="5" t="s">
        <v>15</v>
      </c>
      <c r="F314" s="6">
        <f>IF(K314=1,0.99,0)</f>
        <v/>
      </c>
      <c r="G314" s="6">
        <f>IF(K314=1,1.0,0)</f>
        <v/>
      </c>
      <c r="H314" s="5" t="s">
        <v>15</v>
      </c>
      <c r="I314" s="5" t="s">
        <v>15</v>
      </c>
      <c r="J314" s="5" t="s">
        <v>15</v>
      </c>
      <c r="K314" s="8">
        <f>IF(OR(LOOKUP(A314,characters!A:A,characters!B:B)=-1, LOOKUP(A314,characters!A:A,characters!B:B)+0.1&gt;=B314),1,0)</f>
        <v/>
      </c>
    </row>
    <row r="315" spans="1:11">
      <c r="A315" s="4" t="s">
        <v>45</v>
      </c>
      <c r="B315" s="7">
        <v>0.2</v>
      </c>
      <c r="C315" s="5" t="s">
        <v>15</v>
      </c>
      <c r="D315" s="5" t="s">
        <v>15</v>
      </c>
      <c r="E315" s="5" t="s">
        <v>15</v>
      </c>
      <c r="F315" s="5" t="s">
        <v>15</v>
      </c>
      <c r="G315" s="6">
        <f>IF(K315=1,0.9,0)</f>
        <v/>
      </c>
      <c r="H315" s="5" t="s">
        <v>15</v>
      </c>
      <c r="I315" s="5" t="s">
        <v>15</v>
      </c>
      <c r="J315" s="6">
        <f>IF(K315=1,1.0,0)</f>
        <v/>
      </c>
      <c r="K315" s="8">
        <f>IF(OR(LOOKUP(A315,characters!A:A,characters!B:B)=-1, LOOKUP(A315,characters!A:A,characters!B:B)+0.1&gt;=B315),1,0)</f>
        <v/>
      </c>
    </row>
    <row r="316" spans="1:11">
      <c r="A316" s="4" t="s">
        <v>39</v>
      </c>
      <c r="B316" s="7">
        <v>0.2</v>
      </c>
      <c r="C316" s="5" t="s">
        <v>15</v>
      </c>
      <c r="D316" s="5" t="s">
        <v>15</v>
      </c>
      <c r="E316" s="5" t="s">
        <v>15</v>
      </c>
      <c r="F316" s="6">
        <f>IF(K316=1,1.0,0)</f>
        <v/>
      </c>
      <c r="G316" s="6">
        <f>IF(K316=1,0.9,0)</f>
        <v/>
      </c>
      <c r="H316" s="6">
        <f>IF(K316=1,0.9,0)</f>
        <v/>
      </c>
      <c r="I316" s="5" t="s">
        <v>15</v>
      </c>
      <c r="J316" s="5" t="s">
        <v>15</v>
      </c>
      <c r="K316" s="8">
        <f>IF(OR(LOOKUP(A316,characters!A:A,characters!B:B)=-1, LOOKUP(A316,characters!A:A,characters!B:B)+0.1&gt;=B316),1,0)</f>
        <v/>
      </c>
    </row>
    <row r="317" spans="1:11">
      <c r="A317" s="4" t="s">
        <v>50</v>
      </c>
      <c r="B317" s="7">
        <v>0.3</v>
      </c>
      <c r="C317" s="5" t="s">
        <v>15</v>
      </c>
      <c r="D317" s="5" t="s">
        <v>15</v>
      </c>
      <c r="E317" s="5" t="s">
        <v>15</v>
      </c>
      <c r="F317" s="5" t="s">
        <v>15</v>
      </c>
      <c r="G317" s="5" t="s">
        <v>15</v>
      </c>
      <c r="H317" s="6">
        <f>IF(K317=1,1.0,0)</f>
        <v/>
      </c>
      <c r="I317" s="5" t="s">
        <v>15</v>
      </c>
      <c r="J317" s="5" t="s">
        <v>15</v>
      </c>
      <c r="K317" s="8">
        <f>IF(OR(LOOKUP(A317,characters!A:A,characters!B:B)=-1, LOOKUP(A317,characters!A:A,characters!B:B)+0.1&gt;=B317),1,0)</f>
        <v/>
      </c>
    </row>
    <row r="318" spans="1:11">
      <c r="A318" s="4" t="s">
        <v>53</v>
      </c>
      <c r="B318" s="7">
        <v>1.2</v>
      </c>
      <c r="C318" s="6">
        <f>IF(K318=1,0.99,0)</f>
        <v/>
      </c>
      <c r="D318" s="5" t="s">
        <v>15</v>
      </c>
      <c r="E318" s="5" t="s">
        <v>15</v>
      </c>
      <c r="F318" s="5" t="s">
        <v>15</v>
      </c>
      <c r="G318" s="6">
        <f>IF(K318=1,1.0,0)</f>
        <v/>
      </c>
      <c r="H318" s="5" t="s">
        <v>15</v>
      </c>
      <c r="I318" s="5" t="s">
        <v>15</v>
      </c>
      <c r="J318" s="5" t="s">
        <v>15</v>
      </c>
      <c r="K318" s="8">
        <f>IF(OR(LOOKUP(A318,characters!A:A,characters!B:B)=-1, LOOKUP(A318,characters!A:A,characters!B:B)+0.1&gt;=B318),1,0)</f>
        <v/>
      </c>
    </row>
    <row r="319" spans="1:11">
      <c r="A319" s="4" t="s">
        <v>60</v>
      </c>
      <c r="B319" s="7">
        <v>0.2</v>
      </c>
      <c r="C319" s="5" t="s">
        <v>15</v>
      </c>
      <c r="D319" s="5" t="s">
        <v>15</v>
      </c>
      <c r="E319" s="6">
        <f>IF(K319=1,1.0,0)</f>
        <v/>
      </c>
      <c r="F319" s="5" t="s">
        <v>15</v>
      </c>
      <c r="G319" s="6">
        <f>IF(K319=1,0.9,0)</f>
        <v/>
      </c>
      <c r="H319" s="5" t="s">
        <v>15</v>
      </c>
      <c r="I319" s="5" t="s">
        <v>15</v>
      </c>
      <c r="J319" s="5" t="s">
        <v>15</v>
      </c>
      <c r="K319" s="8">
        <f>IF(OR(LOOKUP(A319,characters!A:A,characters!B:B)=-1, LOOKUP(A319,characters!A:A,characters!B:B)+0.1&gt;=B319),1,0)</f>
        <v/>
      </c>
    </row>
    <row r="320" spans="1:11">
      <c r="A320" s="4" t="s">
        <v>51</v>
      </c>
      <c r="B320" s="7">
        <v>0.1</v>
      </c>
      <c r="C320" s="5" t="s">
        <v>15</v>
      </c>
      <c r="D320" s="5" t="s">
        <v>15</v>
      </c>
      <c r="E320" s="5" t="s">
        <v>15</v>
      </c>
      <c r="F320" s="5" t="s">
        <v>15</v>
      </c>
      <c r="G320" s="6">
        <f>IF(K320=1,1.0,0)</f>
        <v/>
      </c>
      <c r="H320" s="5" t="s">
        <v>15</v>
      </c>
      <c r="I320" s="6">
        <f>IF(K320=1,0.9,0)</f>
        <v/>
      </c>
      <c r="J320" s="5" t="s">
        <v>15</v>
      </c>
      <c r="K320" s="8">
        <f>IF(OR(LOOKUP(A320,characters!A:A,characters!B:B)=-1, LOOKUP(A320,characters!A:A,characters!B:B)+0.1&gt;=B320),1,0)</f>
        <v/>
      </c>
    </row>
    <row r="321" spans="1:11">
      <c r="A321" s="4" t="s">
        <v>27</v>
      </c>
      <c r="B321" s="7">
        <v>0.4</v>
      </c>
      <c r="C321" s="6">
        <f>IF(K321=1,1.0,0)</f>
        <v/>
      </c>
      <c r="D321" s="5" t="s">
        <v>15</v>
      </c>
      <c r="E321" s="5" t="s">
        <v>15</v>
      </c>
      <c r="F321" s="5" t="s">
        <v>15</v>
      </c>
      <c r="G321" s="5" t="s">
        <v>15</v>
      </c>
      <c r="H321" s="6">
        <f>IF(K321=1,0.99,0)</f>
        <v/>
      </c>
      <c r="I321" s="5" t="s">
        <v>15</v>
      </c>
      <c r="J321" s="5" t="s">
        <v>15</v>
      </c>
      <c r="K321" s="8">
        <f>IF(OR(LOOKUP(A321,characters!A:A,characters!B:B)=-1, LOOKUP(A321,characters!A:A,characters!B:B)+0.1&gt;=B321),1,0)</f>
        <v/>
      </c>
    </row>
    <row r="322" spans="1:11">
      <c r="A322" s="4" t="s">
        <v>33</v>
      </c>
      <c r="B322" s="7">
        <v>0.2</v>
      </c>
      <c r="C322" s="5" t="s">
        <v>15</v>
      </c>
      <c r="D322" s="5" t="s">
        <v>15</v>
      </c>
      <c r="E322" s="5" t="s">
        <v>15</v>
      </c>
      <c r="F322" s="5" t="s">
        <v>15</v>
      </c>
      <c r="G322" s="6">
        <f>IF(K322=1,0.9,0)</f>
        <v/>
      </c>
      <c r="H322" s="6">
        <f>IF(K322=1,0.9,0)</f>
        <v/>
      </c>
      <c r="I322" s="5" t="s">
        <v>15</v>
      </c>
      <c r="J322" s="6">
        <f>IF(K322=1,1.0,0)</f>
        <v/>
      </c>
      <c r="K322" s="8">
        <f>IF(OR(LOOKUP(A322,characters!A:A,characters!B:B)=-1, LOOKUP(A322,characters!A:A,characters!B:B)+0.1&gt;=B322),1,0)</f>
        <v/>
      </c>
    </row>
    <row r="324" spans="1:11">
      <c r="A324" s="3" t="s">
        <v>21</v>
      </c>
      <c r="B324" s="3" t="s">
        <v>9</v>
      </c>
      <c r="C324" s="3" t="s">
        <v>30</v>
      </c>
      <c r="D324" s="3" t="s">
        <v>11</v>
      </c>
      <c r="E324" s="3" t="s">
        <v>43</v>
      </c>
      <c r="F324" s="3" t="s">
        <v>56</v>
      </c>
      <c r="G324" s="3" t="s">
        <v>22</v>
      </c>
    </row>
    <row r="325" spans="1:11">
      <c r="A325" s="4" t="s">
        <v>14</v>
      </c>
      <c r="B325" s="5" t="s">
        <v>15</v>
      </c>
      <c r="C325" s="6">
        <f>IF(SUM(H326:H347)=0,0,SUM(C326:C347)/SUM(H326:H347))</f>
        <v/>
      </c>
      <c r="D325" s="6">
        <f>IF(SUM(H326:H347)=0,0,SUM(D326:D347)/SUM(H326:H347))</f>
        <v/>
      </c>
      <c r="E325" s="6">
        <f>IF(SUM(H326:H347)=0,0,SUM(E326:E347)/SUM(H326:H347))</f>
        <v/>
      </c>
      <c r="F325" s="6">
        <f>IF(SUM(H326:H347)=0,0,SUM(F326:F347)/SUM(H326:H347))</f>
        <v/>
      </c>
      <c r="G325" s="6">
        <f>IF(SUM(H326:H347)=0,0,SUM(G326:G347)/SUM(H326:H347))</f>
        <v/>
      </c>
    </row>
    <row r="326" spans="1:11">
      <c r="A326" s="4" t="s">
        <v>46</v>
      </c>
      <c r="B326" s="7">
        <v>0.5</v>
      </c>
      <c r="C326" s="6">
        <f>IF(H326=1,1.0,0)</f>
        <v/>
      </c>
      <c r="D326" s="5" t="s">
        <v>15</v>
      </c>
      <c r="E326" s="5" t="s">
        <v>15</v>
      </c>
      <c r="F326" s="5" t="s">
        <v>15</v>
      </c>
      <c r="G326" s="5" t="s">
        <v>15</v>
      </c>
      <c r="H326" s="8">
        <f>IF(OR(LOOKUP(A326,characters!A:A,characters!B:B)=-1, LOOKUP(A326,characters!A:A,characters!B:B)+0.1&gt;=B326),1,0)</f>
        <v/>
      </c>
    </row>
    <row r="327" spans="1:11">
      <c r="A327" s="4" t="s">
        <v>58</v>
      </c>
      <c r="B327" s="7">
        <v>0.2</v>
      </c>
      <c r="C327" s="5" t="s">
        <v>15</v>
      </c>
      <c r="D327" s="6">
        <f>IF(H327=1,1.0,0)</f>
        <v/>
      </c>
      <c r="E327" s="5" t="s">
        <v>15</v>
      </c>
      <c r="F327" s="5" t="s">
        <v>15</v>
      </c>
      <c r="G327" s="5" t="s">
        <v>15</v>
      </c>
      <c r="H327" s="8">
        <f>IF(OR(LOOKUP(A327,characters!A:A,characters!B:B)=-1, LOOKUP(A327,characters!A:A,characters!B:B)+0.1&gt;=B327),1,0)</f>
        <v/>
      </c>
    </row>
    <row r="328" spans="1:11">
      <c r="A328" s="4" t="s">
        <v>54</v>
      </c>
      <c r="B328" s="7">
        <v>2.600000000000001</v>
      </c>
      <c r="C328" s="5" t="s">
        <v>15</v>
      </c>
      <c r="D328" s="5" t="s">
        <v>15</v>
      </c>
      <c r="E328" s="6">
        <f>IF(H328=1,1.0,0)</f>
        <v/>
      </c>
      <c r="F328" s="6">
        <f>IF(H328=1,1.0,0)</f>
        <v/>
      </c>
      <c r="G328" s="5" t="s">
        <v>15</v>
      </c>
      <c r="H328" s="8">
        <f>IF(OR(LOOKUP(A328,characters!A:A,characters!B:B)=-1, LOOKUP(A328,characters!A:A,characters!B:B)+0.1&gt;=B328),1,0)</f>
        <v/>
      </c>
    </row>
    <row r="329" spans="1:11">
      <c r="A329" s="4" t="s">
        <v>40</v>
      </c>
      <c r="B329" s="7">
        <v>0.2</v>
      </c>
      <c r="C329" s="5" t="s">
        <v>15</v>
      </c>
      <c r="D329" s="6">
        <f>IF(H329=1,1.0,0)</f>
        <v/>
      </c>
      <c r="E329" s="5" t="s">
        <v>15</v>
      </c>
      <c r="F329" s="5" t="s">
        <v>15</v>
      </c>
      <c r="G329" s="5" t="s">
        <v>15</v>
      </c>
      <c r="H329" s="8">
        <f>IF(OR(LOOKUP(A329,characters!A:A,characters!B:B)=-1, LOOKUP(A329,characters!A:A,characters!B:B)+0.1&gt;=B329),1,0)</f>
        <v/>
      </c>
    </row>
    <row r="330" spans="1:11">
      <c r="A330" s="4" t="s">
        <v>26</v>
      </c>
      <c r="B330" s="7">
        <v>0.3</v>
      </c>
      <c r="C330" s="5" t="s">
        <v>15</v>
      </c>
      <c r="D330" s="6">
        <f>IF(H330=1,1.0,0)</f>
        <v/>
      </c>
      <c r="E330" s="5" t="s">
        <v>15</v>
      </c>
      <c r="F330" s="5" t="s">
        <v>15</v>
      </c>
      <c r="G330" s="6">
        <f>IF(H330=1,1.0,0)</f>
        <v/>
      </c>
      <c r="H330" s="8">
        <f>IF(OR(LOOKUP(A330,characters!A:A,characters!B:B)=-1, LOOKUP(A330,characters!A:A,characters!B:B)+0.1&gt;=B330),1,0)</f>
        <v/>
      </c>
    </row>
    <row r="331" spans="1:11">
      <c r="A331" s="4" t="s">
        <v>36</v>
      </c>
      <c r="B331" s="7">
        <v>0.2</v>
      </c>
      <c r="C331" s="5" t="s">
        <v>15</v>
      </c>
      <c r="D331" s="6">
        <f>IF(H331=1,1.0,0)</f>
        <v/>
      </c>
      <c r="E331" s="5" t="s">
        <v>15</v>
      </c>
      <c r="F331" s="5" t="s">
        <v>15</v>
      </c>
      <c r="G331" s="5" t="s">
        <v>15</v>
      </c>
      <c r="H331" s="8">
        <f>IF(OR(LOOKUP(A331,characters!A:A,characters!B:B)=-1, LOOKUP(A331,characters!A:A,characters!B:B)+0.1&gt;=B331),1,0)</f>
        <v/>
      </c>
    </row>
    <row r="332" spans="1:11">
      <c r="A332" s="4" t="s">
        <v>59</v>
      </c>
      <c r="B332" s="7">
        <v>0.2</v>
      </c>
      <c r="C332" s="5" t="s">
        <v>15</v>
      </c>
      <c r="D332" s="6">
        <f>IF(H332=1,1.0,0)</f>
        <v/>
      </c>
      <c r="E332" s="5" t="s">
        <v>15</v>
      </c>
      <c r="F332" s="5" t="s">
        <v>15</v>
      </c>
      <c r="G332" s="5" t="s">
        <v>15</v>
      </c>
      <c r="H332" s="8">
        <f>IF(OR(LOOKUP(A332,characters!A:A,characters!B:B)=-1, LOOKUP(A332,characters!A:A,characters!B:B)+0.1&gt;=B332),1,0)</f>
        <v/>
      </c>
    </row>
    <row r="333" spans="1:11">
      <c r="A333" s="4" t="s">
        <v>16</v>
      </c>
      <c r="B333" s="7">
        <v>0.2</v>
      </c>
      <c r="C333" s="5" t="s">
        <v>15</v>
      </c>
      <c r="D333" s="6">
        <f>IF(H333=1,1.0,0)</f>
        <v/>
      </c>
      <c r="E333" s="5" t="s">
        <v>15</v>
      </c>
      <c r="F333" s="5" t="s">
        <v>15</v>
      </c>
      <c r="G333" s="6">
        <f>IF(H333=1,1.0,0)</f>
        <v/>
      </c>
      <c r="H333" s="8">
        <f>IF(OR(LOOKUP(A333,characters!A:A,characters!B:B)=-1, LOOKUP(A333,characters!A:A,characters!B:B)+0.1&gt;=B333),1,0)</f>
        <v/>
      </c>
    </row>
    <row r="334" spans="1:11">
      <c r="A334" s="4" t="s">
        <v>37</v>
      </c>
      <c r="B334" s="7">
        <v>0.2</v>
      </c>
      <c r="C334" s="5" t="s">
        <v>15</v>
      </c>
      <c r="D334" s="6">
        <f>IF(H334=1,0.99,0)</f>
        <v/>
      </c>
      <c r="E334" s="5" t="s">
        <v>15</v>
      </c>
      <c r="F334" s="5" t="s">
        <v>15</v>
      </c>
      <c r="G334" s="6">
        <f>IF(H334=1,1.0,0)</f>
        <v/>
      </c>
      <c r="H334" s="8">
        <f>IF(OR(LOOKUP(A334,characters!A:A,characters!B:B)=-1, LOOKUP(A334,characters!A:A,characters!B:B)+0.1&gt;=B334),1,0)</f>
        <v/>
      </c>
    </row>
    <row r="335" spans="1:11">
      <c r="A335" s="4" t="s">
        <v>47</v>
      </c>
      <c r="B335" s="7">
        <v>0.5</v>
      </c>
      <c r="C335" s="6">
        <f>IF(H335=1,1.0,0)</f>
        <v/>
      </c>
      <c r="D335" s="5" t="s">
        <v>15</v>
      </c>
      <c r="E335" s="5" t="s">
        <v>15</v>
      </c>
      <c r="F335" s="5" t="s">
        <v>15</v>
      </c>
      <c r="G335" s="5" t="s">
        <v>15</v>
      </c>
      <c r="H335" s="8">
        <f>IF(OR(LOOKUP(A335,characters!A:A,characters!B:B)=-1, LOOKUP(A335,characters!A:A,characters!B:B)+0.1&gt;=B335),1,0)</f>
        <v/>
      </c>
    </row>
    <row r="336" spans="1:11">
      <c r="A336" s="4" t="s">
        <v>28</v>
      </c>
      <c r="B336" s="7">
        <v>0.4</v>
      </c>
      <c r="C336" s="6">
        <f>IF(H336=1,1.0,0)</f>
        <v/>
      </c>
      <c r="D336" s="5" t="s">
        <v>15</v>
      </c>
      <c r="E336" s="5" t="s">
        <v>15</v>
      </c>
      <c r="F336" s="5" t="s">
        <v>15</v>
      </c>
      <c r="G336" s="5" t="s">
        <v>15</v>
      </c>
      <c r="H336" s="8">
        <f>IF(OR(LOOKUP(A336,characters!A:A,characters!B:B)=-1, LOOKUP(A336,characters!A:A,characters!B:B)+0.1&gt;=B336),1,0)</f>
        <v/>
      </c>
    </row>
    <row r="337" spans="1:8">
      <c r="A337" s="4" t="s">
        <v>48</v>
      </c>
      <c r="B337" s="7">
        <v>0.1</v>
      </c>
      <c r="C337" s="5" t="s">
        <v>15</v>
      </c>
      <c r="D337" s="6">
        <f>IF(H337=1,1.0,0)</f>
        <v/>
      </c>
      <c r="E337" s="5" t="s">
        <v>15</v>
      </c>
      <c r="F337" s="6">
        <f>IF(H337=1,1.0,0)</f>
        <v/>
      </c>
      <c r="G337" s="5" t="s">
        <v>15</v>
      </c>
      <c r="H337" s="8">
        <f>IF(OR(LOOKUP(A337,characters!A:A,characters!B:B)=-1, LOOKUP(A337,characters!A:A,characters!B:B)+0.1&gt;=B337),1,0)</f>
        <v/>
      </c>
    </row>
    <row r="338" spans="1:8">
      <c r="A338" s="4" t="s">
        <v>49</v>
      </c>
      <c r="B338" s="7">
        <v>0.5</v>
      </c>
      <c r="C338" s="6">
        <f>IF(H338=1,1.0,0)</f>
        <v/>
      </c>
      <c r="D338" s="5" t="s">
        <v>15</v>
      </c>
      <c r="E338" s="5" t="s">
        <v>15</v>
      </c>
      <c r="F338" s="5" t="s">
        <v>15</v>
      </c>
      <c r="G338" s="5" t="s">
        <v>15</v>
      </c>
      <c r="H338" s="8">
        <f>IF(OR(LOOKUP(A338,characters!A:A,characters!B:B)=-1, LOOKUP(A338,characters!A:A,characters!B:B)+0.1&gt;=B338),1,0)</f>
        <v/>
      </c>
    </row>
    <row r="339" spans="1:8">
      <c r="A339" s="4" t="s">
        <v>38</v>
      </c>
      <c r="B339" s="7">
        <v>0.2</v>
      </c>
      <c r="C339" s="5" t="s">
        <v>15</v>
      </c>
      <c r="D339" s="6">
        <f>IF(H339=1,1.0,0)</f>
        <v/>
      </c>
      <c r="E339" s="5" t="s">
        <v>15</v>
      </c>
      <c r="F339" s="5" t="s">
        <v>15</v>
      </c>
      <c r="G339" s="5" t="s">
        <v>15</v>
      </c>
      <c r="H339" s="8">
        <f>IF(OR(LOOKUP(A339,characters!A:A,characters!B:B)=-1, LOOKUP(A339,characters!A:A,characters!B:B)+0.1&gt;=B339),1,0)</f>
        <v/>
      </c>
    </row>
    <row r="340" spans="1:8">
      <c r="A340" s="4" t="s">
        <v>45</v>
      </c>
      <c r="B340" s="7">
        <v>0.2</v>
      </c>
      <c r="C340" s="5" t="s">
        <v>15</v>
      </c>
      <c r="D340" s="6">
        <f>IF(H340=1,1.0,0)</f>
        <v/>
      </c>
      <c r="E340" s="5" t="s">
        <v>15</v>
      </c>
      <c r="F340" s="6">
        <f>IF(H340=1,1.0,0)</f>
        <v/>
      </c>
      <c r="G340" s="5" t="s">
        <v>15</v>
      </c>
      <c r="H340" s="8">
        <f>IF(OR(LOOKUP(A340,characters!A:A,characters!B:B)=-1, LOOKUP(A340,characters!A:A,characters!B:B)+0.1&gt;=B340),1,0)</f>
        <v/>
      </c>
    </row>
    <row r="341" spans="1:8">
      <c r="A341" s="4" t="s">
        <v>39</v>
      </c>
      <c r="B341" s="7">
        <v>0.2</v>
      </c>
      <c r="C341" s="5" t="s">
        <v>15</v>
      </c>
      <c r="D341" s="6">
        <f>IF(H341=1,1.0,0)</f>
        <v/>
      </c>
      <c r="E341" s="5" t="s">
        <v>15</v>
      </c>
      <c r="F341" s="5" t="s">
        <v>15</v>
      </c>
      <c r="G341" s="6">
        <f>IF(H341=1,1.0,0)</f>
        <v/>
      </c>
      <c r="H341" s="8">
        <f>IF(OR(LOOKUP(A341,characters!A:A,characters!B:B)=-1, LOOKUP(A341,characters!A:A,characters!B:B)+0.1&gt;=B341),1,0)</f>
        <v/>
      </c>
    </row>
    <row r="342" spans="1:8">
      <c r="A342" s="4" t="s">
        <v>50</v>
      </c>
      <c r="B342" s="7">
        <v>0.3</v>
      </c>
      <c r="C342" s="5" t="s">
        <v>15</v>
      </c>
      <c r="D342" s="6">
        <f>IF(H342=1,0.99,0)</f>
        <v/>
      </c>
      <c r="E342" s="5" t="s">
        <v>15</v>
      </c>
      <c r="F342" s="6">
        <f>IF(H342=1,1.0,0)</f>
        <v/>
      </c>
      <c r="G342" s="5" t="s">
        <v>15</v>
      </c>
      <c r="H342" s="8">
        <f>IF(OR(LOOKUP(A342,characters!A:A,characters!B:B)=-1, LOOKUP(A342,characters!A:A,characters!B:B)+0.1&gt;=B342),1,0)</f>
        <v/>
      </c>
    </row>
    <row r="343" spans="1:8">
      <c r="A343" s="4" t="s">
        <v>53</v>
      </c>
      <c r="B343" s="7">
        <v>1.2</v>
      </c>
      <c r="C343" s="5" t="s">
        <v>15</v>
      </c>
      <c r="D343" s="5" t="s">
        <v>15</v>
      </c>
      <c r="E343" s="5" t="s">
        <v>15</v>
      </c>
      <c r="F343" s="6">
        <f>IF(H343=1,1.0,0)</f>
        <v/>
      </c>
      <c r="G343" s="6">
        <f>IF(H343=1,1.0,0)</f>
        <v/>
      </c>
      <c r="H343" s="8">
        <f>IF(OR(LOOKUP(A343,characters!A:A,characters!B:B)=-1, LOOKUP(A343,characters!A:A,characters!B:B)+0.1&gt;=B343),1,0)</f>
        <v/>
      </c>
    </row>
    <row r="344" spans="1:8">
      <c r="A344" s="4" t="s">
        <v>60</v>
      </c>
      <c r="B344" s="7">
        <v>0.2</v>
      </c>
      <c r="C344" s="5" t="s">
        <v>15</v>
      </c>
      <c r="D344" s="6">
        <f>IF(H344=1,1.0,0)</f>
        <v/>
      </c>
      <c r="E344" s="5" t="s">
        <v>15</v>
      </c>
      <c r="F344" s="5" t="s">
        <v>15</v>
      </c>
      <c r="G344" s="5" t="s">
        <v>15</v>
      </c>
      <c r="H344" s="8">
        <f>IF(OR(LOOKUP(A344,characters!A:A,characters!B:B)=-1, LOOKUP(A344,characters!A:A,characters!B:B)+0.1&gt;=B344),1,0)</f>
        <v/>
      </c>
    </row>
    <row r="345" spans="1:8">
      <c r="A345" s="4" t="s">
        <v>51</v>
      </c>
      <c r="B345" s="7">
        <v>0.1</v>
      </c>
      <c r="C345" s="5" t="s">
        <v>15</v>
      </c>
      <c r="D345" s="6">
        <f>IF(H345=1,1.0,0)</f>
        <v/>
      </c>
      <c r="E345" s="5" t="s">
        <v>15</v>
      </c>
      <c r="F345" s="6">
        <f>IF(H345=1,1.0,0)</f>
        <v/>
      </c>
      <c r="G345" s="5" t="s">
        <v>15</v>
      </c>
      <c r="H345" s="8">
        <f>IF(OR(LOOKUP(A345,characters!A:A,characters!B:B)=-1, LOOKUP(A345,characters!A:A,characters!B:B)+0.1&gt;=B345),1,0)</f>
        <v/>
      </c>
    </row>
    <row r="346" spans="1:8">
      <c r="A346" s="4" t="s">
        <v>27</v>
      </c>
      <c r="B346" s="7">
        <v>0.4</v>
      </c>
      <c r="C346" s="5" t="s">
        <v>15</v>
      </c>
      <c r="D346" s="6">
        <f>IF(H346=1,1.0,0)</f>
        <v/>
      </c>
      <c r="E346" s="5" t="s">
        <v>15</v>
      </c>
      <c r="F346" s="5" t="s">
        <v>15</v>
      </c>
      <c r="G346" s="6">
        <f>IF(H346=1,1.0,0)</f>
        <v/>
      </c>
      <c r="H346" s="8">
        <f>IF(OR(LOOKUP(A346,characters!A:A,characters!B:B)=-1, LOOKUP(A346,characters!A:A,characters!B:B)+0.1&gt;=B346),1,0)</f>
        <v/>
      </c>
    </row>
    <row r="347" spans="1:8">
      <c r="A347" s="4" t="s">
        <v>33</v>
      </c>
      <c r="B347" s="7">
        <v>0.2</v>
      </c>
      <c r="C347" s="5" t="s">
        <v>15</v>
      </c>
      <c r="D347" s="6">
        <f>IF(H347=1,1.0,0)</f>
        <v/>
      </c>
      <c r="E347" s="5" t="s">
        <v>15</v>
      </c>
      <c r="F347" s="5" t="s">
        <v>15</v>
      </c>
      <c r="G347" s="5" t="s">
        <v>15</v>
      </c>
      <c r="H347" s="8">
        <f>IF(OR(LOOKUP(A347,characters!A:A,characters!B:B)=-1, LOOKUP(A347,characters!A:A,characters!B:B)+0.1&gt;=B347),1,0)</f>
        <v/>
      </c>
    </row>
    <row r="354" spans="1:7">
      <c r="A354" s="3" t="s">
        <v>61</v>
      </c>
    </row>
    <row r="355" spans="1:7">
      <c r="A355" s="3" t="s">
        <v>8</v>
      </c>
      <c r="B355" s="3" t="s">
        <v>9</v>
      </c>
      <c r="C355" s="3" t="s">
        <v>11</v>
      </c>
      <c r="D355" s="3" t="s">
        <v>10</v>
      </c>
      <c r="E355" s="3" t="s">
        <v>13</v>
      </c>
      <c r="F355" s="3" t="s">
        <v>12</v>
      </c>
    </row>
    <row r="356" spans="1:7">
      <c r="A356" s="4" t="s">
        <v>14</v>
      </c>
      <c r="B356" s="5" t="s">
        <v>15</v>
      </c>
      <c r="C356" s="6">
        <f>IF(SUM(G357)=0,0,SUM(C357)/SUM(G357))</f>
        <v/>
      </c>
      <c r="D356" s="6">
        <f>IF(SUM(G357)=0,0,SUM(D357)/SUM(G357))</f>
        <v/>
      </c>
      <c r="E356" s="6">
        <f>IF(SUM(G357)=0,0,SUM(E357)/SUM(G357))</f>
        <v/>
      </c>
      <c r="F356" s="6">
        <f>IF(SUM(G357)=0,0,SUM(F357)/SUM(G357))</f>
        <v/>
      </c>
    </row>
    <row r="357" spans="1:7">
      <c r="A357" s="4" t="s">
        <v>53</v>
      </c>
      <c r="B357" s="7">
        <v>0.1</v>
      </c>
      <c r="C357" s="6">
        <f>IF(G357=1,1.0,0)</f>
        <v/>
      </c>
      <c r="D357" s="6">
        <f>IF(G357=1,0.9,0)</f>
        <v/>
      </c>
      <c r="E357" s="6">
        <f>IF(G357=1,0.8,0)</f>
        <v/>
      </c>
      <c r="F357" s="6">
        <f>IF(G357=1,0.7,0)</f>
        <v/>
      </c>
      <c r="G357" s="8">
        <f>IF(OR(LOOKUP(A357,characters!A:A,characters!B:B)=-1, LOOKUP(A357,characters!A:A,characters!B:B)+0.1&gt;=B357),1,0)</f>
        <v/>
      </c>
    </row>
    <row r="359" spans="1:7">
      <c r="A359" s="3" t="s">
        <v>17</v>
      </c>
      <c r="B359" s="3" t="s">
        <v>9</v>
      </c>
      <c r="C359" s="3" t="s">
        <v>11</v>
      </c>
      <c r="D359" s="3" t="s">
        <v>10</v>
      </c>
    </row>
    <row r="360" spans="1:7">
      <c r="A360" s="4" t="s">
        <v>14</v>
      </c>
      <c r="B360" s="5" t="s">
        <v>15</v>
      </c>
      <c r="C360" s="6">
        <f>IF(SUM(E361)=0,0,SUM(C361)/SUM(E361))</f>
        <v/>
      </c>
      <c r="D360" s="6">
        <f>IF(SUM(E361)=0,0,SUM(D361)/SUM(E361))</f>
        <v/>
      </c>
    </row>
    <row r="361" spans="1:7">
      <c r="A361" s="4" t="s">
        <v>53</v>
      </c>
      <c r="B361" s="7">
        <v>0.1</v>
      </c>
      <c r="C361" s="6">
        <f>IF(E361=1,1.0,0)</f>
        <v/>
      </c>
      <c r="D361" s="6">
        <f>IF(E361=1,0.99,0)</f>
        <v/>
      </c>
      <c r="E361" s="8">
        <f>IF(OR(LOOKUP(A361,characters!A:A,characters!B:B)=-1, LOOKUP(A361,characters!A:A,characters!B:B)+0.1&gt;=B361),1,0)</f>
        <v/>
      </c>
    </row>
    <row r="363" spans="1:7">
      <c r="A363" s="3" t="s">
        <v>18</v>
      </c>
      <c r="B363" s="3" t="s">
        <v>9</v>
      </c>
      <c r="C363" s="3" t="s">
        <v>11</v>
      </c>
      <c r="D363" s="3" t="s">
        <v>19</v>
      </c>
    </row>
    <row r="364" spans="1:7">
      <c r="A364" s="4" t="s">
        <v>14</v>
      </c>
      <c r="B364" s="5" t="s">
        <v>15</v>
      </c>
      <c r="C364" s="6">
        <f>IF(SUM(E365)=0,0,SUM(C365)/SUM(E365))</f>
        <v/>
      </c>
      <c r="D364" s="6">
        <f>IF(SUM(E365)=0,0,SUM(D365)/SUM(E365))</f>
        <v/>
      </c>
    </row>
    <row r="365" spans="1:7">
      <c r="A365" s="4" t="s">
        <v>53</v>
      </c>
      <c r="B365" s="7">
        <v>0.1</v>
      </c>
      <c r="C365" s="6">
        <f>IF(E365=1,1.0,0)</f>
        <v/>
      </c>
      <c r="D365" s="6">
        <f>IF(E365=1,0.99,0)</f>
        <v/>
      </c>
      <c r="E365" s="8">
        <f>IF(OR(LOOKUP(A365,characters!A:A,characters!B:B)=-1, LOOKUP(A365,characters!A:A,characters!B:B)+0.1&gt;=B365),1,0)</f>
        <v/>
      </c>
    </row>
    <row r="367" spans="1:7">
      <c r="A367" s="3" t="s">
        <v>21</v>
      </c>
      <c r="B367" s="3" t="s">
        <v>9</v>
      </c>
      <c r="C367" s="3" t="s">
        <v>56</v>
      </c>
      <c r="D367" s="3" t="s">
        <v>22</v>
      </c>
    </row>
    <row r="368" spans="1:7">
      <c r="A368" s="4" t="s">
        <v>14</v>
      </c>
      <c r="B368" s="5" t="s">
        <v>15</v>
      </c>
      <c r="C368" s="6">
        <f>IF(SUM(E369)=0,0,SUM(C369)/SUM(E369))</f>
        <v/>
      </c>
      <c r="D368" s="6">
        <f>IF(SUM(E369)=0,0,SUM(D369)/SUM(E369))</f>
        <v/>
      </c>
    </row>
    <row r="369" spans="1:11">
      <c r="A369" s="4" t="s">
        <v>53</v>
      </c>
      <c r="B369" s="7">
        <v>0.1</v>
      </c>
      <c r="C369" s="6">
        <f>IF(E369=1,1.0,0)</f>
        <v/>
      </c>
      <c r="D369" s="6">
        <f>IF(E369=1,1.0,0)</f>
        <v/>
      </c>
      <c r="E369" s="8">
        <f>IF(OR(LOOKUP(A369,characters!A:A,characters!B:B)=-1, LOOKUP(A369,characters!A:A,characters!B:B)+0.1&gt;=B369),1,0)</f>
        <v/>
      </c>
    </row>
    <row r="376" spans="1:11">
      <c r="A376" s="3" t="s">
        <v>62</v>
      </c>
    </row>
    <row r="377" spans="1:11">
      <c r="A377" s="3" t="s">
        <v>8</v>
      </c>
      <c r="B377" s="3" t="s">
        <v>9</v>
      </c>
      <c r="C377" s="3" t="s">
        <v>12</v>
      </c>
      <c r="D377" s="3" t="s">
        <v>24</v>
      </c>
      <c r="E377" s="3" t="s">
        <v>25</v>
      </c>
      <c r="F377" s="3" t="s">
        <v>11</v>
      </c>
      <c r="G377" s="3" t="s">
        <v>13</v>
      </c>
      <c r="H377" s="3" t="s">
        <v>10</v>
      </c>
      <c r="I377" s="3" t="s">
        <v>43</v>
      </c>
      <c r="J377" s="3" t="s">
        <v>44</v>
      </c>
    </row>
    <row r="378" spans="1:11">
      <c r="A378" s="4" t="s">
        <v>14</v>
      </c>
      <c r="B378" s="5" t="s">
        <v>15</v>
      </c>
      <c r="C378" s="6">
        <f>IF(SUM(K379:K382)=0,0,SUM(C379:C382)/SUM(K379:K382))</f>
        <v/>
      </c>
      <c r="D378" s="6">
        <f>IF(SUM(K379:K382)=0,0,SUM(D379:D382)/SUM(K379:K382))</f>
        <v/>
      </c>
      <c r="E378" s="6">
        <f>IF(SUM(K379:K382)=0,0,SUM(E379:E382)/SUM(K379:K382))</f>
        <v/>
      </c>
      <c r="F378" s="6">
        <f>IF(SUM(K379:K382)=0,0,SUM(F379:F382)/SUM(K379:K382))</f>
        <v/>
      </c>
      <c r="G378" s="6">
        <f>IF(SUM(K379:K382)=0,0,SUM(G379:G382)/SUM(K379:K382))</f>
        <v/>
      </c>
      <c r="H378" s="6">
        <f>IF(SUM(K379:K382)=0,0,SUM(H379:H382)/SUM(K379:K382))</f>
        <v/>
      </c>
      <c r="I378" s="6">
        <f>IF(SUM(K379:K382)=0,0,SUM(I379:I382)/SUM(K379:K382))</f>
        <v/>
      </c>
      <c r="J378" s="6">
        <f>IF(SUM(K379:K382)=0,0,SUM(J379:J382)/SUM(K379:K382))</f>
        <v/>
      </c>
    </row>
    <row r="379" spans="1:11">
      <c r="A379" s="4" t="s">
        <v>60</v>
      </c>
      <c r="B379" s="7">
        <v>0</v>
      </c>
      <c r="C379" s="6">
        <f>IF(K379=1,0.8,0)</f>
        <v/>
      </c>
      <c r="D379" s="6">
        <f>IF(K379=1,1.0,0)</f>
        <v/>
      </c>
      <c r="E379" s="6">
        <f>IF(K379=1,1.0,0)</f>
        <v/>
      </c>
      <c r="F379" s="6">
        <f>IF(K379=1,0.9,0)</f>
        <v/>
      </c>
      <c r="G379" s="6">
        <f>IF(K379=1,0.8,0)</f>
        <v/>
      </c>
      <c r="H379" s="5" t="s">
        <v>15</v>
      </c>
      <c r="I379" s="5" t="s">
        <v>15</v>
      </c>
      <c r="J379" s="5" t="s">
        <v>15</v>
      </c>
      <c r="K379" s="8">
        <f>IF(OR(LOOKUP(A379,characters!A:A,characters!B:B)=-1, LOOKUP(A379,characters!A:A,characters!B:B)+0.1&gt;=B379),1,0)</f>
        <v/>
      </c>
    </row>
    <row r="380" spans="1:11">
      <c r="A380" s="4" t="s">
        <v>26</v>
      </c>
      <c r="B380" s="7">
        <v>0.1</v>
      </c>
      <c r="C380" s="6">
        <f>IF(K380=1,0.8,0)</f>
        <v/>
      </c>
      <c r="D380" s="5" t="s">
        <v>15</v>
      </c>
      <c r="E380" s="5" t="s">
        <v>15</v>
      </c>
      <c r="F380" s="6">
        <f>IF(K380=1,0.9,0)</f>
        <v/>
      </c>
      <c r="G380" s="6">
        <f>IF(K380=1,0.8,0)</f>
        <v/>
      </c>
      <c r="H380" s="6">
        <f>IF(K380=1,1.0,0)</f>
        <v/>
      </c>
      <c r="I380" s="5" t="s">
        <v>15</v>
      </c>
      <c r="J380" s="5" t="s">
        <v>15</v>
      </c>
      <c r="K380" s="8">
        <f>IF(OR(LOOKUP(A380,characters!A:A,characters!B:B)=-1, LOOKUP(A380,characters!A:A,characters!B:B)+0.1&gt;=B380),1,0)</f>
        <v/>
      </c>
    </row>
    <row r="381" spans="1:11">
      <c r="A381" s="4" t="s">
        <v>28</v>
      </c>
      <c r="B381" s="7">
        <v>0.2</v>
      </c>
      <c r="C381" s="6">
        <f>IF(K381=1,0.8,0)</f>
        <v/>
      </c>
      <c r="D381" s="6">
        <f>IF(K381=1,1.0,0)</f>
        <v/>
      </c>
      <c r="E381" s="6">
        <f>IF(K381=1,1.0,0)</f>
        <v/>
      </c>
      <c r="F381" s="6">
        <f>IF(K381=1,1.0,0)</f>
        <v/>
      </c>
      <c r="G381" s="6">
        <f>IF(K381=1,0.9,0)</f>
        <v/>
      </c>
      <c r="H381" s="6">
        <f>IF(K381=1,1.0,0)</f>
        <v/>
      </c>
      <c r="I381" s="5" t="s">
        <v>15</v>
      </c>
      <c r="J381" s="5" t="s">
        <v>15</v>
      </c>
      <c r="K381" s="8">
        <f>IF(OR(LOOKUP(A381,characters!A:A,characters!B:B)=-1, LOOKUP(A381,characters!A:A,characters!B:B)+0.1&gt;=B381),1,0)</f>
        <v/>
      </c>
    </row>
    <row r="382" spans="1:11">
      <c r="A382" s="4" t="s">
        <v>54</v>
      </c>
      <c r="B382" s="7">
        <v>0.3</v>
      </c>
      <c r="C382" s="6">
        <f>IF(K382=1,0.7,0)</f>
        <v/>
      </c>
      <c r="D382" s="6">
        <f>IF(K382=1,0.9,0)</f>
        <v/>
      </c>
      <c r="E382" s="6">
        <f>IF(K382=1,0.9,0)</f>
        <v/>
      </c>
      <c r="F382" s="5" t="s">
        <v>15</v>
      </c>
      <c r="G382" s="5" t="s">
        <v>15</v>
      </c>
      <c r="H382" s="5" t="s">
        <v>15</v>
      </c>
      <c r="I382" s="6">
        <f>IF(K382=1,1.0,0)</f>
        <v/>
      </c>
      <c r="J382" s="6">
        <f>IF(K382=1,0.8,0)</f>
        <v/>
      </c>
      <c r="K382" s="8">
        <f>IF(OR(LOOKUP(A382,characters!A:A,characters!B:B)=-1, LOOKUP(A382,characters!A:A,characters!B:B)+0.1&gt;=B382),1,0)</f>
        <v/>
      </c>
    </row>
    <row r="384" spans="1:11">
      <c r="A384" s="3" t="s">
        <v>17</v>
      </c>
      <c r="B384" s="3" t="s">
        <v>9</v>
      </c>
      <c r="C384" s="3" t="s">
        <v>43</v>
      </c>
      <c r="D384" s="3" t="s">
        <v>25</v>
      </c>
      <c r="E384" s="3" t="s">
        <v>10</v>
      </c>
      <c r="F384" s="3" t="s">
        <v>24</v>
      </c>
    </row>
    <row r="385" spans="1:8">
      <c r="A385" s="4" t="s">
        <v>14</v>
      </c>
      <c r="B385" s="5" t="s">
        <v>15</v>
      </c>
      <c r="C385" s="6">
        <f>IF(SUM(G386:G389)=0,0,SUM(C386:C389)/SUM(G386:G389))</f>
        <v/>
      </c>
      <c r="D385" s="6">
        <f>IF(SUM(G386:G389)=0,0,SUM(D386:D389)/SUM(G386:G389))</f>
        <v/>
      </c>
      <c r="E385" s="6">
        <f>IF(SUM(G386:G389)=0,0,SUM(E386:E389)/SUM(G386:G389))</f>
        <v/>
      </c>
      <c r="F385" s="6">
        <f>IF(SUM(G386:G389)=0,0,SUM(F386:F389)/SUM(G386:G389))</f>
        <v/>
      </c>
    </row>
    <row r="386" spans="1:8">
      <c r="A386" s="4" t="s">
        <v>54</v>
      </c>
      <c r="B386" s="7">
        <v>0.3</v>
      </c>
      <c r="C386" s="6">
        <f>IF(G386=1,1.0,0)</f>
        <v/>
      </c>
      <c r="D386" s="6">
        <f>IF(G386=1,0.9,0)</f>
        <v/>
      </c>
      <c r="E386" s="5" t="s">
        <v>15</v>
      </c>
      <c r="F386" s="5" t="s">
        <v>15</v>
      </c>
      <c r="G386" s="8">
        <f>IF(OR(LOOKUP(A386,characters!A:A,characters!B:B)=-1, LOOKUP(A386,characters!A:A,characters!B:B)+0.1&gt;=B386),1,0)</f>
        <v/>
      </c>
    </row>
    <row r="387" spans="1:8">
      <c r="A387" s="4" t="s">
        <v>26</v>
      </c>
      <c r="B387" s="7">
        <v>0.1</v>
      </c>
      <c r="C387" s="5" t="s">
        <v>15</v>
      </c>
      <c r="D387" s="5" t="s">
        <v>15</v>
      </c>
      <c r="E387" s="6">
        <f>IF(G387=1,1.0,0)</f>
        <v/>
      </c>
      <c r="F387" s="5" t="s">
        <v>15</v>
      </c>
      <c r="G387" s="8">
        <f>IF(OR(LOOKUP(A387,characters!A:A,characters!B:B)=-1, LOOKUP(A387,characters!A:A,characters!B:B)+0.1&gt;=B387),1,0)</f>
        <v/>
      </c>
    </row>
    <row r="388" spans="1:8">
      <c r="A388" s="4" t="s">
        <v>28</v>
      </c>
      <c r="B388" s="7">
        <v>0.2</v>
      </c>
      <c r="C388" s="5" t="s">
        <v>15</v>
      </c>
      <c r="D388" s="6">
        <f>IF(G388=1,0.99,0)</f>
        <v/>
      </c>
      <c r="E388" s="6">
        <f>IF(G388=1,0.99,0)</f>
        <v/>
      </c>
      <c r="F388" s="6">
        <f>IF(G388=1,1.0,0)</f>
        <v/>
      </c>
      <c r="G388" s="8">
        <f>IF(OR(LOOKUP(A388,characters!A:A,characters!B:B)=-1, LOOKUP(A388,characters!A:A,characters!B:B)+0.1&gt;=B388),1,0)</f>
        <v/>
      </c>
    </row>
    <row r="389" spans="1:8">
      <c r="A389" s="4" t="s">
        <v>60</v>
      </c>
      <c r="B389" s="7">
        <v>0</v>
      </c>
      <c r="C389" s="5" t="s">
        <v>15</v>
      </c>
      <c r="D389" s="6">
        <f>IF(G389=1,1.0,0)</f>
        <v/>
      </c>
      <c r="E389" s="5" t="s">
        <v>15</v>
      </c>
      <c r="F389" s="6">
        <f>IF(G389=1,1.0,0)</f>
        <v/>
      </c>
      <c r="G389" s="8">
        <f>IF(OR(LOOKUP(A389,characters!A:A,characters!B:B)=-1, LOOKUP(A389,characters!A:A,characters!B:B)+0.1&gt;=B389),1,0)</f>
        <v/>
      </c>
    </row>
    <row r="391" spans="1:8">
      <c r="A391" s="3" t="s">
        <v>18</v>
      </c>
      <c r="B391" s="3" t="s">
        <v>9</v>
      </c>
      <c r="C391" s="3" t="s">
        <v>43</v>
      </c>
      <c r="D391" s="3" t="s">
        <v>29</v>
      </c>
      <c r="E391" s="3" t="s">
        <v>20</v>
      </c>
      <c r="F391" s="3" t="s">
        <v>11</v>
      </c>
    </row>
    <row r="392" spans="1:8">
      <c r="A392" s="4" t="s">
        <v>14</v>
      </c>
      <c r="B392" s="5" t="s">
        <v>15</v>
      </c>
      <c r="C392" s="6">
        <f>IF(SUM(G393:G396)=0,0,SUM(C393:C396)/SUM(G393:G396))</f>
        <v/>
      </c>
      <c r="D392" s="6">
        <f>IF(SUM(G393:G396)=0,0,SUM(D393:D396)/SUM(G393:G396))</f>
        <v/>
      </c>
      <c r="E392" s="6">
        <f>IF(SUM(G393:G396)=0,0,SUM(E393:E396)/SUM(G393:G396))</f>
        <v/>
      </c>
      <c r="F392" s="6">
        <f>IF(SUM(G393:G396)=0,0,SUM(F393:F396)/SUM(G393:G396))</f>
        <v/>
      </c>
    </row>
    <row r="393" spans="1:8">
      <c r="A393" s="4" t="s">
        <v>54</v>
      </c>
      <c r="B393" s="7">
        <v>0.3</v>
      </c>
      <c r="C393" s="6">
        <f>IF(G393=1,1.0,0)</f>
        <v/>
      </c>
      <c r="D393" s="6">
        <f>IF(G393=1,1.0,0)</f>
        <v/>
      </c>
      <c r="E393" s="5" t="s">
        <v>15</v>
      </c>
      <c r="F393" s="5" t="s">
        <v>15</v>
      </c>
      <c r="G393" s="8">
        <f>IF(OR(LOOKUP(A393,characters!A:A,characters!B:B)=-1, LOOKUP(A393,characters!A:A,characters!B:B)+0.1&gt;=B393),1,0)</f>
        <v/>
      </c>
    </row>
    <row r="394" spans="1:8">
      <c r="A394" s="4" t="s">
        <v>26</v>
      </c>
      <c r="B394" s="7">
        <v>0.1</v>
      </c>
      <c r="C394" s="5" t="s">
        <v>15</v>
      </c>
      <c r="D394" s="6">
        <f>IF(G394=1,1.0,0)</f>
        <v/>
      </c>
      <c r="E394" s="6">
        <f>IF(G394=1,0.99,0)</f>
        <v/>
      </c>
      <c r="F394" s="5" t="s">
        <v>15</v>
      </c>
      <c r="G394" s="8">
        <f>IF(OR(LOOKUP(A394,characters!A:A,characters!B:B)=-1, LOOKUP(A394,characters!A:A,characters!B:B)+0.1&gt;=B394),1,0)</f>
        <v/>
      </c>
    </row>
    <row r="395" spans="1:8">
      <c r="A395" s="4" t="s">
        <v>28</v>
      </c>
      <c r="B395" s="7">
        <v>0.2</v>
      </c>
      <c r="C395" s="5" t="s">
        <v>15</v>
      </c>
      <c r="D395" s="6">
        <f>IF(G395=1,1.0,0)</f>
        <v/>
      </c>
      <c r="E395" s="6">
        <f>IF(G395=1,1.0,0)</f>
        <v/>
      </c>
      <c r="F395" s="6">
        <f>IF(G395=1,1.0,0)</f>
        <v/>
      </c>
      <c r="G395" s="8">
        <f>IF(OR(LOOKUP(A395,characters!A:A,characters!B:B)=-1, LOOKUP(A395,characters!A:A,characters!B:B)+0.1&gt;=B395),1,0)</f>
        <v/>
      </c>
    </row>
    <row r="396" spans="1:8">
      <c r="A396" s="4" t="s">
        <v>60</v>
      </c>
      <c r="B396" s="7">
        <v>0</v>
      </c>
      <c r="C396" s="5" t="s">
        <v>15</v>
      </c>
      <c r="D396" s="6">
        <f>IF(G396=1,1.0,0)</f>
        <v/>
      </c>
      <c r="E396" s="5" t="s">
        <v>15</v>
      </c>
      <c r="F396" s="6">
        <f>IF(G396=1,0.9,0)</f>
        <v/>
      </c>
      <c r="G396" s="8">
        <f>IF(OR(LOOKUP(A396,characters!A:A,characters!B:B)=-1, LOOKUP(A396,characters!A:A,characters!B:B)+0.1&gt;=B396),1,0)</f>
        <v/>
      </c>
    </row>
    <row r="398" spans="1:8">
      <c r="A398" s="3" t="s">
        <v>21</v>
      </c>
      <c r="B398" s="3" t="s">
        <v>9</v>
      </c>
      <c r="C398" s="3" t="s">
        <v>43</v>
      </c>
      <c r="D398" s="3" t="s">
        <v>56</v>
      </c>
      <c r="E398" s="3" t="s">
        <v>11</v>
      </c>
      <c r="F398" s="3" t="s">
        <v>22</v>
      </c>
      <c r="G398" s="3" t="s">
        <v>30</v>
      </c>
    </row>
    <row r="399" spans="1:8">
      <c r="A399" s="4" t="s">
        <v>14</v>
      </c>
      <c r="B399" s="5" t="s">
        <v>15</v>
      </c>
      <c r="C399" s="6">
        <f>IF(SUM(H400:H403)=0,0,SUM(C400:C403)/SUM(H400:H403))</f>
        <v/>
      </c>
      <c r="D399" s="6">
        <f>IF(SUM(H400:H403)=0,0,SUM(D400:D403)/SUM(H400:H403))</f>
        <v/>
      </c>
      <c r="E399" s="6">
        <f>IF(SUM(H400:H403)=0,0,SUM(E400:E403)/SUM(H400:H403))</f>
        <v/>
      </c>
      <c r="F399" s="6">
        <f>IF(SUM(H400:H403)=0,0,SUM(F400:F403)/SUM(H400:H403))</f>
        <v/>
      </c>
      <c r="G399" s="6">
        <f>IF(SUM(H400:H403)=0,0,SUM(G400:G403)/SUM(H400:H403))</f>
        <v/>
      </c>
    </row>
    <row r="400" spans="1:8">
      <c r="A400" s="4" t="s">
        <v>54</v>
      </c>
      <c r="B400" s="7">
        <v>0.3</v>
      </c>
      <c r="C400" s="6">
        <f>IF(H400=1,1.0,0)</f>
        <v/>
      </c>
      <c r="D400" s="6">
        <f>IF(H400=1,1.0,0)</f>
        <v/>
      </c>
      <c r="E400" s="5" t="s">
        <v>15</v>
      </c>
      <c r="F400" s="5" t="s">
        <v>15</v>
      </c>
      <c r="G400" s="5" t="s">
        <v>15</v>
      </c>
      <c r="H400" s="8">
        <f>IF(OR(LOOKUP(A400,characters!A:A,characters!B:B)=-1, LOOKUP(A400,characters!A:A,characters!B:B)+0.1&gt;=B400),1,0)</f>
        <v/>
      </c>
    </row>
    <row r="401" spans="1:8">
      <c r="A401" s="4" t="s">
        <v>26</v>
      </c>
      <c r="B401" s="7">
        <v>0.1</v>
      </c>
      <c r="C401" s="5" t="s">
        <v>15</v>
      </c>
      <c r="D401" s="5" t="s">
        <v>15</v>
      </c>
      <c r="E401" s="6">
        <f>IF(H401=1,1.0,0)</f>
        <v/>
      </c>
      <c r="F401" s="6">
        <f>IF(H401=1,1.0,0)</f>
        <v/>
      </c>
      <c r="G401" s="5" t="s">
        <v>15</v>
      </c>
      <c r="H401" s="8">
        <f>IF(OR(LOOKUP(A401,characters!A:A,characters!B:B)=-1, LOOKUP(A401,characters!A:A,characters!B:B)+0.1&gt;=B401),1,0)</f>
        <v/>
      </c>
    </row>
    <row r="402" spans="1:8">
      <c r="A402" s="4" t="s">
        <v>28</v>
      </c>
      <c r="B402" s="7">
        <v>0.2</v>
      </c>
      <c r="C402" s="5" t="s">
        <v>15</v>
      </c>
      <c r="D402" s="5" t="s">
        <v>15</v>
      </c>
      <c r="E402" s="5" t="s">
        <v>15</v>
      </c>
      <c r="F402" s="5" t="s">
        <v>15</v>
      </c>
      <c r="G402" s="6">
        <f>IF(H402=1,1.0,0)</f>
        <v/>
      </c>
      <c r="H402" s="8">
        <f>IF(OR(LOOKUP(A402,characters!A:A,characters!B:B)=-1, LOOKUP(A402,characters!A:A,characters!B:B)+0.1&gt;=B402),1,0)</f>
        <v/>
      </c>
    </row>
    <row r="403" spans="1:8">
      <c r="A403" s="4" t="s">
        <v>60</v>
      </c>
      <c r="B403" s="7">
        <v>0</v>
      </c>
      <c r="C403" s="5" t="s">
        <v>15</v>
      </c>
      <c r="D403" s="5" t="s">
        <v>15</v>
      </c>
      <c r="E403" s="6">
        <f>IF(H403=1,1.0,0)</f>
        <v/>
      </c>
      <c r="F403" s="5" t="s">
        <v>15</v>
      </c>
      <c r="G403" s="5" t="s">
        <v>15</v>
      </c>
      <c r="H403" s="8">
        <f>IF(OR(LOOKUP(A403,characters!A:A,characters!B:B)=-1, LOOKUP(A403,characters!A:A,characters!B:B)+0.1&gt;=B403),1,0)</f>
        <v/>
      </c>
    </row>
    <row r="410" spans="1:8">
      <c r="A410" s="3" t="s">
        <v>63</v>
      </c>
    </row>
    <row r="411" spans="1:8">
      <c r="A411" s="3" t="s">
        <v>8</v>
      </c>
      <c r="B411" s="3" t="s">
        <v>9</v>
      </c>
      <c r="C411" s="3" t="s">
        <v>24</v>
      </c>
      <c r="D411" s="3" t="s">
        <v>25</v>
      </c>
      <c r="E411" s="3" t="s">
        <v>11</v>
      </c>
      <c r="F411" s="3" t="s">
        <v>12</v>
      </c>
      <c r="G411" s="3" t="s">
        <v>13</v>
      </c>
    </row>
    <row r="412" spans="1:8">
      <c r="A412" s="4" t="s">
        <v>14</v>
      </c>
      <c r="B412" s="5" t="s">
        <v>15</v>
      </c>
      <c r="C412" s="6">
        <f>IF(SUM(H413:H415)=0,0,SUM(C413:C415)/SUM(H413:H415))</f>
        <v/>
      </c>
      <c r="D412" s="6">
        <f>IF(SUM(H413:H415)=0,0,SUM(D413:D415)/SUM(H413:H415))</f>
        <v/>
      </c>
      <c r="E412" s="6">
        <f>IF(SUM(H413:H415)=0,0,SUM(E413:E415)/SUM(H413:H415))</f>
        <v/>
      </c>
      <c r="F412" s="6">
        <f>IF(SUM(H413:H415)=0,0,SUM(F413:F415)/SUM(H413:H415))</f>
        <v/>
      </c>
      <c r="G412" s="6">
        <f>IF(SUM(H413:H415)=0,0,SUM(G413:G415)/SUM(H413:H415))</f>
        <v/>
      </c>
    </row>
    <row r="413" spans="1:8">
      <c r="A413" s="4" t="s">
        <v>59</v>
      </c>
      <c r="B413" s="7">
        <v>0.3</v>
      </c>
      <c r="C413" s="6">
        <f>IF(H413=1,1.0,0)</f>
        <v/>
      </c>
      <c r="D413" s="6">
        <f>IF(H413=1,1.0,0)</f>
        <v/>
      </c>
      <c r="E413" s="6">
        <f>IF(H413=1,0.9,0)</f>
        <v/>
      </c>
      <c r="F413" s="6">
        <f>IF(H413=1,0.8,0)</f>
        <v/>
      </c>
      <c r="G413" s="6">
        <f>IF(H413=1,0.8,0)</f>
        <v/>
      </c>
      <c r="H413" s="8">
        <f>IF(OR(LOOKUP(A413,characters!A:A,characters!B:B)=-1, LOOKUP(A413,characters!A:A,characters!B:B)+0.1&gt;=B413),1,0)</f>
        <v/>
      </c>
    </row>
    <row r="414" spans="1:8">
      <c r="A414" s="4" t="s">
        <v>49</v>
      </c>
      <c r="B414" s="7">
        <v>0.3</v>
      </c>
      <c r="C414" s="6">
        <f>IF(H414=1,1.0,0)</f>
        <v/>
      </c>
      <c r="D414" s="6">
        <f>IF(H414=1,1.0,0)</f>
        <v/>
      </c>
      <c r="E414" s="6">
        <f>IF(H414=1,0.9,0)</f>
        <v/>
      </c>
      <c r="F414" s="6">
        <f>IF(H414=1,0.8,0)</f>
        <v/>
      </c>
      <c r="G414" s="6">
        <f>IF(H414=1,0.8,0)</f>
        <v/>
      </c>
      <c r="H414" s="8">
        <f>IF(OR(LOOKUP(A414,characters!A:A,characters!B:B)=-1, LOOKUP(A414,characters!A:A,characters!B:B)+0.1&gt;=B414),1,0)</f>
        <v/>
      </c>
    </row>
    <row r="415" spans="1:8">
      <c r="A415" s="4" t="s">
        <v>51</v>
      </c>
      <c r="B415" s="7">
        <v>0.4</v>
      </c>
      <c r="C415" s="6">
        <f>IF(H415=1,1.0,0)</f>
        <v/>
      </c>
      <c r="D415" s="6">
        <f>IF(H415=1,1.0,0)</f>
        <v/>
      </c>
      <c r="E415" s="6">
        <f>IF(H415=1,1.0,0)</f>
        <v/>
      </c>
      <c r="F415" s="6">
        <f>IF(H415=1,0.9,0)</f>
        <v/>
      </c>
      <c r="G415" s="6">
        <f>IF(H415=1,0.9,0)</f>
        <v/>
      </c>
      <c r="H415" s="8">
        <f>IF(OR(LOOKUP(A415,characters!A:A,characters!B:B)=-1, LOOKUP(A415,characters!A:A,characters!B:B)+0.1&gt;=B415),1,0)</f>
        <v/>
      </c>
    </row>
    <row r="417" spans="1:6">
      <c r="A417" s="3" t="s">
        <v>17</v>
      </c>
      <c r="B417" s="3" t="s">
        <v>9</v>
      </c>
      <c r="C417" s="3" t="s">
        <v>25</v>
      </c>
      <c r="D417" s="3" t="s">
        <v>24</v>
      </c>
      <c r="E417" s="3" t="s">
        <v>11</v>
      </c>
    </row>
    <row r="418" spans="1:6">
      <c r="A418" s="4" t="s">
        <v>14</v>
      </c>
      <c r="B418" s="5" t="s">
        <v>15</v>
      </c>
      <c r="C418" s="6">
        <f>IF(SUM(F419:F421)=0,0,SUM(C419:C421)/SUM(F419:F421))</f>
        <v/>
      </c>
      <c r="D418" s="6">
        <f>IF(SUM(F419:F421)=0,0,SUM(D419:D421)/SUM(F419:F421))</f>
        <v/>
      </c>
      <c r="E418" s="6">
        <f>IF(SUM(F419:F421)=0,0,SUM(E419:E421)/SUM(F419:F421))</f>
        <v/>
      </c>
    </row>
    <row r="419" spans="1:6">
      <c r="A419" s="4" t="s">
        <v>59</v>
      </c>
      <c r="B419" s="7">
        <v>0.3</v>
      </c>
      <c r="C419" s="6">
        <f>IF(F419=1,1.0,0)</f>
        <v/>
      </c>
      <c r="D419" s="6">
        <f>IF(F419=1,1.0,0)</f>
        <v/>
      </c>
      <c r="E419" s="5" t="s">
        <v>15</v>
      </c>
      <c r="F419" s="8">
        <f>IF(OR(LOOKUP(A419,characters!A:A,characters!B:B)=-1, LOOKUP(A419,characters!A:A,characters!B:B)+0.1&gt;=B419),1,0)</f>
        <v/>
      </c>
    </row>
    <row r="420" spans="1:6">
      <c r="A420" s="4" t="s">
        <v>49</v>
      </c>
      <c r="B420" s="7">
        <v>0.3</v>
      </c>
      <c r="C420" s="6">
        <f>IF(F420=1,0.99,0)</f>
        <v/>
      </c>
      <c r="D420" s="6">
        <f>IF(F420=1,1.0,0)</f>
        <v/>
      </c>
      <c r="E420" s="5" t="s">
        <v>15</v>
      </c>
      <c r="F420" s="8">
        <f>IF(OR(LOOKUP(A420,characters!A:A,characters!B:B)=-1, LOOKUP(A420,characters!A:A,characters!B:B)+0.1&gt;=B420),1,0)</f>
        <v/>
      </c>
    </row>
    <row r="421" spans="1:6">
      <c r="A421" s="4" t="s">
        <v>51</v>
      </c>
      <c r="B421" s="7">
        <v>0.4</v>
      </c>
      <c r="C421" s="5" t="s">
        <v>15</v>
      </c>
      <c r="D421" s="6">
        <f>IF(F421=1,0.9,0)</f>
        <v/>
      </c>
      <c r="E421" s="6">
        <f>IF(F421=1,1.0,0)</f>
        <v/>
      </c>
      <c r="F421" s="8">
        <f>IF(OR(LOOKUP(A421,characters!A:A,characters!B:B)=-1, LOOKUP(A421,characters!A:A,characters!B:B)+0.1&gt;=B421),1,0)</f>
        <v/>
      </c>
    </row>
    <row r="423" spans="1:6">
      <c r="A423" s="3" t="s">
        <v>18</v>
      </c>
      <c r="B423" s="3" t="s">
        <v>9</v>
      </c>
      <c r="C423" s="3" t="s">
        <v>55</v>
      </c>
      <c r="D423" s="3" t="s">
        <v>11</v>
      </c>
    </row>
    <row r="424" spans="1:6">
      <c r="A424" s="4" t="s">
        <v>14</v>
      </c>
      <c r="B424" s="5" t="s">
        <v>15</v>
      </c>
      <c r="C424" s="6">
        <f>IF(SUM(E425:E427)=0,0,SUM(C425:C427)/SUM(E425:E427))</f>
        <v/>
      </c>
      <c r="D424" s="6">
        <f>IF(SUM(E425:E427)=0,0,SUM(D425:D427)/SUM(E425:E427))</f>
        <v/>
      </c>
    </row>
    <row r="425" spans="1:6">
      <c r="A425" s="4" t="s">
        <v>59</v>
      </c>
      <c r="B425" s="7">
        <v>0.3</v>
      </c>
      <c r="C425" s="6">
        <f>IF(E425=1,1.0,0)</f>
        <v/>
      </c>
      <c r="D425" s="6">
        <f>IF(E425=1,0.9,0)</f>
        <v/>
      </c>
      <c r="E425" s="8">
        <f>IF(OR(LOOKUP(A425,characters!A:A,characters!B:B)=-1, LOOKUP(A425,characters!A:A,characters!B:B)+0.1&gt;=B425),1,0)</f>
        <v/>
      </c>
    </row>
    <row r="426" spans="1:6">
      <c r="A426" s="4" t="s">
        <v>49</v>
      </c>
      <c r="B426" s="7">
        <v>0.3</v>
      </c>
      <c r="C426" s="6">
        <f>IF(E426=1,1.0,0)</f>
        <v/>
      </c>
      <c r="D426" s="5" t="s">
        <v>15</v>
      </c>
      <c r="E426" s="8">
        <f>IF(OR(LOOKUP(A426,characters!A:A,characters!B:B)=-1, LOOKUP(A426,characters!A:A,characters!B:B)+0.1&gt;=B426),1,0)</f>
        <v/>
      </c>
    </row>
    <row r="427" spans="1:6">
      <c r="A427" s="4" t="s">
        <v>51</v>
      </c>
      <c r="B427" s="7">
        <v>0.4</v>
      </c>
      <c r="C427" s="6">
        <f>IF(E427=1,0.9,0)</f>
        <v/>
      </c>
      <c r="D427" s="6">
        <f>IF(E427=1,1.0,0)</f>
        <v/>
      </c>
      <c r="E427" s="8">
        <f>IF(OR(LOOKUP(A427,characters!A:A,characters!B:B)=-1, LOOKUP(A427,characters!A:A,characters!B:B)+0.1&gt;=B427),1,0)</f>
        <v/>
      </c>
    </row>
    <row r="429" spans="1:6">
      <c r="A429" s="3" t="s">
        <v>21</v>
      </c>
      <c r="B429" s="3" t="s">
        <v>9</v>
      </c>
      <c r="C429" s="3" t="s">
        <v>11</v>
      </c>
      <c r="D429" s="3" t="s">
        <v>30</v>
      </c>
      <c r="E429" s="3" t="s">
        <v>56</v>
      </c>
    </row>
    <row r="430" spans="1:6">
      <c r="A430" s="4" t="s">
        <v>14</v>
      </c>
      <c r="B430" s="5" t="s">
        <v>15</v>
      </c>
      <c r="C430" s="6">
        <f>IF(SUM(F431:F433)=0,0,SUM(C431:C433)/SUM(F431:F433))</f>
        <v/>
      </c>
      <c r="D430" s="6">
        <f>IF(SUM(F431:F433)=0,0,SUM(D431:D433)/SUM(F431:F433))</f>
        <v/>
      </c>
      <c r="E430" s="6">
        <f>IF(SUM(F431:F433)=0,0,SUM(E431:E433)/SUM(F431:F433))</f>
        <v/>
      </c>
    </row>
    <row r="431" spans="1:6">
      <c r="A431" s="4" t="s">
        <v>59</v>
      </c>
      <c r="B431" s="7">
        <v>0.3</v>
      </c>
      <c r="C431" s="6">
        <f>IF(F431=1,1.0,0)</f>
        <v/>
      </c>
      <c r="D431" s="5" t="s">
        <v>15</v>
      </c>
      <c r="E431" s="5" t="s">
        <v>15</v>
      </c>
      <c r="F431" s="8">
        <f>IF(OR(LOOKUP(A431,characters!A:A,characters!B:B)=-1, LOOKUP(A431,characters!A:A,characters!B:B)+0.1&gt;=B431),1,0)</f>
        <v/>
      </c>
    </row>
    <row r="432" spans="1:6">
      <c r="A432" s="4" t="s">
        <v>49</v>
      </c>
      <c r="B432" s="7">
        <v>0.3</v>
      </c>
      <c r="C432" s="5" t="s">
        <v>15</v>
      </c>
      <c r="D432" s="6">
        <f>IF(F432=1,1.0,0)</f>
        <v/>
      </c>
      <c r="E432" s="5" t="s">
        <v>15</v>
      </c>
      <c r="F432" s="8">
        <f>IF(OR(LOOKUP(A432,characters!A:A,characters!B:B)=-1, LOOKUP(A432,characters!A:A,characters!B:B)+0.1&gt;=B432),1,0)</f>
        <v/>
      </c>
    </row>
    <row r="433" spans="1:11">
      <c r="A433" s="4" t="s">
        <v>51</v>
      </c>
      <c r="B433" s="7">
        <v>0.4</v>
      </c>
      <c r="C433" s="6">
        <f>IF(F433=1,1.0,0)</f>
        <v/>
      </c>
      <c r="D433" s="5" t="s">
        <v>15</v>
      </c>
      <c r="E433" s="6">
        <f>IF(F433=1,1.0,0)</f>
        <v/>
      </c>
      <c r="F433" s="8">
        <f>IF(OR(LOOKUP(A433,characters!A:A,characters!B:B)=-1, LOOKUP(A433,characters!A:A,characters!B:B)+0.1&gt;=B433),1,0)</f>
        <v/>
      </c>
    </row>
    <row r="440" spans="1:11">
      <c r="A440" s="3" t="s">
        <v>64</v>
      </c>
    </row>
    <row r="441" spans="1:11">
      <c r="A441" s="3" t="s">
        <v>8</v>
      </c>
      <c r="B441" s="3" t="s">
        <v>9</v>
      </c>
      <c r="C441" s="3" t="s">
        <v>12</v>
      </c>
      <c r="D441" s="3" t="s">
        <v>24</v>
      </c>
      <c r="E441" s="3" t="s">
        <v>25</v>
      </c>
      <c r="F441" s="3" t="s">
        <v>11</v>
      </c>
      <c r="G441" s="3" t="s">
        <v>10</v>
      </c>
      <c r="H441" s="3" t="s">
        <v>13</v>
      </c>
      <c r="I441" s="3" t="s">
        <v>43</v>
      </c>
      <c r="J441" s="3" t="s">
        <v>44</v>
      </c>
    </row>
    <row r="442" spans="1:11">
      <c r="A442" s="4" t="s">
        <v>14</v>
      </c>
      <c r="B442" s="5" t="s">
        <v>15</v>
      </c>
      <c r="C442" s="6">
        <f>IF(SUM(K443:K446)=0,0,SUM(C443:C446)/SUM(K443:K446))</f>
        <v/>
      </c>
      <c r="D442" s="6">
        <f>IF(SUM(K443:K446)=0,0,SUM(D443:D446)/SUM(K443:K446))</f>
        <v/>
      </c>
      <c r="E442" s="6">
        <f>IF(SUM(K443:K446)=0,0,SUM(E443:E446)/SUM(K443:K446))</f>
        <v/>
      </c>
      <c r="F442" s="6">
        <f>IF(SUM(K443:K446)=0,0,SUM(F443:F446)/SUM(K443:K446))</f>
        <v/>
      </c>
      <c r="G442" s="6">
        <f>IF(SUM(K443:K446)=0,0,SUM(G443:G446)/SUM(K443:K446))</f>
        <v/>
      </c>
      <c r="H442" s="6">
        <f>IF(SUM(K443:K446)=0,0,SUM(H443:H446)/SUM(K443:K446))</f>
        <v/>
      </c>
      <c r="I442" s="6">
        <f>IF(SUM(K443:K446)=0,0,SUM(I443:I446)/SUM(K443:K446))</f>
        <v/>
      </c>
      <c r="J442" s="6">
        <f>IF(SUM(K443:K446)=0,0,SUM(J443:J446)/SUM(K443:K446))</f>
        <v/>
      </c>
    </row>
    <row r="443" spans="1:11">
      <c r="A443" s="4" t="s">
        <v>52</v>
      </c>
      <c r="B443" s="7">
        <v>0</v>
      </c>
      <c r="C443" s="6">
        <f>IF(K443=1,0.8,0)</f>
        <v/>
      </c>
      <c r="D443" s="6">
        <f>IF(K443=1,1.0,0)</f>
        <v/>
      </c>
      <c r="E443" s="6">
        <f>IF(K443=1,1.0,0)</f>
        <v/>
      </c>
      <c r="F443" s="6">
        <f>IF(K443=1,0.9,0)</f>
        <v/>
      </c>
      <c r="G443" s="6">
        <f>IF(K443=1,1.0,0)</f>
        <v/>
      </c>
      <c r="H443" s="6">
        <f>IF(K443=1,0.8,0)</f>
        <v/>
      </c>
      <c r="I443" s="5" t="s">
        <v>15</v>
      </c>
      <c r="J443" s="5" t="s">
        <v>15</v>
      </c>
      <c r="K443" s="8">
        <f>IF(OR(LOOKUP(A443,characters!A:A,characters!B:B)=-1, LOOKUP(A443,characters!A:A,characters!B:B)+0.1&gt;=B443),1,0)</f>
        <v/>
      </c>
    </row>
    <row r="444" spans="1:11">
      <c r="A444" s="4" t="s">
        <v>54</v>
      </c>
      <c r="B444" s="7">
        <v>1</v>
      </c>
      <c r="C444" s="6">
        <f>IF(K444=1,0.7,0)</f>
        <v/>
      </c>
      <c r="D444" s="6">
        <f>IF(K444=1,0.9,0)</f>
        <v/>
      </c>
      <c r="E444" s="6">
        <f>IF(K444=1,0.9,0)</f>
        <v/>
      </c>
      <c r="F444" s="5" t="s">
        <v>15</v>
      </c>
      <c r="G444" s="5" t="s">
        <v>15</v>
      </c>
      <c r="H444" s="5" t="s">
        <v>15</v>
      </c>
      <c r="I444" s="6">
        <f>IF(K444=1,1.0,0)</f>
        <v/>
      </c>
      <c r="J444" s="6">
        <f>IF(K444=1,0.8,0)</f>
        <v/>
      </c>
      <c r="K444" s="8">
        <f>IF(OR(LOOKUP(A444,characters!A:A,characters!B:B)=-1, LOOKUP(A444,characters!A:A,characters!B:B)+0.1&gt;=B444),1,0)</f>
        <v/>
      </c>
    </row>
    <row r="445" spans="1:11">
      <c r="A445" s="4" t="s">
        <v>28</v>
      </c>
      <c r="B445" s="7">
        <v>1</v>
      </c>
      <c r="C445" s="6">
        <f>IF(K445=1,0.8,0)</f>
        <v/>
      </c>
      <c r="D445" s="6">
        <f>IF(K445=1,1.0,0)</f>
        <v/>
      </c>
      <c r="E445" s="6">
        <f>IF(K445=1,1.0,0)</f>
        <v/>
      </c>
      <c r="F445" s="6">
        <f>IF(K445=1,1.0,0)</f>
        <v/>
      </c>
      <c r="G445" s="6">
        <f>IF(K445=1,1.0,0)</f>
        <v/>
      </c>
      <c r="H445" s="6">
        <f>IF(K445=1,0.9,0)</f>
        <v/>
      </c>
      <c r="I445" s="5" t="s">
        <v>15</v>
      </c>
      <c r="J445" s="5" t="s">
        <v>15</v>
      </c>
      <c r="K445" s="8">
        <f>IF(OR(LOOKUP(A445,characters!A:A,characters!B:B)=-1, LOOKUP(A445,characters!A:A,characters!B:B)+0.1&gt;=B445),1,0)</f>
        <v/>
      </c>
    </row>
    <row r="446" spans="1:11">
      <c r="A446" s="4" t="s">
        <v>53</v>
      </c>
      <c r="B446" s="7">
        <v>1</v>
      </c>
      <c r="C446" s="6">
        <f>IF(K446=1,0.7,0)</f>
        <v/>
      </c>
      <c r="D446" s="5" t="s">
        <v>15</v>
      </c>
      <c r="E446" s="5" t="s">
        <v>15</v>
      </c>
      <c r="F446" s="6">
        <f>IF(K446=1,1.0,0)</f>
        <v/>
      </c>
      <c r="G446" s="6">
        <f>IF(K446=1,0.9,0)</f>
        <v/>
      </c>
      <c r="H446" s="6">
        <f>IF(K446=1,0.8,0)</f>
        <v/>
      </c>
      <c r="I446" s="5" t="s">
        <v>15</v>
      </c>
      <c r="J446" s="5" t="s">
        <v>15</v>
      </c>
      <c r="K446" s="8">
        <f>IF(OR(LOOKUP(A446,characters!A:A,characters!B:B)=-1, LOOKUP(A446,characters!A:A,characters!B:B)+0.1&gt;=B446),1,0)</f>
        <v/>
      </c>
    </row>
    <row r="448" spans="1:11">
      <c r="A448" s="3" t="s">
        <v>17</v>
      </c>
      <c r="B448" s="3" t="s">
        <v>9</v>
      </c>
      <c r="C448" s="3" t="s">
        <v>43</v>
      </c>
      <c r="D448" s="3" t="s">
        <v>25</v>
      </c>
      <c r="E448" s="3" t="s">
        <v>24</v>
      </c>
      <c r="F448" s="3" t="s">
        <v>10</v>
      </c>
      <c r="G448" s="3" t="s">
        <v>11</v>
      </c>
    </row>
    <row r="449" spans="1:9">
      <c r="A449" s="4" t="s">
        <v>14</v>
      </c>
      <c r="B449" s="5" t="s">
        <v>15</v>
      </c>
      <c r="C449" s="6">
        <f>IF(SUM(H450:H453)=0,0,SUM(C450:C453)/SUM(H450:H453))</f>
        <v/>
      </c>
      <c r="D449" s="6">
        <f>IF(SUM(H450:H453)=0,0,SUM(D450:D453)/SUM(H450:H453))</f>
        <v/>
      </c>
      <c r="E449" s="6">
        <f>IF(SUM(H450:H453)=0,0,SUM(E450:E453)/SUM(H450:H453))</f>
        <v/>
      </c>
      <c r="F449" s="6">
        <f>IF(SUM(H450:H453)=0,0,SUM(F450:F453)/SUM(H450:H453))</f>
        <v/>
      </c>
      <c r="G449" s="6">
        <f>IF(SUM(H450:H453)=0,0,SUM(G450:G453)/SUM(H450:H453))</f>
        <v/>
      </c>
    </row>
    <row r="450" spans="1:9">
      <c r="A450" s="4" t="s">
        <v>54</v>
      </c>
      <c r="B450" s="7">
        <v>1</v>
      </c>
      <c r="C450" s="6">
        <f>IF(H450=1,1.0,0)</f>
        <v/>
      </c>
      <c r="D450" s="6">
        <f>IF(H450=1,0.9,0)</f>
        <v/>
      </c>
      <c r="E450" s="5" t="s">
        <v>15</v>
      </c>
      <c r="F450" s="5" t="s">
        <v>15</v>
      </c>
      <c r="G450" s="5" t="s">
        <v>15</v>
      </c>
      <c r="H450" s="8">
        <f>IF(OR(LOOKUP(A450,characters!A:A,characters!B:B)=-1, LOOKUP(A450,characters!A:A,characters!B:B)+0.1&gt;=B450),1,0)</f>
        <v/>
      </c>
    </row>
    <row r="451" spans="1:9">
      <c r="A451" s="4" t="s">
        <v>52</v>
      </c>
      <c r="B451" s="7">
        <v>0</v>
      </c>
      <c r="C451" s="5" t="s">
        <v>15</v>
      </c>
      <c r="D451" s="5" t="s">
        <v>15</v>
      </c>
      <c r="E451" s="6">
        <f>IF(H451=1,1.0,0)</f>
        <v/>
      </c>
      <c r="F451" s="6">
        <f>IF(H451=1,1.0,0)</f>
        <v/>
      </c>
      <c r="G451" s="5" t="s">
        <v>15</v>
      </c>
      <c r="H451" s="8">
        <f>IF(OR(LOOKUP(A451,characters!A:A,characters!B:B)=-1, LOOKUP(A451,characters!A:A,characters!B:B)+0.1&gt;=B451),1,0)</f>
        <v/>
      </c>
    </row>
    <row r="452" spans="1:9">
      <c r="A452" s="4" t="s">
        <v>28</v>
      </c>
      <c r="B452" s="7">
        <v>1</v>
      </c>
      <c r="C452" s="5" t="s">
        <v>15</v>
      </c>
      <c r="D452" s="6">
        <f>IF(H452=1,0.99,0)</f>
        <v/>
      </c>
      <c r="E452" s="6">
        <f>IF(H452=1,1.0,0)</f>
        <v/>
      </c>
      <c r="F452" s="6">
        <f>IF(H452=1,0.99,0)</f>
        <v/>
      </c>
      <c r="G452" s="5" t="s">
        <v>15</v>
      </c>
      <c r="H452" s="8">
        <f>IF(OR(LOOKUP(A452,characters!A:A,characters!B:B)=-1, LOOKUP(A452,characters!A:A,characters!B:B)+0.1&gt;=B452),1,0)</f>
        <v/>
      </c>
    </row>
    <row r="453" spans="1:9">
      <c r="A453" s="4" t="s">
        <v>53</v>
      </c>
      <c r="B453" s="7">
        <v>1</v>
      </c>
      <c r="C453" s="5" t="s">
        <v>15</v>
      </c>
      <c r="D453" s="5" t="s">
        <v>15</v>
      </c>
      <c r="E453" s="5" t="s">
        <v>15</v>
      </c>
      <c r="F453" s="6">
        <f>IF(H453=1,0.99,0)</f>
        <v/>
      </c>
      <c r="G453" s="6">
        <f>IF(H453=1,1.0,0)</f>
        <v/>
      </c>
      <c r="H453" s="8">
        <f>IF(OR(LOOKUP(A453,characters!A:A,characters!B:B)=-1, LOOKUP(A453,characters!A:A,characters!B:B)+0.1&gt;=B453),1,0)</f>
        <v/>
      </c>
    </row>
    <row r="455" spans="1:9">
      <c r="A455" s="3" t="s">
        <v>18</v>
      </c>
      <c r="B455" s="3" t="s">
        <v>9</v>
      </c>
      <c r="C455" s="3" t="s">
        <v>43</v>
      </c>
      <c r="D455" s="3" t="s">
        <v>29</v>
      </c>
      <c r="E455" s="3" t="s">
        <v>41</v>
      </c>
      <c r="F455" s="3" t="s">
        <v>11</v>
      </c>
      <c r="G455" s="3" t="s">
        <v>20</v>
      </c>
      <c r="H455" s="3" t="s">
        <v>19</v>
      </c>
    </row>
    <row r="456" spans="1:9">
      <c r="A456" s="4" t="s">
        <v>14</v>
      </c>
      <c r="B456" s="5" t="s">
        <v>15</v>
      </c>
      <c r="C456" s="6">
        <f>IF(SUM(I457:I460)=0,0,SUM(C457:C460)/SUM(I457:I460))</f>
        <v/>
      </c>
      <c r="D456" s="6">
        <f>IF(SUM(I457:I460)=0,0,SUM(D457:D460)/SUM(I457:I460))</f>
        <v/>
      </c>
      <c r="E456" s="6">
        <f>IF(SUM(I457:I460)=0,0,SUM(E457:E460)/SUM(I457:I460))</f>
        <v/>
      </c>
      <c r="F456" s="6">
        <f>IF(SUM(I457:I460)=0,0,SUM(F457:F460)/SUM(I457:I460))</f>
        <v/>
      </c>
      <c r="G456" s="6">
        <f>IF(SUM(I457:I460)=0,0,SUM(G457:G460)/SUM(I457:I460))</f>
        <v/>
      </c>
      <c r="H456" s="6">
        <f>IF(SUM(I457:I460)=0,0,SUM(H457:H460)/SUM(I457:I460))</f>
        <v/>
      </c>
    </row>
    <row r="457" spans="1:9">
      <c r="A457" s="4" t="s">
        <v>54</v>
      </c>
      <c r="B457" s="7">
        <v>1</v>
      </c>
      <c r="C457" s="6">
        <f>IF(I457=1,1.0,0)</f>
        <v/>
      </c>
      <c r="D457" s="6">
        <f>IF(I457=1,1.0,0)</f>
        <v/>
      </c>
      <c r="E457" s="5" t="s">
        <v>15</v>
      </c>
      <c r="F457" s="5" t="s">
        <v>15</v>
      </c>
      <c r="G457" s="5" t="s">
        <v>15</v>
      </c>
      <c r="H457" s="5" t="s">
        <v>15</v>
      </c>
      <c r="I457" s="8">
        <f>IF(OR(LOOKUP(A457,characters!A:A,characters!B:B)=-1, LOOKUP(A457,characters!A:A,characters!B:B)+0.1&gt;=B457),1,0)</f>
        <v/>
      </c>
    </row>
    <row r="458" spans="1:9">
      <c r="A458" s="4" t="s">
        <v>52</v>
      </c>
      <c r="B458" s="7">
        <v>0</v>
      </c>
      <c r="C458" s="5" t="s">
        <v>15</v>
      </c>
      <c r="D458" s="5" t="s">
        <v>15</v>
      </c>
      <c r="E458" s="6">
        <f>IF(I458=1,1.0,0)</f>
        <v/>
      </c>
      <c r="F458" s="6">
        <f>IF(I458=1,0.9,0)</f>
        <v/>
      </c>
      <c r="G458" s="6">
        <f>IF(I458=1,0.9,0)</f>
        <v/>
      </c>
      <c r="H458" s="5" t="s">
        <v>15</v>
      </c>
      <c r="I458" s="8">
        <f>IF(OR(LOOKUP(A458,characters!A:A,characters!B:B)=-1, LOOKUP(A458,characters!A:A,characters!B:B)+0.1&gt;=B458),1,0)</f>
        <v/>
      </c>
    </row>
    <row r="459" spans="1:9">
      <c r="A459" s="4" t="s">
        <v>28</v>
      </c>
      <c r="B459" s="7">
        <v>1</v>
      </c>
      <c r="C459" s="5" t="s">
        <v>15</v>
      </c>
      <c r="D459" s="6">
        <f>IF(I459=1,1.0,0)</f>
        <v/>
      </c>
      <c r="E459" s="5" t="s">
        <v>15</v>
      </c>
      <c r="F459" s="6">
        <f>IF(I459=1,1.0,0)</f>
        <v/>
      </c>
      <c r="G459" s="6">
        <f>IF(I459=1,1.0,0)</f>
        <v/>
      </c>
      <c r="H459" s="5" t="s">
        <v>15</v>
      </c>
      <c r="I459" s="8">
        <f>IF(OR(LOOKUP(A459,characters!A:A,characters!B:B)=-1, LOOKUP(A459,characters!A:A,characters!B:B)+0.1&gt;=B459),1,0)</f>
        <v/>
      </c>
    </row>
    <row r="460" spans="1:9">
      <c r="A460" s="4" t="s">
        <v>53</v>
      </c>
      <c r="B460" s="7">
        <v>1</v>
      </c>
      <c r="C460" s="5" t="s">
        <v>15</v>
      </c>
      <c r="D460" s="5" t="s">
        <v>15</v>
      </c>
      <c r="E460" s="5" t="s">
        <v>15</v>
      </c>
      <c r="F460" s="6">
        <f>IF(I460=1,1.0,0)</f>
        <v/>
      </c>
      <c r="G460" s="5" t="s">
        <v>15</v>
      </c>
      <c r="H460" s="6">
        <f>IF(I460=1,0.99,0)</f>
        <v/>
      </c>
      <c r="I460" s="8">
        <f>IF(OR(LOOKUP(A460,characters!A:A,characters!B:B)=-1, LOOKUP(A460,characters!A:A,characters!B:B)+0.1&gt;=B460),1,0)</f>
        <v/>
      </c>
    </row>
    <row r="462" spans="1:9">
      <c r="A462" s="3" t="s">
        <v>21</v>
      </c>
      <c r="B462" s="3" t="s">
        <v>9</v>
      </c>
      <c r="C462" s="3" t="s">
        <v>43</v>
      </c>
      <c r="D462" s="3" t="s">
        <v>56</v>
      </c>
      <c r="E462" s="3" t="s">
        <v>30</v>
      </c>
      <c r="F462" s="3" t="s">
        <v>22</v>
      </c>
    </row>
    <row r="463" spans="1:9">
      <c r="A463" s="4" t="s">
        <v>14</v>
      </c>
      <c r="B463" s="5" t="s">
        <v>15</v>
      </c>
      <c r="C463" s="6">
        <f>IF(SUM(G464:G467)=0,0,SUM(C464:C467)/SUM(G464:G467))</f>
        <v/>
      </c>
      <c r="D463" s="6">
        <f>IF(SUM(G464:G467)=0,0,SUM(D464:D467)/SUM(G464:G467))</f>
        <v/>
      </c>
      <c r="E463" s="6">
        <f>IF(SUM(G464:G467)=0,0,SUM(E464:E467)/SUM(G464:G467))</f>
        <v/>
      </c>
      <c r="F463" s="6">
        <f>IF(SUM(G464:G467)=0,0,SUM(F464:F467)/SUM(G464:G467))</f>
        <v/>
      </c>
    </row>
    <row r="464" spans="1:9">
      <c r="A464" s="4" t="s">
        <v>54</v>
      </c>
      <c r="B464" s="7">
        <v>1</v>
      </c>
      <c r="C464" s="6">
        <f>IF(G464=1,1.0,0)</f>
        <v/>
      </c>
      <c r="D464" s="6">
        <f>IF(G464=1,1.0,0)</f>
        <v/>
      </c>
      <c r="E464" s="5" t="s">
        <v>15</v>
      </c>
      <c r="F464" s="5" t="s">
        <v>15</v>
      </c>
      <c r="G464" s="8">
        <f>IF(OR(LOOKUP(A464,characters!A:A,characters!B:B)=-1, LOOKUP(A464,characters!A:A,characters!B:B)+0.1&gt;=B464),1,0)</f>
        <v/>
      </c>
    </row>
    <row r="465" spans="1:11">
      <c r="A465" s="4" t="s">
        <v>52</v>
      </c>
      <c r="B465" s="7">
        <v>0</v>
      </c>
      <c r="C465" s="5" t="s">
        <v>15</v>
      </c>
      <c r="D465" s="5" t="s">
        <v>15</v>
      </c>
      <c r="E465" s="6">
        <f>IF(G465=1,1.0,0)</f>
        <v/>
      </c>
      <c r="F465" s="5" t="s">
        <v>15</v>
      </c>
      <c r="G465" s="8">
        <f>IF(OR(LOOKUP(A465,characters!A:A,characters!B:B)=-1, LOOKUP(A465,characters!A:A,characters!B:B)+0.1&gt;=B465),1,0)</f>
        <v/>
      </c>
    </row>
    <row r="466" spans="1:11">
      <c r="A466" s="4" t="s">
        <v>28</v>
      </c>
      <c r="B466" s="7">
        <v>1</v>
      </c>
      <c r="C466" s="5" t="s">
        <v>15</v>
      </c>
      <c r="D466" s="5" t="s">
        <v>15</v>
      </c>
      <c r="E466" s="6">
        <f>IF(G466=1,1.0,0)</f>
        <v/>
      </c>
      <c r="F466" s="5" t="s">
        <v>15</v>
      </c>
      <c r="G466" s="8">
        <f>IF(OR(LOOKUP(A466,characters!A:A,characters!B:B)=-1, LOOKUP(A466,characters!A:A,characters!B:B)+0.1&gt;=B466),1,0)</f>
        <v/>
      </c>
    </row>
    <row r="467" spans="1:11">
      <c r="A467" s="4" t="s">
        <v>53</v>
      </c>
      <c r="B467" s="7">
        <v>1</v>
      </c>
      <c r="C467" s="5" t="s">
        <v>15</v>
      </c>
      <c r="D467" s="6">
        <f>IF(G467=1,1.0,0)</f>
        <v/>
      </c>
      <c r="E467" s="5" t="s">
        <v>15</v>
      </c>
      <c r="F467" s="6">
        <f>IF(G467=1,1.0,0)</f>
        <v/>
      </c>
      <c r="G467" s="8">
        <f>IF(OR(LOOKUP(A467,characters!A:A,characters!B:B)=-1, LOOKUP(A467,characters!A:A,characters!B:B)+0.1&gt;=B467),1,0)</f>
        <v/>
      </c>
    </row>
    <row r="474" spans="1:11">
      <c r="A474" s="3" t="s">
        <v>65</v>
      </c>
    </row>
    <row r="475" spans="1:11">
      <c r="A475" s="3" t="s">
        <v>8</v>
      </c>
      <c r="B475" s="3" t="s">
        <v>9</v>
      </c>
      <c r="C475" s="3" t="s">
        <v>11</v>
      </c>
      <c r="D475" s="3" t="s">
        <v>12</v>
      </c>
      <c r="E475" s="3" t="s">
        <v>13</v>
      </c>
      <c r="F475" s="3" t="s">
        <v>24</v>
      </c>
      <c r="G475" s="3" t="s">
        <v>25</v>
      </c>
      <c r="H475" s="3" t="s">
        <v>10</v>
      </c>
      <c r="I475" s="3" t="s">
        <v>43</v>
      </c>
      <c r="J475" s="3" t="s">
        <v>44</v>
      </c>
    </row>
    <row r="476" spans="1:11">
      <c r="A476" s="4" t="s">
        <v>14</v>
      </c>
      <c r="B476" s="5" t="s">
        <v>15</v>
      </c>
      <c r="C476" s="6">
        <f>IF(SUM(K477:K498)=0,0,SUM(C477:C498)/SUM(K477:K498))</f>
        <v/>
      </c>
      <c r="D476" s="6">
        <f>IF(SUM(K477:K498)=0,0,SUM(D477:D498)/SUM(K477:K498))</f>
        <v/>
      </c>
      <c r="E476" s="6">
        <f>IF(SUM(K477:K498)=0,0,SUM(E477:E498)/SUM(K477:K498))</f>
        <v/>
      </c>
      <c r="F476" s="6">
        <f>IF(SUM(K477:K498)=0,0,SUM(F477:F498)/SUM(K477:K498))</f>
        <v/>
      </c>
      <c r="G476" s="6">
        <f>IF(SUM(K477:K498)=0,0,SUM(G477:G498)/SUM(K477:K498))</f>
        <v/>
      </c>
      <c r="H476" s="6">
        <f>IF(SUM(K477:K498)=0,0,SUM(H477:H498)/SUM(K477:K498))</f>
        <v/>
      </c>
      <c r="I476" s="6">
        <f>IF(SUM(K477:K498)=0,0,SUM(I477:I498)/SUM(K477:K498))</f>
        <v/>
      </c>
      <c r="J476" s="6">
        <f>IF(SUM(K477:K498)=0,0,SUM(J477:J498)/SUM(K477:K498))</f>
        <v/>
      </c>
    </row>
    <row r="477" spans="1:11">
      <c r="A477" s="4" t="s">
        <v>40</v>
      </c>
      <c r="B477" s="7">
        <v>0.1</v>
      </c>
      <c r="C477" s="6">
        <f>IF(K477=1,0.9,0)</f>
        <v/>
      </c>
      <c r="D477" s="6">
        <f>IF(K477=1,0.8,0)</f>
        <v/>
      </c>
      <c r="E477" s="6">
        <f>IF(K477=1,0.8,0)</f>
        <v/>
      </c>
      <c r="F477" s="6">
        <f>IF(K477=1,1.0,0)</f>
        <v/>
      </c>
      <c r="G477" s="6">
        <f>IF(K477=1,1.0,0)</f>
        <v/>
      </c>
      <c r="H477" s="5" t="s">
        <v>15</v>
      </c>
      <c r="I477" s="5" t="s">
        <v>15</v>
      </c>
      <c r="J477" s="5" t="s">
        <v>15</v>
      </c>
      <c r="K477" s="8">
        <f>IF(OR(LOOKUP(A477,characters!A:A,characters!B:B)=-1, LOOKUP(A477,characters!A:A,characters!B:B)+0.1&gt;=B477),1,0)</f>
        <v/>
      </c>
    </row>
    <row r="478" spans="1:11">
      <c r="A478" s="4" t="s">
        <v>59</v>
      </c>
      <c r="B478" s="7">
        <v>0.1</v>
      </c>
      <c r="C478" s="6">
        <f>IF(K478=1,0.9,0)</f>
        <v/>
      </c>
      <c r="D478" s="6">
        <f>IF(K478=1,0.8,0)</f>
        <v/>
      </c>
      <c r="E478" s="6">
        <f>IF(K478=1,0.8,0)</f>
        <v/>
      </c>
      <c r="F478" s="6">
        <f>IF(K478=1,1.0,0)</f>
        <v/>
      </c>
      <c r="G478" s="6">
        <f>IF(K478=1,1.0,0)</f>
        <v/>
      </c>
      <c r="H478" s="5" t="s">
        <v>15</v>
      </c>
      <c r="I478" s="5" t="s">
        <v>15</v>
      </c>
      <c r="J478" s="5" t="s">
        <v>15</v>
      </c>
      <c r="K478" s="8">
        <f>IF(OR(LOOKUP(A478,characters!A:A,characters!B:B)=-1, LOOKUP(A478,characters!A:A,characters!B:B)+0.1&gt;=B478),1,0)</f>
        <v/>
      </c>
    </row>
    <row r="479" spans="1:11">
      <c r="A479" s="4" t="s">
        <v>50</v>
      </c>
      <c r="B479" s="7">
        <v>0.1</v>
      </c>
      <c r="C479" s="6">
        <f>IF(K479=1,0.9,0)</f>
        <v/>
      </c>
      <c r="D479" s="6">
        <f>IF(K479=1,0.8,0)</f>
        <v/>
      </c>
      <c r="E479" s="6">
        <f>IF(K479=1,0.8,0)</f>
        <v/>
      </c>
      <c r="F479" s="5" t="s">
        <v>15</v>
      </c>
      <c r="G479" s="5" t="s">
        <v>15</v>
      </c>
      <c r="H479" s="6">
        <f>IF(K479=1,1.0,0)</f>
        <v/>
      </c>
      <c r="I479" s="5" t="s">
        <v>15</v>
      </c>
      <c r="J479" s="5" t="s">
        <v>15</v>
      </c>
      <c r="K479" s="8">
        <f>IF(OR(LOOKUP(A479,characters!A:A,characters!B:B)=-1, LOOKUP(A479,characters!A:A,characters!B:B)+0.1&gt;=B479),1,0)</f>
        <v/>
      </c>
    </row>
    <row r="480" spans="1:11">
      <c r="A480" s="4" t="s">
        <v>54</v>
      </c>
      <c r="B480" s="7">
        <v>0.2</v>
      </c>
      <c r="C480" s="5" t="s">
        <v>15</v>
      </c>
      <c r="D480" s="6">
        <f>IF(K480=1,0.7,0)</f>
        <v/>
      </c>
      <c r="E480" s="5" t="s">
        <v>15</v>
      </c>
      <c r="F480" s="6">
        <f>IF(K480=1,0.9,0)</f>
        <v/>
      </c>
      <c r="G480" s="6">
        <f>IF(K480=1,0.9,0)</f>
        <v/>
      </c>
      <c r="H480" s="5" t="s">
        <v>15</v>
      </c>
      <c r="I480" s="6">
        <f>IF(K480=1,1.0,0)</f>
        <v/>
      </c>
      <c r="J480" s="6">
        <f>IF(K480=1,0.8,0)</f>
        <v/>
      </c>
      <c r="K480" s="8">
        <f>IF(OR(LOOKUP(A480,characters!A:A,characters!B:B)=-1, LOOKUP(A480,characters!A:A,characters!B:B)+0.1&gt;=B480),1,0)</f>
        <v/>
      </c>
    </row>
    <row r="481" spans="1:11">
      <c r="A481" s="4" t="s">
        <v>58</v>
      </c>
      <c r="B481" s="7">
        <v>0.3</v>
      </c>
      <c r="C481" s="6">
        <f>IF(K481=1,0.9,0)</f>
        <v/>
      </c>
      <c r="D481" s="6">
        <f>IF(K481=1,0.8,0)</f>
        <v/>
      </c>
      <c r="E481" s="6">
        <f>IF(K481=1,0.8,0)</f>
        <v/>
      </c>
      <c r="F481" s="6">
        <f>IF(K481=1,1.0,0)</f>
        <v/>
      </c>
      <c r="G481" s="6">
        <f>IF(K481=1,1.0,0)</f>
        <v/>
      </c>
      <c r="H481" s="5" t="s">
        <v>15</v>
      </c>
      <c r="I481" s="5" t="s">
        <v>15</v>
      </c>
      <c r="J481" s="5" t="s">
        <v>15</v>
      </c>
      <c r="K481" s="8">
        <f>IF(OR(LOOKUP(A481,characters!A:A,characters!B:B)=-1, LOOKUP(A481,characters!A:A,characters!B:B)+0.1&gt;=B481),1,0)</f>
        <v/>
      </c>
    </row>
    <row r="482" spans="1:11">
      <c r="A482" s="4" t="s">
        <v>36</v>
      </c>
      <c r="B482" s="7">
        <v>0.3</v>
      </c>
      <c r="C482" s="6">
        <f>IF(K482=1,0.9,0)</f>
        <v/>
      </c>
      <c r="D482" s="6">
        <f>IF(K482=1,0.8,0)</f>
        <v/>
      </c>
      <c r="E482" s="6">
        <f>IF(K482=1,0.8,0)</f>
        <v/>
      </c>
      <c r="F482" s="6">
        <f>IF(K482=1,1.0,0)</f>
        <v/>
      </c>
      <c r="G482" s="6">
        <f>IF(K482=1,1.0,0)</f>
        <v/>
      </c>
      <c r="H482" s="5" t="s">
        <v>15</v>
      </c>
      <c r="I482" s="5" t="s">
        <v>15</v>
      </c>
      <c r="J482" s="5" t="s">
        <v>15</v>
      </c>
      <c r="K482" s="8">
        <f>IF(OR(LOOKUP(A482,characters!A:A,characters!B:B)=-1, LOOKUP(A482,characters!A:A,characters!B:B)+0.1&gt;=B482),1,0)</f>
        <v/>
      </c>
    </row>
    <row r="483" spans="1:11">
      <c r="A483" s="4" t="s">
        <v>16</v>
      </c>
      <c r="B483" s="7">
        <v>0.3</v>
      </c>
      <c r="C483" s="6">
        <f>IF(K483=1,0.9,0)</f>
        <v/>
      </c>
      <c r="D483" s="6">
        <f>IF(K483=1,0.8,0)</f>
        <v/>
      </c>
      <c r="E483" s="6">
        <f>IF(K483=1,0.8,0)</f>
        <v/>
      </c>
      <c r="F483" s="5" t="s">
        <v>15</v>
      </c>
      <c r="G483" s="5" t="s">
        <v>15</v>
      </c>
      <c r="H483" s="6">
        <f>IF(K483=1,1.0,0)</f>
        <v/>
      </c>
      <c r="I483" s="5" t="s">
        <v>15</v>
      </c>
      <c r="J483" s="5" t="s">
        <v>15</v>
      </c>
      <c r="K483" s="8">
        <f>IF(OR(LOOKUP(A483,characters!A:A,characters!B:B)=-1, LOOKUP(A483,characters!A:A,characters!B:B)+0.1&gt;=B483),1,0)</f>
        <v/>
      </c>
    </row>
    <row r="484" spans="1:11">
      <c r="A484" s="4" t="s">
        <v>37</v>
      </c>
      <c r="B484" s="7">
        <v>0.3</v>
      </c>
      <c r="C484" s="6">
        <f>IF(K484=1,0.9,0)</f>
        <v/>
      </c>
      <c r="D484" s="6">
        <f>IF(K484=1,0.8,0)</f>
        <v/>
      </c>
      <c r="E484" s="6">
        <f>IF(K484=1,0.8,0)</f>
        <v/>
      </c>
      <c r="F484" s="5" t="s">
        <v>15</v>
      </c>
      <c r="G484" s="5" t="s">
        <v>15</v>
      </c>
      <c r="H484" s="6">
        <f>IF(K484=1,1.0,0)</f>
        <v/>
      </c>
      <c r="I484" s="5" t="s">
        <v>15</v>
      </c>
      <c r="J484" s="5" t="s">
        <v>15</v>
      </c>
      <c r="K484" s="8">
        <f>IF(OR(LOOKUP(A484,characters!A:A,characters!B:B)=-1, LOOKUP(A484,characters!A:A,characters!B:B)+0.1&gt;=B484),1,0)</f>
        <v/>
      </c>
    </row>
    <row r="485" spans="1:11">
      <c r="A485" s="4" t="s">
        <v>28</v>
      </c>
      <c r="B485" s="7">
        <v>0.3</v>
      </c>
      <c r="C485" s="6">
        <f>IF(K485=1,1.0,0)</f>
        <v/>
      </c>
      <c r="D485" s="6">
        <f>IF(K485=1,0.8,0)</f>
        <v/>
      </c>
      <c r="E485" s="6">
        <f>IF(K485=1,0.9,0)</f>
        <v/>
      </c>
      <c r="F485" s="6">
        <f>IF(K485=1,1.0,0)</f>
        <v/>
      </c>
      <c r="G485" s="6">
        <f>IF(K485=1,1.0,0)</f>
        <v/>
      </c>
      <c r="H485" s="6">
        <f>IF(K485=1,1.0,0)</f>
        <v/>
      </c>
      <c r="I485" s="5" t="s">
        <v>15</v>
      </c>
      <c r="J485" s="5" t="s">
        <v>15</v>
      </c>
      <c r="K485" s="8">
        <f>IF(OR(LOOKUP(A485,characters!A:A,characters!B:B)=-1, LOOKUP(A485,characters!A:A,characters!B:B)+0.1&gt;=B485),1,0)</f>
        <v/>
      </c>
    </row>
    <row r="486" spans="1:11">
      <c r="A486" s="4" t="s">
        <v>48</v>
      </c>
      <c r="B486" s="7">
        <v>0.3</v>
      </c>
      <c r="C486" s="6">
        <f>IF(K486=1,1.0,0)</f>
        <v/>
      </c>
      <c r="D486" s="6">
        <f>IF(K486=1,0.9,0)</f>
        <v/>
      </c>
      <c r="E486" s="6">
        <f>IF(K486=1,0.9,0)</f>
        <v/>
      </c>
      <c r="F486" s="6">
        <f>IF(K486=1,1.0,0)</f>
        <v/>
      </c>
      <c r="G486" s="6">
        <f>IF(K486=1,1.0,0)</f>
        <v/>
      </c>
      <c r="H486" s="5" t="s">
        <v>15</v>
      </c>
      <c r="I486" s="5" t="s">
        <v>15</v>
      </c>
      <c r="J486" s="5" t="s">
        <v>15</v>
      </c>
      <c r="K486" s="8">
        <f>IF(OR(LOOKUP(A486,characters!A:A,characters!B:B)=-1, LOOKUP(A486,characters!A:A,characters!B:B)+0.1&gt;=B486),1,0)</f>
        <v/>
      </c>
    </row>
    <row r="487" spans="1:11">
      <c r="A487" s="4" t="s">
        <v>38</v>
      </c>
      <c r="B487" s="7">
        <v>0.3</v>
      </c>
      <c r="C487" s="6">
        <f>IF(K487=1,0.9,0)</f>
        <v/>
      </c>
      <c r="D487" s="6">
        <f>IF(K487=1,0.8,0)</f>
        <v/>
      </c>
      <c r="E487" s="6">
        <f>IF(K487=1,0.8,0)</f>
        <v/>
      </c>
      <c r="F487" s="6">
        <f>IF(K487=1,1.0,0)</f>
        <v/>
      </c>
      <c r="G487" s="6">
        <f>IF(K487=1,1.0,0)</f>
        <v/>
      </c>
      <c r="H487" s="5" t="s">
        <v>15</v>
      </c>
      <c r="I487" s="5" t="s">
        <v>15</v>
      </c>
      <c r="J487" s="5" t="s">
        <v>15</v>
      </c>
      <c r="K487" s="8">
        <f>IF(OR(LOOKUP(A487,characters!A:A,characters!B:B)=-1, LOOKUP(A487,characters!A:A,characters!B:B)+0.1&gt;=B487),1,0)</f>
        <v/>
      </c>
    </row>
    <row r="488" spans="1:11">
      <c r="A488" s="4" t="s">
        <v>45</v>
      </c>
      <c r="B488" s="7">
        <v>0.3</v>
      </c>
      <c r="C488" s="6">
        <f>IF(K488=1,1.0,0)</f>
        <v/>
      </c>
      <c r="D488" s="6">
        <f>IF(K488=1,0.9,0)</f>
        <v/>
      </c>
      <c r="E488" s="6">
        <f>IF(K488=1,0.9,0)</f>
        <v/>
      </c>
      <c r="F488" s="5" t="s">
        <v>15</v>
      </c>
      <c r="G488" s="5" t="s">
        <v>15</v>
      </c>
      <c r="H488" s="6">
        <f>IF(K488=1,1.0,0)</f>
        <v/>
      </c>
      <c r="I488" s="5" t="s">
        <v>15</v>
      </c>
      <c r="J488" s="5" t="s">
        <v>15</v>
      </c>
      <c r="K488" s="8">
        <f>IF(OR(LOOKUP(A488,characters!A:A,characters!B:B)=-1, LOOKUP(A488,characters!A:A,characters!B:B)+0.1&gt;=B488),1,0)</f>
        <v/>
      </c>
    </row>
    <row r="489" spans="1:11">
      <c r="A489" s="4" t="s">
        <v>39</v>
      </c>
      <c r="B489" s="7">
        <v>0.3</v>
      </c>
      <c r="C489" s="6">
        <f>IF(K489=1,0.9,0)</f>
        <v/>
      </c>
      <c r="D489" s="6">
        <f>IF(K489=1,0.8,0)</f>
        <v/>
      </c>
      <c r="E489" s="6">
        <f>IF(K489=1,0.8,0)</f>
        <v/>
      </c>
      <c r="F489" s="5" t="s">
        <v>15</v>
      </c>
      <c r="G489" s="5" t="s">
        <v>15</v>
      </c>
      <c r="H489" s="6">
        <f>IF(K489=1,1.0,0)</f>
        <v/>
      </c>
      <c r="I489" s="5" t="s">
        <v>15</v>
      </c>
      <c r="J489" s="5" t="s">
        <v>15</v>
      </c>
      <c r="K489" s="8">
        <f>IF(OR(LOOKUP(A489,characters!A:A,characters!B:B)=-1, LOOKUP(A489,characters!A:A,characters!B:B)+0.1&gt;=B489),1,0)</f>
        <v/>
      </c>
    </row>
    <row r="490" spans="1:11">
      <c r="A490" s="4" t="s">
        <v>66</v>
      </c>
      <c r="B490" s="7">
        <v>0.3</v>
      </c>
      <c r="C490" s="6">
        <f>IF(K490=1,0.9,0)</f>
        <v/>
      </c>
      <c r="D490" s="6">
        <f>IF(K490=1,0.8,0)</f>
        <v/>
      </c>
      <c r="E490" s="6">
        <f>IF(K490=1,0.8,0)</f>
        <v/>
      </c>
      <c r="F490" s="6">
        <f>IF(K490=1,1.0,0)</f>
        <v/>
      </c>
      <c r="G490" s="6">
        <f>IF(K490=1,1.0,0)</f>
        <v/>
      </c>
      <c r="H490" s="5" t="s">
        <v>15</v>
      </c>
      <c r="I490" s="5" t="s">
        <v>15</v>
      </c>
      <c r="J490" s="5" t="s">
        <v>15</v>
      </c>
      <c r="K490" s="8">
        <f>IF(OR(LOOKUP(A490,characters!A:A,characters!B:B)=-1, LOOKUP(A490,characters!A:A,characters!B:B)+0.1&gt;=B490),1,0)</f>
        <v/>
      </c>
    </row>
    <row r="491" spans="1:11">
      <c r="A491" s="4" t="s">
        <v>60</v>
      </c>
      <c r="B491" s="7">
        <v>0.3</v>
      </c>
      <c r="C491" s="6">
        <f>IF(K491=1,0.9,0)</f>
        <v/>
      </c>
      <c r="D491" s="6">
        <f>IF(K491=1,0.8,0)</f>
        <v/>
      </c>
      <c r="E491" s="6">
        <f>IF(K491=1,0.8,0)</f>
        <v/>
      </c>
      <c r="F491" s="6">
        <f>IF(K491=1,1.0,0)</f>
        <v/>
      </c>
      <c r="G491" s="6">
        <f>IF(K491=1,1.0,0)</f>
        <v/>
      </c>
      <c r="H491" s="5" t="s">
        <v>15</v>
      </c>
      <c r="I491" s="5" t="s">
        <v>15</v>
      </c>
      <c r="J491" s="5" t="s">
        <v>15</v>
      </c>
      <c r="K491" s="8">
        <f>IF(OR(LOOKUP(A491,characters!A:A,characters!B:B)=-1, LOOKUP(A491,characters!A:A,characters!B:B)+0.1&gt;=B491),1,0)</f>
        <v/>
      </c>
    </row>
    <row r="492" spans="1:11">
      <c r="A492" s="4" t="s">
        <v>51</v>
      </c>
      <c r="B492" s="7">
        <v>0.3</v>
      </c>
      <c r="C492" s="6">
        <f>IF(K492=1,1.0,0)</f>
        <v/>
      </c>
      <c r="D492" s="6">
        <f>IF(K492=1,0.9,0)</f>
        <v/>
      </c>
      <c r="E492" s="6">
        <f>IF(K492=1,0.9,0)</f>
        <v/>
      </c>
      <c r="F492" s="6">
        <f>IF(K492=1,1.0,0)</f>
        <v/>
      </c>
      <c r="G492" s="6">
        <f>IF(K492=1,1.0,0)</f>
        <v/>
      </c>
      <c r="H492" s="5" t="s">
        <v>15</v>
      </c>
      <c r="I492" s="5" t="s">
        <v>15</v>
      </c>
      <c r="J492" s="5" t="s">
        <v>15</v>
      </c>
      <c r="K492" s="8">
        <f>IF(OR(LOOKUP(A492,characters!A:A,characters!B:B)=-1, LOOKUP(A492,characters!A:A,characters!B:B)+0.1&gt;=B492),1,0)</f>
        <v/>
      </c>
    </row>
    <row r="493" spans="1:11">
      <c r="A493" s="4" t="s">
        <v>27</v>
      </c>
      <c r="B493" s="7">
        <v>0.3</v>
      </c>
      <c r="C493" s="6">
        <f>IF(K493=1,0.9,0)</f>
        <v/>
      </c>
      <c r="D493" s="6">
        <f>IF(K493=1,0.8,0)</f>
        <v/>
      </c>
      <c r="E493" s="6">
        <f>IF(K493=1,0.8,0)</f>
        <v/>
      </c>
      <c r="F493" s="5" t="s">
        <v>15</v>
      </c>
      <c r="G493" s="5" t="s">
        <v>15</v>
      </c>
      <c r="H493" s="6">
        <f>IF(K493=1,1.0,0)</f>
        <v/>
      </c>
      <c r="I493" s="5" t="s">
        <v>15</v>
      </c>
      <c r="J493" s="5" t="s">
        <v>15</v>
      </c>
      <c r="K493" s="8">
        <f>IF(OR(LOOKUP(A493,characters!A:A,characters!B:B)=-1, LOOKUP(A493,characters!A:A,characters!B:B)+0.1&gt;=B493),1,0)</f>
        <v/>
      </c>
    </row>
    <row r="494" spans="1:11">
      <c r="A494" s="4" t="s">
        <v>33</v>
      </c>
      <c r="B494" s="7">
        <v>0.3</v>
      </c>
      <c r="C494" s="6">
        <f>IF(K494=1,0.9,0)</f>
        <v/>
      </c>
      <c r="D494" s="6">
        <f>IF(K494=1,0.8,0)</f>
        <v/>
      </c>
      <c r="E494" s="6">
        <f>IF(K494=1,0.8,0)</f>
        <v/>
      </c>
      <c r="F494" s="6">
        <f>IF(K494=1,1.0,0)</f>
        <v/>
      </c>
      <c r="G494" s="6">
        <f>IF(K494=1,1.0,0)</f>
        <v/>
      </c>
      <c r="H494" s="5" t="s">
        <v>15</v>
      </c>
      <c r="I494" s="5" t="s">
        <v>15</v>
      </c>
      <c r="J494" s="5" t="s">
        <v>15</v>
      </c>
      <c r="K494" s="8">
        <f>IF(OR(LOOKUP(A494,characters!A:A,characters!B:B)=-1, LOOKUP(A494,characters!A:A,characters!B:B)+0.1&gt;=B494),1,0)</f>
        <v/>
      </c>
    </row>
    <row r="495" spans="1:11">
      <c r="A495" s="4" t="s">
        <v>46</v>
      </c>
      <c r="B495" s="7">
        <v>0.4</v>
      </c>
      <c r="C495" s="6">
        <f>IF(K495=1,0.9,0)</f>
        <v/>
      </c>
      <c r="D495" s="6">
        <f>IF(K495=1,0.8,0)</f>
        <v/>
      </c>
      <c r="E495" s="6">
        <f>IF(K495=1,0.8,0)</f>
        <v/>
      </c>
      <c r="F495" s="6">
        <f>IF(K495=1,1.0,0)</f>
        <v/>
      </c>
      <c r="G495" s="6">
        <f>IF(K495=1,1.0,0)</f>
        <v/>
      </c>
      <c r="H495" s="5" t="s">
        <v>15</v>
      </c>
      <c r="I495" s="5" t="s">
        <v>15</v>
      </c>
      <c r="J495" s="5" t="s">
        <v>15</v>
      </c>
      <c r="K495" s="8">
        <f>IF(OR(LOOKUP(A495,characters!A:A,characters!B:B)=-1, LOOKUP(A495,characters!A:A,characters!B:B)+0.1&gt;=B495),1,0)</f>
        <v/>
      </c>
    </row>
    <row r="496" spans="1:11">
      <c r="A496" s="4" t="s">
        <v>26</v>
      </c>
      <c r="B496" s="7">
        <v>0.4</v>
      </c>
      <c r="C496" s="6">
        <f>IF(K496=1,0.9,0)</f>
        <v/>
      </c>
      <c r="D496" s="6">
        <f>IF(K496=1,0.8,0)</f>
        <v/>
      </c>
      <c r="E496" s="6">
        <f>IF(K496=1,0.8,0)</f>
        <v/>
      </c>
      <c r="F496" s="5" t="s">
        <v>15</v>
      </c>
      <c r="G496" s="5" t="s">
        <v>15</v>
      </c>
      <c r="H496" s="6">
        <f>IF(K496=1,1.0,0)</f>
        <v/>
      </c>
      <c r="I496" s="5" t="s">
        <v>15</v>
      </c>
      <c r="J496" s="5" t="s">
        <v>15</v>
      </c>
      <c r="K496" s="8">
        <f>IF(OR(LOOKUP(A496,characters!A:A,characters!B:B)=-1, LOOKUP(A496,characters!A:A,characters!B:B)+0.1&gt;=B496),1,0)</f>
        <v/>
      </c>
    </row>
    <row r="497" spans="1:11">
      <c r="A497" s="4" t="s">
        <v>47</v>
      </c>
      <c r="B497" s="7">
        <v>0.4</v>
      </c>
      <c r="C497" s="6">
        <f>IF(K497=1,0.9,0)</f>
        <v/>
      </c>
      <c r="D497" s="6">
        <f>IF(K497=1,0.8,0)</f>
        <v/>
      </c>
      <c r="E497" s="6">
        <f>IF(K497=1,0.8,0)</f>
        <v/>
      </c>
      <c r="F497" s="6">
        <f>IF(K497=1,1.0,0)</f>
        <v/>
      </c>
      <c r="G497" s="6">
        <f>IF(K497=1,1.0,0)</f>
        <v/>
      </c>
      <c r="H497" s="5" t="s">
        <v>15</v>
      </c>
      <c r="I497" s="5" t="s">
        <v>15</v>
      </c>
      <c r="J497" s="5" t="s">
        <v>15</v>
      </c>
      <c r="K497" s="8">
        <f>IF(OR(LOOKUP(A497,characters!A:A,characters!B:B)=-1, LOOKUP(A497,characters!A:A,characters!B:B)+0.1&gt;=B497),1,0)</f>
        <v/>
      </c>
    </row>
    <row r="498" spans="1:11">
      <c r="A498" s="4" t="s">
        <v>49</v>
      </c>
      <c r="B498" s="7">
        <v>0.4</v>
      </c>
      <c r="C498" s="6">
        <f>IF(K498=1,0.9,0)</f>
        <v/>
      </c>
      <c r="D498" s="6">
        <f>IF(K498=1,0.8,0)</f>
        <v/>
      </c>
      <c r="E498" s="6">
        <f>IF(K498=1,0.8,0)</f>
        <v/>
      </c>
      <c r="F498" s="6">
        <f>IF(K498=1,1.0,0)</f>
        <v/>
      </c>
      <c r="G498" s="6">
        <f>IF(K498=1,1.0,0)</f>
        <v/>
      </c>
      <c r="H498" s="5" t="s">
        <v>15</v>
      </c>
      <c r="I498" s="5" t="s">
        <v>15</v>
      </c>
      <c r="J498" s="5" t="s">
        <v>15</v>
      </c>
      <c r="K498" s="8">
        <f>IF(OR(LOOKUP(A498,characters!A:A,characters!B:B)=-1, LOOKUP(A498,characters!A:A,characters!B:B)+0.1&gt;=B498),1,0)</f>
        <v/>
      </c>
    </row>
    <row r="500" spans="1:11">
      <c r="A500" s="3" t="s">
        <v>17</v>
      </c>
      <c r="B500" s="3" t="s">
        <v>9</v>
      </c>
      <c r="C500" s="3" t="s">
        <v>24</v>
      </c>
      <c r="D500" s="3" t="s">
        <v>25</v>
      </c>
      <c r="E500" s="3" t="s">
        <v>43</v>
      </c>
      <c r="F500" s="3" t="s">
        <v>10</v>
      </c>
      <c r="G500" s="3" t="s">
        <v>11</v>
      </c>
    </row>
    <row r="501" spans="1:11">
      <c r="A501" s="4" t="s">
        <v>14</v>
      </c>
      <c r="B501" s="5" t="s">
        <v>15</v>
      </c>
      <c r="C501" s="6">
        <f>IF(SUM(H502:H523)=0,0,SUM(C502:C523)/SUM(H502:H523))</f>
        <v/>
      </c>
      <c r="D501" s="6">
        <f>IF(SUM(H502:H523)=0,0,SUM(D502:D523)/SUM(H502:H523))</f>
        <v/>
      </c>
      <c r="E501" s="6">
        <f>IF(SUM(H502:H523)=0,0,SUM(E502:E523)/SUM(H502:H523))</f>
        <v/>
      </c>
      <c r="F501" s="6">
        <f>IF(SUM(H502:H523)=0,0,SUM(F502:F523)/SUM(H502:H523))</f>
        <v/>
      </c>
      <c r="G501" s="6">
        <f>IF(SUM(H502:H523)=0,0,SUM(G502:G523)/SUM(H502:H523))</f>
        <v/>
      </c>
    </row>
    <row r="502" spans="1:11">
      <c r="A502" s="4" t="s">
        <v>46</v>
      </c>
      <c r="B502" s="7">
        <v>0.4</v>
      </c>
      <c r="C502" s="6">
        <f>IF(H502=1,1.0,0)</f>
        <v/>
      </c>
      <c r="D502" s="6">
        <f>IF(H502=1,0.99,0)</f>
        <v/>
      </c>
      <c r="E502" s="5" t="s">
        <v>15</v>
      </c>
      <c r="F502" s="5" t="s">
        <v>15</v>
      </c>
      <c r="G502" s="5" t="s">
        <v>15</v>
      </c>
      <c r="H502" s="8">
        <f>IF(OR(LOOKUP(A502,characters!A:A,characters!B:B)=-1, LOOKUP(A502,characters!A:A,characters!B:B)+0.1&gt;=B502),1,0)</f>
        <v/>
      </c>
    </row>
    <row r="503" spans="1:11">
      <c r="A503" s="4" t="s">
        <v>58</v>
      </c>
      <c r="B503" s="7">
        <v>0.3</v>
      </c>
      <c r="C503" s="6">
        <f>IF(H503=1,1.0,0)</f>
        <v/>
      </c>
      <c r="D503" s="6">
        <f>IF(H503=1,0.99,0)</f>
        <v/>
      </c>
      <c r="E503" s="5" t="s">
        <v>15</v>
      </c>
      <c r="F503" s="5" t="s">
        <v>15</v>
      </c>
      <c r="G503" s="5" t="s">
        <v>15</v>
      </c>
      <c r="H503" s="8">
        <f>IF(OR(LOOKUP(A503,characters!A:A,characters!B:B)=-1, LOOKUP(A503,characters!A:A,characters!B:B)+0.1&gt;=B503),1,0)</f>
        <v/>
      </c>
    </row>
    <row r="504" spans="1:11">
      <c r="A504" s="4" t="s">
        <v>54</v>
      </c>
      <c r="B504" s="7">
        <v>0.2</v>
      </c>
      <c r="C504" s="5" t="s">
        <v>15</v>
      </c>
      <c r="D504" s="6">
        <f>IF(H504=1,0.9,0)</f>
        <v/>
      </c>
      <c r="E504" s="6">
        <f>IF(H504=1,1.0,0)</f>
        <v/>
      </c>
      <c r="F504" s="5" t="s">
        <v>15</v>
      </c>
      <c r="G504" s="5" t="s">
        <v>15</v>
      </c>
      <c r="H504" s="8">
        <f>IF(OR(LOOKUP(A504,characters!A:A,characters!B:B)=-1, LOOKUP(A504,characters!A:A,characters!B:B)+0.1&gt;=B504),1,0)</f>
        <v/>
      </c>
    </row>
    <row r="505" spans="1:11">
      <c r="A505" s="4" t="s">
        <v>40</v>
      </c>
      <c r="B505" s="7">
        <v>0.1</v>
      </c>
      <c r="C505" s="6">
        <f>IF(H505=1,1.0,0)</f>
        <v/>
      </c>
      <c r="D505" s="6">
        <f>IF(H505=1,1.0,0)</f>
        <v/>
      </c>
      <c r="E505" s="5" t="s">
        <v>15</v>
      </c>
      <c r="F505" s="5" t="s">
        <v>15</v>
      </c>
      <c r="G505" s="5" t="s">
        <v>15</v>
      </c>
      <c r="H505" s="8">
        <f>IF(OR(LOOKUP(A505,characters!A:A,characters!B:B)=-1, LOOKUP(A505,characters!A:A,characters!B:B)+0.1&gt;=B505),1,0)</f>
        <v/>
      </c>
    </row>
    <row r="506" spans="1:11">
      <c r="A506" s="4" t="s">
        <v>26</v>
      </c>
      <c r="B506" s="7">
        <v>0.4</v>
      </c>
      <c r="C506" s="5" t="s">
        <v>15</v>
      </c>
      <c r="D506" s="5" t="s">
        <v>15</v>
      </c>
      <c r="E506" s="5" t="s">
        <v>15</v>
      </c>
      <c r="F506" s="6">
        <f>IF(H506=1,1.0,0)</f>
        <v/>
      </c>
      <c r="G506" s="5" t="s">
        <v>15</v>
      </c>
      <c r="H506" s="8">
        <f>IF(OR(LOOKUP(A506,characters!A:A,characters!B:B)=-1, LOOKUP(A506,characters!A:A,characters!B:B)+0.1&gt;=B506),1,0)</f>
        <v/>
      </c>
    </row>
    <row r="507" spans="1:11">
      <c r="A507" s="4" t="s">
        <v>36</v>
      </c>
      <c r="B507" s="7">
        <v>0.3</v>
      </c>
      <c r="C507" s="6">
        <f>IF(H507=1,1.0,0)</f>
        <v/>
      </c>
      <c r="D507" s="6">
        <f>IF(H507=1,1.0,0)</f>
        <v/>
      </c>
      <c r="E507" s="5" t="s">
        <v>15</v>
      </c>
      <c r="F507" s="5" t="s">
        <v>15</v>
      </c>
      <c r="G507" s="5" t="s">
        <v>15</v>
      </c>
      <c r="H507" s="8">
        <f>IF(OR(LOOKUP(A507,characters!A:A,characters!B:B)=-1, LOOKUP(A507,characters!A:A,characters!B:B)+0.1&gt;=B507),1,0)</f>
        <v/>
      </c>
    </row>
    <row r="508" spans="1:11">
      <c r="A508" s="4" t="s">
        <v>59</v>
      </c>
      <c r="B508" s="7">
        <v>0.1</v>
      </c>
      <c r="C508" s="6">
        <f>IF(H508=1,1.0,0)</f>
        <v/>
      </c>
      <c r="D508" s="6">
        <f>IF(H508=1,1.0,0)</f>
        <v/>
      </c>
      <c r="E508" s="5" t="s">
        <v>15</v>
      </c>
      <c r="F508" s="5" t="s">
        <v>15</v>
      </c>
      <c r="G508" s="5" t="s">
        <v>15</v>
      </c>
      <c r="H508" s="8">
        <f>IF(OR(LOOKUP(A508,characters!A:A,characters!B:B)=-1, LOOKUP(A508,characters!A:A,characters!B:B)+0.1&gt;=B508),1,0)</f>
        <v/>
      </c>
    </row>
    <row r="509" spans="1:11">
      <c r="A509" s="4" t="s">
        <v>16</v>
      </c>
      <c r="B509" s="7">
        <v>0.3</v>
      </c>
      <c r="C509" s="5" t="s">
        <v>15</v>
      </c>
      <c r="D509" s="5" t="s">
        <v>15</v>
      </c>
      <c r="E509" s="5" t="s">
        <v>15</v>
      </c>
      <c r="F509" s="6">
        <f>IF(H509=1,1.0,0)</f>
        <v/>
      </c>
      <c r="G509" s="6">
        <f>IF(H509=1,0.9,0)</f>
        <v/>
      </c>
      <c r="H509" s="8">
        <f>IF(OR(LOOKUP(A509,characters!A:A,characters!B:B)=-1, LOOKUP(A509,characters!A:A,characters!B:B)+0.1&gt;=B509),1,0)</f>
        <v/>
      </c>
    </row>
    <row r="510" spans="1:11">
      <c r="A510" s="4" t="s">
        <v>37</v>
      </c>
      <c r="B510" s="7">
        <v>0.3</v>
      </c>
      <c r="C510" s="5" t="s">
        <v>15</v>
      </c>
      <c r="D510" s="5" t="s">
        <v>15</v>
      </c>
      <c r="E510" s="5" t="s">
        <v>15</v>
      </c>
      <c r="F510" s="6">
        <f>IF(H510=1,1.0,0)</f>
        <v/>
      </c>
      <c r="G510" s="5" t="s">
        <v>15</v>
      </c>
      <c r="H510" s="8">
        <f>IF(OR(LOOKUP(A510,characters!A:A,characters!B:B)=-1, LOOKUP(A510,characters!A:A,characters!B:B)+0.1&gt;=B510),1,0)</f>
        <v/>
      </c>
    </row>
    <row r="511" spans="1:11">
      <c r="A511" s="4" t="s">
        <v>47</v>
      </c>
      <c r="B511" s="7">
        <v>0.4</v>
      </c>
      <c r="C511" s="6">
        <f>IF(H511=1,1.0,0)</f>
        <v/>
      </c>
      <c r="D511" s="6">
        <f>IF(H511=1,0.99,0)</f>
        <v/>
      </c>
      <c r="E511" s="5" t="s">
        <v>15</v>
      </c>
      <c r="F511" s="5" t="s">
        <v>15</v>
      </c>
      <c r="G511" s="5" t="s">
        <v>15</v>
      </c>
      <c r="H511" s="8">
        <f>IF(OR(LOOKUP(A511,characters!A:A,characters!B:B)=-1, LOOKUP(A511,characters!A:A,characters!B:B)+0.1&gt;=B511),1,0)</f>
        <v/>
      </c>
    </row>
    <row r="512" spans="1:11">
      <c r="A512" s="4" t="s">
        <v>28</v>
      </c>
      <c r="B512" s="7">
        <v>0.3</v>
      </c>
      <c r="C512" s="6">
        <f>IF(H512=1,1.0,0)</f>
        <v/>
      </c>
      <c r="D512" s="6">
        <f>IF(H512=1,0.99,0)</f>
        <v/>
      </c>
      <c r="E512" s="5" t="s">
        <v>15</v>
      </c>
      <c r="F512" s="6">
        <f>IF(H512=1,0.99,0)</f>
        <v/>
      </c>
      <c r="G512" s="5" t="s">
        <v>15</v>
      </c>
      <c r="H512" s="8">
        <f>IF(OR(LOOKUP(A512,characters!A:A,characters!B:B)=-1, LOOKUP(A512,characters!A:A,characters!B:B)+0.1&gt;=B512),1,0)</f>
        <v/>
      </c>
    </row>
    <row r="513" spans="1:11">
      <c r="A513" s="4" t="s">
        <v>48</v>
      </c>
      <c r="B513" s="7">
        <v>0.3</v>
      </c>
      <c r="C513" s="6">
        <f>IF(H513=1,0.9,0)</f>
        <v/>
      </c>
      <c r="D513" s="5" t="s">
        <v>15</v>
      </c>
      <c r="E513" s="5" t="s">
        <v>15</v>
      </c>
      <c r="F513" s="5" t="s">
        <v>15</v>
      </c>
      <c r="G513" s="6">
        <f>IF(H513=1,1.0,0)</f>
        <v/>
      </c>
      <c r="H513" s="8">
        <f>IF(OR(LOOKUP(A513,characters!A:A,characters!B:B)=-1, LOOKUP(A513,characters!A:A,characters!B:B)+0.1&gt;=B513),1,0)</f>
        <v/>
      </c>
    </row>
    <row r="514" spans="1:11">
      <c r="A514" s="4" t="s">
        <v>49</v>
      </c>
      <c r="B514" s="7">
        <v>0.4</v>
      </c>
      <c r="C514" s="6">
        <f>IF(H514=1,1.0,0)</f>
        <v/>
      </c>
      <c r="D514" s="6">
        <f>IF(H514=1,0.99,0)</f>
        <v/>
      </c>
      <c r="E514" s="5" t="s">
        <v>15</v>
      </c>
      <c r="F514" s="5" t="s">
        <v>15</v>
      </c>
      <c r="G514" s="5" t="s">
        <v>15</v>
      </c>
      <c r="H514" s="8">
        <f>IF(OR(LOOKUP(A514,characters!A:A,characters!B:B)=-1, LOOKUP(A514,characters!A:A,characters!B:B)+0.1&gt;=B514),1,0)</f>
        <v/>
      </c>
    </row>
    <row r="515" spans="1:11">
      <c r="A515" s="4" t="s">
        <v>38</v>
      </c>
      <c r="B515" s="7">
        <v>0.3</v>
      </c>
      <c r="C515" s="6">
        <f>IF(H515=1,1.0,0)</f>
        <v/>
      </c>
      <c r="D515" s="6">
        <f>IF(H515=1,1.0,0)</f>
        <v/>
      </c>
      <c r="E515" s="5" t="s">
        <v>15</v>
      </c>
      <c r="F515" s="5" t="s">
        <v>15</v>
      </c>
      <c r="G515" s="5" t="s">
        <v>15</v>
      </c>
      <c r="H515" s="8">
        <f>IF(OR(LOOKUP(A515,characters!A:A,characters!B:B)=-1, LOOKUP(A515,characters!A:A,characters!B:B)+0.1&gt;=B515),1,0)</f>
        <v/>
      </c>
    </row>
    <row r="516" spans="1:11">
      <c r="A516" s="4" t="s">
        <v>45</v>
      </c>
      <c r="B516" s="7">
        <v>0.3</v>
      </c>
      <c r="C516" s="5" t="s">
        <v>15</v>
      </c>
      <c r="D516" s="5" t="s">
        <v>15</v>
      </c>
      <c r="E516" s="5" t="s">
        <v>15</v>
      </c>
      <c r="F516" s="6">
        <f>IF(H516=1,1.0,0)</f>
        <v/>
      </c>
      <c r="G516" s="6">
        <f>IF(H516=1,1.0,0)</f>
        <v/>
      </c>
      <c r="H516" s="8">
        <f>IF(OR(LOOKUP(A516,characters!A:A,characters!B:B)=-1, LOOKUP(A516,characters!A:A,characters!B:B)+0.1&gt;=B516),1,0)</f>
        <v/>
      </c>
    </row>
    <row r="517" spans="1:11">
      <c r="A517" s="4" t="s">
        <v>39</v>
      </c>
      <c r="B517" s="7">
        <v>0.3</v>
      </c>
      <c r="C517" s="5" t="s">
        <v>15</v>
      </c>
      <c r="D517" s="5" t="s">
        <v>15</v>
      </c>
      <c r="E517" s="5" t="s">
        <v>15</v>
      </c>
      <c r="F517" s="6">
        <f>IF(H517=1,1.0,0)</f>
        <v/>
      </c>
      <c r="G517" s="6">
        <f>IF(H517=1,0.9,0)</f>
        <v/>
      </c>
      <c r="H517" s="8">
        <f>IF(OR(LOOKUP(A517,characters!A:A,characters!B:B)=-1, LOOKUP(A517,characters!A:A,characters!B:B)+0.1&gt;=B517),1,0)</f>
        <v/>
      </c>
    </row>
    <row r="518" spans="1:11">
      <c r="A518" s="4" t="s">
        <v>66</v>
      </c>
      <c r="B518" s="7">
        <v>0.3</v>
      </c>
      <c r="C518" s="6">
        <f>IF(H518=1,1.0,0)</f>
        <v/>
      </c>
      <c r="D518" s="6">
        <f>IF(H518=1,0.99,0)</f>
        <v/>
      </c>
      <c r="E518" s="5" t="s">
        <v>15</v>
      </c>
      <c r="F518" s="5" t="s">
        <v>15</v>
      </c>
      <c r="G518" s="5" t="s">
        <v>15</v>
      </c>
      <c r="H518" s="8">
        <f>IF(OR(LOOKUP(A518,characters!A:A,characters!B:B)=-1, LOOKUP(A518,characters!A:A,characters!B:B)+0.1&gt;=B518),1,0)</f>
        <v/>
      </c>
    </row>
    <row r="519" spans="1:11">
      <c r="A519" s="4" t="s">
        <v>50</v>
      </c>
      <c r="B519" s="7">
        <v>0.1</v>
      </c>
      <c r="C519" s="5" t="s">
        <v>15</v>
      </c>
      <c r="D519" s="5" t="s">
        <v>15</v>
      </c>
      <c r="E519" s="5" t="s">
        <v>15</v>
      </c>
      <c r="F519" s="6">
        <f>IF(H519=1,1.0,0)</f>
        <v/>
      </c>
      <c r="G519" s="6">
        <f>IF(H519=1,1.0,0)</f>
        <v/>
      </c>
      <c r="H519" s="8">
        <f>IF(OR(LOOKUP(A519,characters!A:A,characters!B:B)=-1, LOOKUP(A519,characters!A:A,characters!B:B)+0.1&gt;=B519),1,0)</f>
        <v/>
      </c>
    </row>
    <row r="520" spans="1:11">
      <c r="A520" s="4" t="s">
        <v>60</v>
      </c>
      <c r="B520" s="7">
        <v>0.3</v>
      </c>
      <c r="C520" s="6">
        <f>IF(H520=1,1.0,0)</f>
        <v/>
      </c>
      <c r="D520" s="6">
        <f>IF(H520=1,1.0,0)</f>
        <v/>
      </c>
      <c r="E520" s="5" t="s">
        <v>15</v>
      </c>
      <c r="F520" s="5" t="s">
        <v>15</v>
      </c>
      <c r="G520" s="5" t="s">
        <v>15</v>
      </c>
      <c r="H520" s="8">
        <f>IF(OR(LOOKUP(A520,characters!A:A,characters!B:B)=-1, LOOKUP(A520,characters!A:A,characters!B:B)+0.1&gt;=B520),1,0)</f>
        <v/>
      </c>
    </row>
    <row r="521" spans="1:11">
      <c r="A521" s="4" t="s">
        <v>51</v>
      </c>
      <c r="B521" s="7">
        <v>0.3</v>
      </c>
      <c r="C521" s="6">
        <f>IF(H521=1,0.9,0)</f>
        <v/>
      </c>
      <c r="D521" s="5" t="s">
        <v>15</v>
      </c>
      <c r="E521" s="5" t="s">
        <v>15</v>
      </c>
      <c r="F521" s="5" t="s">
        <v>15</v>
      </c>
      <c r="G521" s="6">
        <f>IF(H521=1,1.0,0)</f>
        <v/>
      </c>
      <c r="H521" s="8">
        <f>IF(OR(LOOKUP(A521,characters!A:A,characters!B:B)=-1, LOOKUP(A521,characters!A:A,characters!B:B)+0.1&gt;=B521),1,0)</f>
        <v/>
      </c>
    </row>
    <row r="522" spans="1:11">
      <c r="A522" s="4" t="s">
        <v>27</v>
      </c>
      <c r="B522" s="7">
        <v>0.3</v>
      </c>
      <c r="C522" s="5" t="s">
        <v>15</v>
      </c>
      <c r="D522" s="5" t="s">
        <v>15</v>
      </c>
      <c r="E522" s="5" t="s">
        <v>15</v>
      </c>
      <c r="F522" s="6">
        <f>IF(H522=1,1.0,0)</f>
        <v/>
      </c>
      <c r="G522" s="5" t="s">
        <v>15</v>
      </c>
      <c r="H522" s="8">
        <f>IF(OR(LOOKUP(A522,characters!A:A,characters!B:B)=-1, LOOKUP(A522,characters!A:A,characters!B:B)+0.1&gt;=B522),1,0)</f>
        <v/>
      </c>
    </row>
    <row r="523" spans="1:11">
      <c r="A523" s="4" t="s">
        <v>33</v>
      </c>
      <c r="B523" s="7">
        <v>0.3</v>
      </c>
      <c r="C523" s="6">
        <f>IF(H523=1,1.0,0)</f>
        <v/>
      </c>
      <c r="D523" s="6">
        <f>IF(H523=1,1.0,0)</f>
        <v/>
      </c>
      <c r="E523" s="5" t="s">
        <v>15</v>
      </c>
      <c r="F523" s="5" t="s">
        <v>15</v>
      </c>
      <c r="G523" s="5" t="s">
        <v>15</v>
      </c>
      <c r="H523" s="8">
        <f>IF(OR(LOOKUP(A523,characters!A:A,characters!B:B)=-1, LOOKUP(A523,characters!A:A,characters!B:B)+0.1&gt;=B523),1,0)</f>
        <v/>
      </c>
    </row>
    <row r="525" spans="1:11">
      <c r="A525" s="3" t="s">
        <v>18</v>
      </c>
      <c r="B525" s="3" t="s">
        <v>9</v>
      </c>
      <c r="C525" s="3" t="s">
        <v>19</v>
      </c>
      <c r="D525" s="3" t="s">
        <v>43</v>
      </c>
      <c r="E525" s="3" t="s">
        <v>29</v>
      </c>
      <c r="F525" s="3" t="s">
        <v>41</v>
      </c>
      <c r="G525" s="3" t="s">
        <v>11</v>
      </c>
      <c r="H525" s="3" t="s">
        <v>20</v>
      </c>
      <c r="I525" s="3" t="s">
        <v>55</v>
      </c>
      <c r="J525" s="3" t="s">
        <v>34</v>
      </c>
    </row>
    <row r="526" spans="1:11">
      <c r="A526" s="4" t="s">
        <v>14</v>
      </c>
      <c r="B526" s="5" t="s">
        <v>15</v>
      </c>
      <c r="C526" s="6">
        <f>IF(SUM(K527:K548)=0,0,SUM(C527:C548)/SUM(K527:K548))</f>
        <v/>
      </c>
      <c r="D526" s="6">
        <f>IF(SUM(K527:K548)=0,0,SUM(D527:D548)/SUM(K527:K548))</f>
        <v/>
      </c>
      <c r="E526" s="6">
        <f>IF(SUM(K527:K548)=0,0,SUM(E527:E548)/SUM(K527:K548))</f>
        <v/>
      </c>
      <c r="F526" s="6">
        <f>IF(SUM(K527:K548)=0,0,SUM(F527:F548)/SUM(K527:K548))</f>
        <v/>
      </c>
      <c r="G526" s="6">
        <f>IF(SUM(K527:K548)=0,0,SUM(G527:G548)/SUM(K527:K548))</f>
        <v/>
      </c>
      <c r="H526" s="6">
        <f>IF(SUM(K527:K548)=0,0,SUM(H527:H548)/SUM(K527:K548))</f>
        <v/>
      </c>
      <c r="I526" s="6">
        <f>IF(SUM(K527:K548)=0,0,SUM(I527:I548)/SUM(K527:K548))</f>
        <v/>
      </c>
      <c r="J526" s="6">
        <f>IF(SUM(K527:K548)=0,0,SUM(J527:J548)/SUM(K527:K548))</f>
        <v/>
      </c>
    </row>
    <row r="527" spans="1:11">
      <c r="A527" s="4" t="s">
        <v>46</v>
      </c>
      <c r="B527" s="7">
        <v>0.4</v>
      </c>
      <c r="C527" s="6">
        <f>IF(K527=1,1.0,0)</f>
        <v/>
      </c>
      <c r="D527" s="5" t="s">
        <v>15</v>
      </c>
      <c r="E527" s="5" t="s">
        <v>15</v>
      </c>
      <c r="F527" s="5" t="s">
        <v>15</v>
      </c>
      <c r="G527" s="5" t="s">
        <v>15</v>
      </c>
      <c r="H527" s="5" t="s">
        <v>15</v>
      </c>
      <c r="I527" s="5" t="s">
        <v>15</v>
      </c>
      <c r="J527" s="5" t="s">
        <v>15</v>
      </c>
      <c r="K527" s="8">
        <f>IF(OR(LOOKUP(A527,characters!A:A,characters!B:B)=-1, LOOKUP(A527,characters!A:A,characters!B:B)+0.1&gt;=B527),1,0)</f>
        <v/>
      </c>
    </row>
    <row r="528" spans="1:11">
      <c r="A528" s="4" t="s">
        <v>58</v>
      </c>
      <c r="B528" s="7">
        <v>0.3</v>
      </c>
      <c r="C528" s="6">
        <f>IF(K528=1,1.0,0)</f>
        <v/>
      </c>
      <c r="D528" s="5" t="s">
        <v>15</v>
      </c>
      <c r="E528" s="5" t="s">
        <v>15</v>
      </c>
      <c r="F528" s="5" t="s">
        <v>15</v>
      </c>
      <c r="G528" s="5" t="s">
        <v>15</v>
      </c>
      <c r="H528" s="5" t="s">
        <v>15</v>
      </c>
      <c r="I528" s="5" t="s">
        <v>15</v>
      </c>
      <c r="J528" s="5" t="s">
        <v>15</v>
      </c>
      <c r="K528" s="8">
        <f>IF(OR(LOOKUP(A528,characters!A:A,characters!B:B)=-1, LOOKUP(A528,characters!A:A,characters!B:B)+0.1&gt;=B528),1,0)</f>
        <v/>
      </c>
    </row>
    <row r="529" spans="1:11">
      <c r="A529" s="4" t="s">
        <v>54</v>
      </c>
      <c r="B529" s="7">
        <v>0.2</v>
      </c>
      <c r="C529" s="5" t="s">
        <v>15</v>
      </c>
      <c r="D529" s="6">
        <f>IF(K529=1,1.0,0)</f>
        <v/>
      </c>
      <c r="E529" s="6">
        <f>IF(K529=1,1.0,0)</f>
        <v/>
      </c>
      <c r="F529" s="5" t="s">
        <v>15</v>
      </c>
      <c r="G529" s="5" t="s">
        <v>15</v>
      </c>
      <c r="H529" s="5" t="s">
        <v>15</v>
      </c>
      <c r="I529" s="5" t="s">
        <v>15</v>
      </c>
      <c r="J529" s="5" t="s">
        <v>15</v>
      </c>
      <c r="K529" s="8">
        <f>IF(OR(LOOKUP(A529,characters!A:A,characters!B:B)=-1, LOOKUP(A529,characters!A:A,characters!B:B)+0.1&gt;=B529),1,0)</f>
        <v/>
      </c>
    </row>
    <row r="530" spans="1:11">
      <c r="A530" s="4" t="s">
        <v>40</v>
      </c>
      <c r="B530" s="7">
        <v>0.1</v>
      </c>
      <c r="C530" s="5" t="s">
        <v>15</v>
      </c>
      <c r="D530" s="5" t="s">
        <v>15</v>
      </c>
      <c r="E530" s="5" t="s">
        <v>15</v>
      </c>
      <c r="F530" s="6">
        <f>IF(K530=1,1.0,0)</f>
        <v/>
      </c>
      <c r="G530" s="6">
        <f>IF(K530=1,0.99,0)</f>
        <v/>
      </c>
      <c r="H530" s="5" t="s">
        <v>15</v>
      </c>
      <c r="I530" s="5" t="s">
        <v>15</v>
      </c>
      <c r="J530" s="5" t="s">
        <v>15</v>
      </c>
      <c r="K530" s="8">
        <f>IF(OR(LOOKUP(A530,characters!A:A,characters!B:B)=-1, LOOKUP(A530,characters!A:A,characters!B:B)+0.1&gt;=B530),1,0)</f>
        <v/>
      </c>
    </row>
    <row r="531" spans="1:11">
      <c r="A531" s="4" t="s">
        <v>26</v>
      </c>
      <c r="B531" s="7">
        <v>0.4</v>
      </c>
      <c r="C531" s="5" t="s">
        <v>15</v>
      </c>
      <c r="D531" s="5" t="s">
        <v>15</v>
      </c>
      <c r="E531" s="6">
        <f>IF(K531=1,1.0,0)</f>
        <v/>
      </c>
      <c r="F531" s="5" t="s">
        <v>15</v>
      </c>
      <c r="G531" s="5" t="s">
        <v>15</v>
      </c>
      <c r="H531" s="6">
        <f>IF(K531=1,0.99,0)</f>
        <v/>
      </c>
      <c r="I531" s="5" t="s">
        <v>15</v>
      </c>
      <c r="J531" s="5" t="s">
        <v>15</v>
      </c>
      <c r="K531" s="8">
        <f>IF(OR(LOOKUP(A531,characters!A:A,characters!B:B)=-1, LOOKUP(A531,characters!A:A,characters!B:B)+0.1&gt;=B531),1,0)</f>
        <v/>
      </c>
    </row>
    <row r="532" spans="1:11">
      <c r="A532" s="4" t="s">
        <v>36</v>
      </c>
      <c r="B532" s="7">
        <v>0.3</v>
      </c>
      <c r="C532" s="5" t="s">
        <v>15</v>
      </c>
      <c r="D532" s="5" t="s">
        <v>15</v>
      </c>
      <c r="E532" s="5" t="s">
        <v>15</v>
      </c>
      <c r="F532" s="6">
        <f>IF(K532=1,0.99,0)</f>
        <v/>
      </c>
      <c r="G532" s="6">
        <f>IF(K532=1,1.0,0)</f>
        <v/>
      </c>
      <c r="H532" s="5" t="s">
        <v>15</v>
      </c>
      <c r="I532" s="5" t="s">
        <v>15</v>
      </c>
      <c r="J532" s="5" t="s">
        <v>15</v>
      </c>
      <c r="K532" s="8">
        <f>IF(OR(LOOKUP(A532,characters!A:A,characters!B:B)=-1, LOOKUP(A532,characters!A:A,characters!B:B)+0.1&gt;=B532),1,0)</f>
        <v/>
      </c>
    </row>
    <row r="533" spans="1:11">
      <c r="A533" s="4" t="s">
        <v>59</v>
      </c>
      <c r="B533" s="7">
        <v>0.1</v>
      </c>
      <c r="C533" s="5" t="s">
        <v>15</v>
      </c>
      <c r="D533" s="5" t="s">
        <v>15</v>
      </c>
      <c r="E533" s="5" t="s">
        <v>15</v>
      </c>
      <c r="F533" s="5" t="s">
        <v>15</v>
      </c>
      <c r="G533" s="6">
        <f>IF(K533=1,0.9,0)</f>
        <v/>
      </c>
      <c r="H533" s="5" t="s">
        <v>15</v>
      </c>
      <c r="I533" s="6">
        <f>IF(K533=1,1.0,0)</f>
        <v/>
      </c>
      <c r="J533" s="5" t="s">
        <v>15</v>
      </c>
      <c r="K533" s="8">
        <f>IF(OR(LOOKUP(A533,characters!A:A,characters!B:B)=-1, LOOKUP(A533,characters!A:A,characters!B:B)+0.1&gt;=B533),1,0)</f>
        <v/>
      </c>
    </row>
    <row r="534" spans="1:11">
      <c r="A534" s="4" t="s">
        <v>16</v>
      </c>
      <c r="B534" s="7">
        <v>0.3</v>
      </c>
      <c r="C534" s="6">
        <f>IF(K534=1,1.0,0)</f>
        <v/>
      </c>
      <c r="D534" s="5" t="s">
        <v>15</v>
      </c>
      <c r="E534" s="5" t="s">
        <v>15</v>
      </c>
      <c r="F534" s="5" t="s">
        <v>15</v>
      </c>
      <c r="G534" s="6">
        <f>IF(K534=1,0.9,0)</f>
        <v/>
      </c>
      <c r="H534" s="6">
        <f>IF(K534=1,0.9,0)</f>
        <v/>
      </c>
      <c r="I534" s="5" t="s">
        <v>15</v>
      </c>
      <c r="J534" s="5" t="s">
        <v>15</v>
      </c>
      <c r="K534" s="8">
        <f>IF(OR(LOOKUP(A534,characters!A:A,characters!B:B)=-1, LOOKUP(A534,characters!A:A,characters!B:B)+0.1&gt;=B534),1,0)</f>
        <v/>
      </c>
    </row>
    <row r="535" spans="1:11">
      <c r="A535" s="4" t="s">
        <v>37</v>
      </c>
      <c r="B535" s="7">
        <v>0.3</v>
      </c>
      <c r="C535" s="5" t="s">
        <v>15</v>
      </c>
      <c r="D535" s="5" t="s">
        <v>15</v>
      </c>
      <c r="E535" s="5" t="s">
        <v>15</v>
      </c>
      <c r="F535" s="6">
        <f>IF(K535=1,1.0,0)</f>
        <v/>
      </c>
      <c r="G535" s="6">
        <f>IF(K535=1,0.89,0)</f>
        <v/>
      </c>
      <c r="H535" s="6">
        <f>IF(K535=1,0.9,0)</f>
        <v/>
      </c>
      <c r="I535" s="5" t="s">
        <v>15</v>
      </c>
      <c r="J535" s="5" t="s">
        <v>15</v>
      </c>
      <c r="K535" s="8">
        <f>IF(OR(LOOKUP(A535,characters!A:A,characters!B:B)=-1, LOOKUP(A535,characters!A:A,characters!B:B)+0.1&gt;=B535),1,0)</f>
        <v/>
      </c>
    </row>
    <row r="536" spans="1:11">
      <c r="A536" s="4" t="s">
        <v>47</v>
      </c>
      <c r="B536" s="7">
        <v>0.4</v>
      </c>
      <c r="C536" s="5" t="s">
        <v>15</v>
      </c>
      <c r="D536" s="5" t="s">
        <v>15</v>
      </c>
      <c r="E536" s="6">
        <f>IF(K536=1,1.0,0)</f>
        <v/>
      </c>
      <c r="F536" s="5" t="s">
        <v>15</v>
      </c>
      <c r="G536" s="5" t="s">
        <v>15</v>
      </c>
      <c r="H536" s="5" t="s">
        <v>15</v>
      </c>
      <c r="I536" s="5" t="s">
        <v>15</v>
      </c>
      <c r="J536" s="5" t="s">
        <v>15</v>
      </c>
      <c r="K536" s="8">
        <f>IF(OR(LOOKUP(A536,characters!A:A,characters!B:B)=-1, LOOKUP(A536,characters!A:A,characters!B:B)+0.1&gt;=B536),1,0)</f>
        <v/>
      </c>
    </row>
    <row r="537" spans="1:11">
      <c r="A537" s="4" t="s">
        <v>28</v>
      </c>
      <c r="B537" s="7">
        <v>0.3</v>
      </c>
      <c r="C537" s="5" t="s">
        <v>15</v>
      </c>
      <c r="D537" s="5" t="s">
        <v>15</v>
      </c>
      <c r="E537" s="6">
        <f>IF(K537=1,1.0,0)</f>
        <v/>
      </c>
      <c r="F537" s="5" t="s">
        <v>15</v>
      </c>
      <c r="G537" s="6">
        <f>IF(K537=1,1.0,0)</f>
        <v/>
      </c>
      <c r="H537" s="6">
        <f>IF(K537=1,1.0,0)</f>
        <v/>
      </c>
      <c r="I537" s="5" t="s">
        <v>15</v>
      </c>
      <c r="J537" s="5" t="s">
        <v>15</v>
      </c>
      <c r="K537" s="8">
        <f>IF(OR(LOOKUP(A537,characters!A:A,characters!B:B)=-1, LOOKUP(A537,characters!A:A,characters!B:B)+0.1&gt;=B537),1,0)</f>
        <v/>
      </c>
    </row>
    <row r="538" spans="1:11">
      <c r="A538" s="4" t="s">
        <v>48</v>
      </c>
      <c r="B538" s="7">
        <v>0.3</v>
      </c>
      <c r="C538" s="5" t="s">
        <v>15</v>
      </c>
      <c r="D538" s="5" t="s">
        <v>15</v>
      </c>
      <c r="E538" s="5" t="s">
        <v>15</v>
      </c>
      <c r="F538" s="5" t="s">
        <v>15</v>
      </c>
      <c r="G538" s="6">
        <f>IF(K538=1,1.0,0)</f>
        <v/>
      </c>
      <c r="H538" s="5" t="s">
        <v>15</v>
      </c>
      <c r="I538" s="5" t="s">
        <v>15</v>
      </c>
      <c r="J538" s="5" t="s">
        <v>15</v>
      </c>
      <c r="K538" s="8">
        <f>IF(OR(LOOKUP(A538,characters!A:A,characters!B:B)=-1, LOOKUP(A538,characters!A:A,characters!B:B)+0.1&gt;=B538),1,0)</f>
        <v/>
      </c>
    </row>
    <row r="539" spans="1:11">
      <c r="A539" s="4" t="s">
        <v>49</v>
      </c>
      <c r="B539" s="7">
        <v>0.4</v>
      </c>
      <c r="C539" s="5" t="s">
        <v>15</v>
      </c>
      <c r="D539" s="5" t="s">
        <v>15</v>
      </c>
      <c r="E539" s="5" t="s">
        <v>15</v>
      </c>
      <c r="F539" s="5" t="s">
        <v>15</v>
      </c>
      <c r="G539" s="5" t="s">
        <v>15</v>
      </c>
      <c r="H539" s="5" t="s">
        <v>15</v>
      </c>
      <c r="I539" s="6">
        <f>IF(K539=1,1.0,0)</f>
        <v/>
      </c>
      <c r="J539" s="5" t="s">
        <v>15</v>
      </c>
      <c r="K539" s="8">
        <f>IF(OR(LOOKUP(A539,characters!A:A,characters!B:B)=-1, LOOKUP(A539,characters!A:A,characters!B:B)+0.1&gt;=B539),1,0)</f>
        <v/>
      </c>
    </row>
    <row r="540" spans="1:11">
      <c r="A540" s="4" t="s">
        <v>38</v>
      </c>
      <c r="B540" s="7">
        <v>0.3</v>
      </c>
      <c r="C540" s="5" t="s">
        <v>15</v>
      </c>
      <c r="D540" s="5" t="s">
        <v>15</v>
      </c>
      <c r="E540" s="5" t="s">
        <v>15</v>
      </c>
      <c r="F540" s="6">
        <f>IF(K540=1,0.99,0)</f>
        <v/>
      </c>
      <c r="G540" s="6">
        <f>IF(K540=1,1.0,0)</f>
        <v/>
      </c>
      <c r="H540" s="5" t="s">
        <v>15</v>
      </c>
      <c r="I540" s="5" t="s">
        <v>15</v>
      </c>
      <c r="J540" s="5" t="s">
        <v>15</v>
      </c>
      <c r="K540" s="8">
        <f>IF(OR(LOOKUP(A540,characters!A:A,characters!B:B)=-1, LOOKUP(A540,characters!A:A,characters!B:B)+0.1&gt;=B540),1,0)</f>
        <v/>
      </c>
    </row>
    <row r="541" spans="1:11">
      <c r="A541" s="4" t="s">
        <v>45</v>
      </c>
      <c r="B541" s="7">
        <v>0.3</v>
      </c>
      <c r="C541" s="5" t="s">
        <v>15</v>
      </c>
      <c r="D541" s="5" t="s">
        <v>15</v>
      </c>
      <c r="E541" s="5" t="s">
        <v>15</v>
      </c>
      <c r="F541" s="5" t="s">
        <v>15</v>
      </c>
      <c r="G541" s="6">
        <f>IF(K541=1,0.9,0)</f>
        <v/>
      </c>
      <c r="H541" s="5" t="s">
        <v>15</v>
      </c>
      <c r="I541" s="5" t="s">
        <v>15</v>
      </c>
      <c r="J541" s="6">
        <f>IF(K541=1,1.0,0)</f>
        <v/>
      </c>
      <c r="K541" s="8">
        <f>IF(OR(LOOKUP(A541,characters!A:A,characters!B:B)=-1, LOOKUP(A541,characters!A:A,characters!B:B)+0.1&gt;=B541),1,0)</f>
        <v/>
      </c>
    </row>
    <row r="542" spans="1:11">
      <c r="A542" s="4" t="s">
        <v>39</v>
      </c>
      <c r="B542" s="7">
        <v>0.3</v>
      </c>
      <c r="C542" s="5" t="s">
        <v>15</v>
      </c>
      <c r="D542" s="5" t="s">
        <v>15</v>
      </c>
      <c r="E542" s="5" t="s">
        <v>15</v>
      </c>
      <c r="F542" s="6">
        <f>IF(K542=1,1.0,0)</f>
        <v/>
      </c>
      <c r="G542" s="6">
        <f>IF(K542=1,0.9,0)</f>
        <v/>
      </c>
      <c r="H542" s="6">
        <f>IF(K542=1,0.9,0)</f>
        <v/>
      </c>
      <c r="I542" s="5" t="s">
        <v>15</v>
      </c>
      <c r="J542" s="5" t="s">
        <v>15</v>
      </c>
      <c r="K542" s="8">
        <f>IF(OR(LOOKUP(A542,characters!A:A,characters!B:B)=-1, LOOKUP(A542,characters!A:A,characters!B:B)+0.1&gt;=B542),1,0)</f>
        <v/>
      </c>
    </row>
    <row r="543" spans="1:11">
      <c r="A543" s="4" t="s">
        <v>66</v>
      </c>
      <c r="B543" s="7">
        <v>0.3</v>
      </c>
      <c r="C543" s="6">
        <f>IF(K543=1,1.0,0)</f>
        <v/>
      </c>
      <c r="D543" s="5" t="s">
        <v>15</v>
      </c>
      <c r="E543" s="5" t="s">
        <v>15</v>
      </c>
      <c r="F543" s="5" t="s">
        <v>15</v>
      </c>
      <c r="G543" s="5" t="s">
        <v>15</v>
      </c>
      <c r="H543" s="5" t="s">
        <v>15</v>
      </c>
      <c r="I543" s="5" t="s">
        <v>15</v>
      </c>
      <c r="J543" s="5" t="s">
        <v>15</v>
      </c>
      <c r="K543" s="8">
        <f>IF(OR(LOOKUP(A543,characters!A:A,characters!B:B)=-1, LOOKUP(A543,characters!A:A,characters!B:B)+0.1&gt;=B543),1,0)</f>
        <v/>
      </c>
    </row>
    <row r="544" spans="1:11">
      <c r="A544" s="4" t="s">
        <v>50</v>
      </c>
      <c r="B544" s="7">
        <v>0.1</v>
      </c>
      <c r="C544" s="5" t="s">
        <v>15</v>
      </c>
      <c r="D544" s="5" t="s">
        <v>15</v>
      </c>
      <c r="E544" s="5" t="s">
        <v>15</v>
      </c>
      <c r="F544" s="5" t="s">
        <v>15</v>
      </c>
      <c r="G544" s="5" t="s">
        <v>15</v>
      </c>
      <c r="H544" s="6">
        <f>IF(K544=1,1.0,0)</f>
        <v/>
      </c>
      <c r="I544" s="5" t="s">
        <v>15</v>
      </c>
      <c r="J544" s="5" t="s">
        <v>15</v>
      </c>
      <c r="K544" s="8">
        <f>IF(OR(LOOKUP(A544,characters!A:A,characters!B:B)=-1, LOOKUP(A544,characters!A:A,characters!B:B)+0.1&gt;=B544),1,0)</f>
        <v/>
      </c>
    </row>
    <row r="545" spans="1:11">
      <c r="A545" s="4" t="s">
        <v>60</v>
      </c>
      <c r="B545" s="7">
        <v>0.3</v>
      </c>
      <c r="C545" s="5" t="s">
        <v>15</v>
      </c>
      <c r="D545" s="5" t="s">
        <v>15</v>
      </c>
      <c r="E545" s="6">
        <f>IF(K545=1,1.0,0)</f>
        <v/>
      </c>
      <c r="F545" s="5" t="s">
        <v>15</v>
      </c>
      <c r="G545" s="6">
        <f>IF(K545=1,0.9,0)</f>
        <v/>
      </c>
      <c r="H545" s="5" t="s">
        <v>15</v>
      </c>
      <c r="I545" s="5" t="s">
        <v>15</v>
      </c>
      <c r="J545" s="5" t="s">
        <v>15</v>
      </c>
      <c r="K545" s="8">
        <f>IF(OR(LOOKUP(A545,characters!A:A,characters!B:B)=-1, LOOKUP(A545,characters!A:A,characters!B:B)+0.1&gt;=B545),1,0)</f>
        <v/>
      </c>
    </row>
    <row r="546" spans="1:11">
      <c r="A546" s="4" t="s">
        <v>51</v>
      </c>
      <c r="B546" s="7">
        <v>0.3</v>
      </c>
      <c r="C546" s="5" t="s">
        <v>15</v>
      </c>
      <c r="D546" s="5" t="s">
        <v>15</v>
      </c>
      <c r="E546" s="5" t="s">
        <v>15</v>
      </c>
      <c r="F546" s="5" t="s">
        <v>15</v>
      </c>
      <c r="G546" s="6">
        <f>IF(K546=1,1.0,0)</f>
        <v/>
      </c>
      <c r="H546" s="5" t="s">
        <v>15</v>
      </c>
      <c r="I546" s="6">
        <f>IF(K546=1,0.9,0)</f>
        <v/>
      </c>
      <c r="J546" s="5" t="s">
        <v>15</v>
      </c>
      <c r="K546" s="8">
        <f>IF(OR(LOOKUP(A546,characters!A:A,characters!B:B)=-1, LOOKUP(A546,characters!A:A,characters!B:B)+0.1&gt;=B546),1,0)</f>
        <v/>
      </c>
    </row>
    <row r="547" spans="1:11">
      <c r="A547" s="4" t="s">
        <v>27</v>
      </c>
      <c r="B547" s="7">
        <v>0.3</v>
      </c>
      <c r="C547" s="6">
        <f>IF(K547=1,1.0,0)</f>
        <v/>
      </c>
      <c r="D547" s="5" t="s">
        <v>15</v>
      </c>
      <c r="E547" s="5" t="s">
        <v>15</v>
      </c>
      <c r="F547" s="5" t="s">
        <v>15</v>
      </c>
      <c r="G547" s="5" t="s">
        <v>15</v>
      </c>
      <c r="H547" s="6">
        <f>IF(K547=1,0.99,0)</f>
        <v/>
      </c>
      <c r="I547" s="5" t="s">
        <v>15</v>
      </c>
      <c r="J547" s="5" t="s">
        <v>15</v>
      </c>
      <c r="K547" s="8">
        <f>IF(OR(LOOKUP(A547,characters!A:A,characters!B:B)=-1, LOOKUP(A547,characters!A:A,characters!B:B)+0.1&gt;=B547),1,0)</f>
        <v/>
      </c>
    </row>
    <row r="548" spans="1:11">
      <c r="A548" s="4" t="s">
        <v>33</v>
      </c>
      <c r="B548" s="7">
        <v>0.3</v>
      </c>
      <c r="C548" s="5" t="s">
        <v>15</v>
      </c>
      <c r="D548" s="5" t="s">
        <v>15</v>
      </c>
      <c r="E548" s="5" t="s">
        <v>15</v>
      </c>
      <c r="F548" s="5" t="s">
        <v>15</v>
      </c>
      <c r="G548" s="6">
        <f>IF(K548=1,0.9,0)</f>
        <v/>
      </c>
      <c r="H548" s="6">
        <f>IF(K548=1,0.9,0)</f>
        <v/>
      </c>
      <c r="I548" s="5" t="s">
        <v>15</v>
      </c>
      <c r="J548" s="6">
        <f>IF(K548=1,1.0,0)</f>
        <v/>
      </c>
      <c r="K548" s="8">
        <f>IF(OR(LOOKUP(A548,characters!A:A,characters!B:B)=-1, LOOKUP(A548,characters!A:A,characters!B:B)+0.1&gt;=B548),1,0)</f>
        <v/>
      </c>
    </row>
    <row r="550" spans="1:11">
      <c r="A550" s="3" t="s">
        <v>21</v>
      </c>
      <c r="B550" s="3" t="s">
        <v>9</v>
      </c>
      <c r="C550" s="3" t="s">
        <v>30</v>
      </c>
      <c r="D550" s="3" t="s">
        <v>11</v>
      </c>
      <c r="E550" s="3" t="s">
        <v>43</v>
      </c>
      <c r="F550" s="3" t="s">
        <v>56</v>
      </c>
      <c r="G550" s="3" t="s">
        <v>22</v>
      </c>
    </row>
    <row r="551" spans="1:11">
      <c r="A551" s="4" t="s">
        <v>14</v>
      </c>
      <c r="B551" s="5" t="s">
        <v>15</v>
      </c>
      <c r="C551" s="6">
        <f>IF(SUM(H552:H573)=0,0,SUM(C552:C573)/SUM(H552:H573))</f>
        <v/>
      </c>
      <c r="D551" s="6">
        <f>IF(SUM(H552:H573)=0,0,SUM(D552:D573)/SUM(H552:H573))</f>
        <v/>
      </c>
      <c r="E551" s="6">
        <f>IF(SUM(H552:H573)=0,0,SUM(E552:E573)/SUM(H552:H573))</f>
        <v/>
      </c>
      <c r="F551" s="6">
        <f>IF(SUM(H552:H573)=0,0,SUM(F552:F573)/SUM(H552:H573))</f>
        <v/>
      </c>
      <c r="G551" s="6">
        <f>IF(SUM(H552:H573)=0,0,SUM(G552:G573)/SUM(H552:H573))</f>
        <v/>
      </c>
    </row>
    <row r="552" spans="1:11">
      <c r="A552" s="4" t="s">
        <v>46</v>
      </c>
      <c r="B552" s="7">
        <v>0.4</v>
      </c>
      <c r="C552" s="6">
        <f>IF(H552=1,1.0,0)</f>
        <v/>
      </c>
      <c r="D552" s="5" t="s">
        <v>15</v>
      </c>
      <c r="E552" s="5" t="s">
        <v>15</v>
      </c>
      <c r="F552" s="5" t="s">
        <v>15</v>
      </c>
      <c r="G552" s="5" t="s">
        <v>15</v>
      </c>
      <c r="H552" s="8">
        <f>IF(OR(LOOKUP(A552,characters!A:A,characters!B:B)=-1, LOOKUP(A552,characters!A:A,characters!B:B)+0.1&gt;=B552),1,0)</f>
        <v/>
      </c>
    </row>
    <row r="553" spans="1:11">
      <c r="A553" s="4" t="s">
        <v>58</v>
      </c>
      <c r="B553" s="7">
        <v>0.3</v>
      </c>
      <c r="C553" s="5" t="s">
        <v>15</v>
      </c>
      <c r="D553" s="6">
        <f>IF(H553=1,1.0,0)</f>
        <v/>
      </c>
      <c r="E553" s="5" t="s">
        <v>15</v>
      </c>
      <c r="F553" s="5" t="s">
        <v>15</v>
      </c>
      <c r="G553" s="5" t="s">
        <v>15</v>
      </c>
      <c r="H553" s="8">
        <f>IF(OR(LOOKUP(A553,characters!A:A,characters!B:B)=-1, LOOKUP(A553,characters!A:A,characters!B:B)+0.1&gt;=B553),1,0)</f>
        <v/>
      </c>
    </row>
    <row r="554" spans="1:11">
      <c r="A554" s="4" t="s">
        <v>54</v>
      </c>
      <c r="B554" s="7">
        <v>0.2</v>
      </c>
      <c r="C554" s="5" t="s">
        <v>15</v>
      </c>
      <c r="D554" s="5" t="s">
        <v>15</v>
      </c>
      <c r="E554" s="6">
        <f>IF(H554=1,1.0,0)</f>
        <v/>
      </c>
      <c r="F554" s="6">
        <f>IF(H554=1,1.0,0)</f>
        <v/>
      </c>
      <c r="G554" s="5" t="s">
        <v>15</v>
      </c>
      <c r="H554" s="8">
        <f>IF(OR(LOOKUP(A554,characters!A:A,characters!B:B)=-1, LOOKUP(A554,characters!A:A,characters!B:B)+0.1&gt;=B554),1,0)</f>
        <v/>
      </c>
    </row>
    <row r="555" spans="1:11">
      <c r="A555" s="4" t="s">
        <v>40</v>
      </c>
      <c r="B555" s="7">
        <v>0.1</v>
      </c>
      <c r="C555" s="5" t="s">
        <v>15</v>
      </c>
      <c r="D555" s="6">
        <f>IF(H555=1,1.0,0)</f>
        <v/>
      </c>
      <c r="E555" s="5" t="s">
        <v>15</v>
      </c>
      <c r="F555" s="5" t="s">
        <v>15</v>
      </c>
      <c r="G555" s="5" t="s">
        <v>15</v>
      </c>
      <c r="H555" s="8">
        <f>IF(OR(LOOKUP(A555,characters!A:A,characters!B:B)=-1, LOOKUP(A555,characters!A:A,characters!B:B)+0.1&gt;=B555),1,0)</f>
        <v/>
      </c>
    </row>
    <row r="556" spans="1:11">
      <c r="A556" s="4" t="s">
        <v>26</v>
      </c>
      <c r="B556" s="7">
        <v>0.4</v>
      </c>
      <c r="C556" s="5" t="s">
        <v>15</v>
      </c>
      <c r="D556" s="6">
        <f>IF(H556=1,1.0,0)</f>
        <v/>
      </c>
      <c r="E556" s="5" t="s">
        <v>15</v>
      </c>
      <c r="F556" s="5" t="s">
        <v>15</v>
      </c>
      <c r="G556" s="6">
        <f>IF(H556=1,1.0,0)</f>
        <v/>
      </c>
      <c r="H556" s="8">
        <f>IF(OR(LOOKUP(A556,characters!A:A,characters!B:B)=-1, LOOKUP(A556,characters!A:A,characters!B:B)+0.1&gt;=B556),1,0)</f>
        <v/>
      </c>
    </row>
    <row r="557" spans="1:11">
      <c r="A557" s="4" t="s">
        <v>36</v>
      </c>
      <c r="B557" s="7">
        <v>0.3</v>
      </c>
      <c r="C557" s="5" t="s">
        <v>15</v>
      </c>
      <c r="D557" s="6">
        <f>IF(H557=1,1.0,0)</f>
        <v/>
      </c>
      <c r="E557" s="5" t="s">
        <v>15</v>
      </c>
      <c r="F557" s="5" t="s">
        <v>15</v>
      </c>
      <c r="G557" s="5" t="s">
        <v>15</v>
      </c>
      <c r="H557" s="8">
        <f>IF(OR(LOOKUP(A557,characters!A:A,characters!B:B)=-1, LOOKUP(A557,characters!A:A,characters!B:B)+0.1&gt;=B557),1,0)</f>
        <v/>
      </c>
    </row>
    <row r="558" spans="1:11">
      <c r="A558" s="4" t="s">
        <v>59</v>
      </c>
      <c r="B558" s="7">
        <v>0.1</v>
      </c>
      <c r="C558" s="5" t="s">
        <v>15</v>
      </c>
      <c r="D558" s="6">
        <f>IF(H558=1,1.0,0)</f>
        <v/>
      </c>
      <c r="E558" s="5" t="s">
        <v>15</v>
      </c>
      <c r="F558" s="5" t="s">
        <v>15</v>
      </c>
      <c r="G558" s="5" t="s">
        <v>15</v>
      </c>
      <c r="H558" s="8">
        <f>IF(OR(LOOKUP(A558,characters!A:A,characters!B:B)=-1, LOOKUP(A558,characters!A:A,characters!B:B)+0.1&gt;=B558),1,0)</f>
        <v/>
      </c>
    </row>
    <row r="559" spans="1:11">
      <c r="A559" s="4" t="s">
        <v>16</v>
      </c>
      <c r="B559" s="7">
        <v>0.3</v>
      </c>
      <c r="C559" s="5" t="s">
        <v>15</v>
      </c>
      <c r="D559" s="6">
        <f>IF(H559=1,1.0,0)</f>
        <v/>
      </c>
      <c r="E559" s="5" t="s">
        <v>15</v>
      </c>
      <c r="F559" s="5" t="s">
        <v>15</v>
      </c>
      <c r="G559" s="6">
        <f>IF(H559=1,1.0,0)</f>
        <v/>
      </c>
      <c r="H559" s="8">
        <f>IF(OR(LOOKUP(A559,characters!A:A,characters!B:B)=-1, LOOKUP(A559,characters!A:A,characters!B:B)+0.1&gt;=B559),1,0)</f>
        <v/>
      </c>
    </row>
    <row r="560" spans="1:11">
      <c r="A560" s="4" t="s">
        <v>37</v>
      </c>
      <c r="B560" s="7">
        <v>0.3</v>
      </c>
      <c r="C560" s="5" t="s">
        <v>15</v>
      </c>
      <c r="D560" s="6">
        <f>IF(H560=1,0.99,0)</f>
        <v/>
      </c>
      <c r="E560" s="5" t="s">
        <v>15</v>
      </c>
      <c r="F560" s="5" t="s">
        <v>15</v>
      </c>
      <c r="G560" s="6">
        <f>IF(H560=1,1.0,0)</f>
        <v/>
      </c>
      <c r="H560" s="8">
        <f>IF(OR(LOOKUP(A560,characters!A:A,characters!B:B)=-1, LOOKUP(A560,characters!A:A,characters!B:B)+0.1&gt;=B560),1,0)</f>
        <v/>
      </c>
    </row>
    <row r="561" spans="1:8">
      <c r="A561" s="4" t="s">
        <v>47</v>
      </c>
      <c r="B561" s="7">
        <v>0.4</v>
      </c>
      <c r="C561" s="6">
        <f>IF(H561=1,1.0,0)</f>
        <v/>
      </c>
      <c r="D561" s="5" t="s">
        <v>15</v>
      </c>
      <c r="E561" s="5" t="s">
        <v>15</v>
      </c>
      <c r="F561" s="5" t="s">
        <v>15</v>
      </c>
      <c r="G561" s="5" t="s">
        <v>15</v>
      </c>
      <c r="H561" s="8">
        <f>IF(OR(LOOKUP(A561,characters!A:A,characters!B:B)=-1, LOOKUP(A561,characters!A:A,characters!B:B)+0.1&gt;=B561),1,0)</f>
        <v/>
      </c>
    </row>
    <row r="562" spans="1:8">
      <c r="A562" s="4" t="s">
        <v>28</v>
      </c>
      <c r="B562" s="7">
        <v>0.3</v>
      </c>
      <c r="C562" s="6">
        <f>IF(H562=1,1.0,0)</f>
        <v/>
      </c>
      <c r="D562" s="5" t="s">
        <v>15</v>
      </c>
      <c r="E562" s="5" t="s">
        <v>15</v>
      </c>
      <c r="F562" s="5" t="s">
        <v>15</v>
      </c>
      <c r="G562" s="5" t="s">
        <v>15</v>
      </c>
      <c r="H562" s="8">
        <f>IF(OR(LOOKUP(A562,characters!A:A,characters!B:B)=-1, LOOKUP(A562,characters!A:A,characters!B:B)+0.1&gt;=B562),1,0)</f>
        <v/>
      </c>
    </row>
    <row r="563" spans="1:8">
      <c r="A563" s="4" t="s">
        <v>48</v>
      </c>
      <c r="B563" s="7">
        <v>0.3</v>
      </c>
      <c r="C563" s="5" t="s">
        <v>15</v>
      </c>
      <c r="D563" s="6">
        <f>IF(H563=1,1.0,0)</f>
        <v/>
      </c>
      <c r="E563" s="5" t="s">
        <v>15</v>
      </c>
      <c r="F563" s="6">
        <f>IF(H563=1,1.0,0)</f>
        <v/>
      </c>
      <c r="G563" s="5" t="s">
        <v>15</v>
      </c>
      <c r="H563" s="8">
        <f>IF(OR(LOOKUP(A563,characters!A:A,characters!B:B)=-1, LOOKUP(A563,characters!A:A,characters!B:B)+0.1&gt;=B563),1,0)</f>
        <v/>
      </c>
    </row>
    <row r="564" spans="1:8">
      <c r="A564" s="4" t="s">
        <v>49</v>
      </c>
      <c r="B564" s="7">
        <v>0.4</v>
      </c>
      <c r="C564" s="6">
        <f>IF(H564=1,1.0,0)</f>
        <v/>
      </c>
      <c r="D564" s="5" t="s">
        <v>15</v>
      </c>
      <c r="E564" s="5" t="s">
        <v>15</v>
      </c>
      <c r="F564" s="5" t="s">
        <v>15</v>
      </c>
      <c r="G564" s="5" t="s">
        <v>15</v>
      </c>
      <c r="H564" s="8">
        <f>IF(OR(LOOKUP(A564,characters!A:A,characters!B:B)=-1, LOOKUP(A564,characters!A:A,characters!B:B)+0.1&gt;=B564),1,0)</f>
        <v/>
      </c>
    </row>
    <row r="565" spans="1:8">
      <c r="A565" s="4" t="s">
        <v>38</v>
      </c>
      <c r="B565" s="7">
        <v>0.3</v>
      </c>
      <c r="C565" s="5" t="s">
        <v>15</v>
      </c>
      <c r="D565" s="6">
        <f>IF(H565=1,1.0,0)</f>
        <v/>
      </c>
      <c r="E565" s="5" t="s">
        <v>15</v>
      </c>
      <c r="F565" s="5" t="s">
        <v>15</v>
      </c>
      <c r="G565" s="5" t="s">
        <v>15</v>
      </c>
      <c r="H565" s="8">
        <f>IF(OR(LOOKUP(A565,characters!A:A,characters!B:B)=-1, LOOKUP(A565,characters!A:A,characters!B:B)+0.1&gt;=B565),1,0)</f>
        <v/>
      </c>
    </row>
    <row r="566" spans="1:8">
      <c r="A566" s="4" t="s">
        <v>45</v>
      </c>
      <c r="B566" s="7">
        <v>0.3</v>
      </c>
      <c r="C566" s="5" t="s">
        <v>15</v>
      </c>
      <c r="D566" s="6">
        <f>IF(H566=1,1.0,0)</f>
        <v/>
      </c>
      <c r="E566" s="5" t="s">
        <v>15</v>
      </c>
      <c r="F566" s="6">
        <f>IF(H566=1,1.0,0)</f>
        <v/>
      </c>
      <c r="G566" s="5" t="s">
        <v>15</v>
      </c>
      <c r="H566" s="8">
        <f>IF(OR(LOOKUP(A566,characters!A:A,characters!B:B)=-1, LOOKUP(A566,characters!A:A,characters!B:B)+0.1&gt;=B566),1,0)</f>
        <v/>
      </c>
    </row>
    <row r="567" spans="1:8">
      <c r="A567" s="4" t="s">
        <v>39</v>
      </c>
      <c r="B567" s="7">
        <v>0.3</v>
      </c>
      <c r="C567" s="5" t="s">
        <v>15</v>
      </c>
      <c r="D567" s="6">
        <f>IF(H567=1,1.0,0)</f>
        <v/>
      </c>
      <c r="E567" s="5" t="s">
        <v>15</v>
      </c>
      <c r="F567" s="5" t="s">
        <v>15</v>
      </c>
      <c r="G567" s="6">
        <f>IF(H567=1,1.0,0)</f>
        <v/>
      </c>
      <c r="H567" s="8">
        <f>IF(OR(LOOKUP(A567,characters!A:A,characters!B:B)=-1, LOOKUP(A567,characters!A:A,characters!B:B)+0.1&gt;=B567),1,0)</f>
        <v/>
      </c>
    </row>
    <row r="568" spans="1:8">
      <c r="A568" s="4" t="s">
        <v>66</v>
      </c>
      <c r="B568" s="7">
        <v>0.3</v>
      </c>
      <c r="C568" s="6">
        <f>IF(H568=1,1.0,0)</f>
        <v/>
      </c>
      <c r="D568" s="5" t="s">
        <v>15</v>
      </c>
      <c r="E568" s="5" t="s">
        <v>15</v>
      </c>
      <c r="F568" s="5" t="s">
        <v>15</v>
      </c>
      <c r="G568" s="5" t="s">
        <v>15</v>
      </c>
      <c r="H568" s="8">
        <f>IF(OR(LOOKUP(A568,characters!A:A,characters!B:B)=-1, LOOKUP(A568,characters!A:A,characters!B:B)+0.1&gt;=B568),1,0)</f>
        <v/>
      </c>
    </row>
    <row r="569" spans="1:8">
      <c r="A569" s="4" t="s">
        <v>50</v>
      </c>
      <c r="B569" s="7">
        <v>0.1</v>
      </c>
      <c r="C569" s="5" t="s">
        <v>15</v>
      </c>
      <c r="D569" s="6">
        <f>IF(H569=1,0.99,0)</f>
        <v/>
      </c>
      <c r="E569" s="5" t="s">
        <v>15</v>
      </c>
      <c r="F569" s="6">
        <f>IF(H569=1,1.0,0)</f>
        <v/>
      </c>
      <c r="G569" s="5" t="s">
        <v>15</v>
      </c>
      <c r="H569" s="8">
        <f>IF(OR(LOOKUP(A569,characters!A:A,characters!B:B)=-1, LOOKUP(A569,characters!A:A,characters!B:B)+0.1&gt;=B569),1,0)</f>
        <v/>
      </c>
    </row>
    <row r="570" spans="1:8">
      <c r="A570" s="4" t="s">
        <v>60</v>
      </c>
      <c r="B570" s="7">
        <v>0.3</v>
      </c>
      <c r="C570" s="5" t="s">
        <v>15</v>
      </c>
      <c r="D570" s="6">
        <f>IF(H570=1,1.0,0)</f>
        <v/>
      </c>
      <c r="E570" s="5" t="s">
        <v>15</v>
      </c>
      <c r="F570" s="5" t="s">
        <v>15</v>
      </c>
      <c r="G570" s="5" t="s">
        <v>15</v>
      </c>
      <c r="H570" s="8">
        <f>IF(OR(LOOKUP(A570,characters!A:A,characters!B:B)=-1, LOOKUP(A570,characters!A:A,characters!B:B)+0.1&gt;=B570),1,0)</f>
        <v/>
      </c>
    </row>
    <row r="571" spans="1:8">
      <c r="A571" s="4" t="s">
        <v>51</v>
      </c>
      <c r="B571" s="7">
        <v>0.3</v>
      </c>
      <c r="C571" s="5" t="s">
        <v>15</v>
      </c>
      <c r="D571" s="6">
        <f>IF(H571=1,1.0,0)</f>
        <v/>
      </c>
      <c r="E571" s="5" t="s">
        <v>15</v>
      </c>
      <c r="F571" s="6">
        <f>IF(H571=1,1.0,0)</f>
        <v/>
      </c>
      <c r="G571" s="5" t="s">
        <v>15</v>
      </c>
      <c r="H571" s="8">
        <f>IF(OR(LOOKUP(A571,characters!A:A,characters!B:B)=-1, LOOKUP(A571,characters!A:A,characters!B:B)+0.1&gt;=B571),1,0)</f>
        <v/>
      </c>
    </row>
    <row r="572" spans="1:8">
      <c r="A572" s="4" t="s">
        <v>27</v>
      </c>
      <c r="B572" s="7">
        <v>0.3</v>
      </c>
      <c r="C572" s="5" t="s">
        <v>15</v>
      </c>
      <c r="D572" s="6">
        <f>IF(H572=1,1.0,0)</f>
        <v/>
      </c>
      <c r="E572" s="5" t="s">
        <v>15</v>
      </c>
      <c r="F572" s="5" t="s">
        <v>15</v>
      </c>
      <c r="G572" s="6">
        <f>IF(H572=1,1.0,0)</f>
        <v/>
      </c>
      <c r="H572" s="8">
        <f>IF(OR(LOOKUP(A572,characters!A:A,characters!B:B)=-1, LOOKUP(A572,characters!A:A,characters!B:B)+0.1&gt;=B572),1,0)</f>
        <v/>
      </c>
    </row>
    <row r="573" spans="1:8">
      <c r="A573" s="4" t="s">
        <v>33</v>
      </c>
      <c r="B573" s="7">
        <v>0.3</v>
      </c>
      <c r="C573" s="5" t="s">
        <v>15</v>
      </c>
      <c r="D573" s="6">
        <f>IF(H573=1,1.0,0)</f>
        <v/>
      </c>
      <c r="E573" s="5" t="s">
        <v>15</v>
      </c>
      <c r="F573" s="5" t="s">
        <v>15</v>
      </c>
      <c r="G573" s="5" t="s">
        <v>15</v>
      </c>
      <c r="H573" s="8">
        <f>IF(OR(LOOKUP(A573,characters!A:A,characters!B:B)=-1, LOOKUP(A573,characters!A:A,characters!B:B)+0.1&gt;=B573),1,0)</f>
        <v/>
      </c>
    </row>
    <row r="580" spans="1:11">
      <c r="A580" s="3" t="s">
        <v>67</v>
      </c>
    </row>
    <row r="581" spans="1:11">
      <c r="A581" s="3" t="s">
        <v>8</v>
      </c>
      <c r="B581" s="3" t="s">
        <v>9</v>
      </c>
      <c r="C581" s="3" t="s">
        <v>24</v>
      </c>
      <c r="D581" s="3" t="s">
        <v>25</v>
      </c>
      <c r="E581" s="3" t="s">
        <v>11</v>
      </c>
      <c r="F581" s="3" t="s">
        <v>12</v>
      </c>
      <c r="G581" s="3" t="s">
        <v>13</v>
      </c>
      <c r="H581" s="3" t="s">
        <v>10</v>
      </c>
      <c r="I581" s="3" t="s">
        <v>43</v>
      </c>
      <c r="J581" s="3" t="s">
        <v>44</v>
      </c>
    </row>
    <row r="582" spans="1:11">
      <c r="A582" s="4" t="s">
        <v>14</v>
      </c>
      <c r="B582" s="5" t="s">
        <v>15</v>
      </c>
      <c r="C582" s="6">
        <f>IF(SUM(K583:K590)=0,0,SUM(C583:C590)/SUM(K583:K590))</f>
        <v/>
      </c>
      <c r="D582" s="6">
        <f>IF(SUM(K583:K590)=0,0,SUM(D583:D590)/SUM(K583:K590))</f>
        <v/>
      </c>
      <c r="E582" s="6">
        <f>IF(SUM(K583:K590)=0,0,SUM(E583:E590)/SUM(K583:K590))</f>
        <v/>
      </c>
      <c r="F582" s="6">
        <f>IF(SUM(K583:K590)=0,0,SUM(F583:F590)/SUM(K583:K590))</f>
        <v/>
      </c>
      <c r="G582" s="6">
        <f>IF(SUM(K583:K590)=0,0,SUM(G583:G590)/SUM(K583:K590))</f>
        <v/>
      </c>
      <c r="H582" s="6">
        <f>IF(SUM(K583:K590)=0,0,SUM(H583:H590)/SUM(K583:K590))</f>
        <v/>
      </c>
      <c r="I582" s="6">
        <f>IF(SUM(K583:K590)=0,0,SUM(I583:I590)/SUM(K583:K590))</f>
        <v/>
      </c>
      <c r="J582" s="6">
        <f>IF(SUM(K583:K590)=0,0,SUM(J583:J590)/SUM(K583:K590))</f>
        <v/>
      </c>
    </row>
    <row r="583" spans="1:11">
      <c r="A583" s="4" t="s">
        <v>46</v>
      </c>
      <c r="B583" s="7">
        <v>0</v>
      </c>
      <c r="C583" s="6">
        <f>IF(K583=1,1.0,0)</f>
        <v/>
      </c>
      <c r="D583" s="6">
        <f>IF(K583=1,1.0,0)</f>
        <v/>
      </c>
      <c r="E583" s="6">
        <f>IF(K583=1,0.9,0)</f>
        <v/>
      </c>
      <c r="F583" s="6">
        <f>IF(K583=1,0.8,0)</f>
        <v/>
      </c>
      <c r="G583" s="6">
        <f>IF(K583=1,0.8,0)</f>
        <v/>
      </c>
      <c r="H583" s="5" t="s">
        <v>15</v>
      </c>
      <c r="I583" s="5" t="s">
        <v>15</v>
      </c>
      <c r="J583" s="5" t="s">
        <v>15</v>
      </c>
      <c r="K583" s="8">
        <f>IF(OR(LOOKUP(A583,characters!A:A,characters!B:B)=-1, LOOKUP(A583,characters!A:A,characters!B:B)+0.1&gt;=B583),1,0)</f>
        <v/>
      </c>
    </row>
    <row r="584" spans="1:11">
      <c r="A584" s="4" t="s">
        <v>47</v>
      </c>
      <c r="B584" s="7">
        <v>0</v>
      </c>
      <c r="C584" s="6">
        <f>IF(K584=1,1.0,0)</f>
        <v/>
      </c>
      <c r="D584" s="6">
        <f>IF(K584=1,1.0,0)</f>
        <v/>
      </c>
      <c r="E584" s="6">
        <f>IF(K584=1,0.9,0)</f>
        <v/>
      </c>
      <c r="F584" s="6">
        <f>IF(K584=1,0.8,0)</f>
        <v/>
      </c>
      <c r="G584" s="6">
        <f>IF(K584=1,0.8,0)</f>
        <v/>
      </c>
      <c r="H584" s="5" t="s">
        <v>15</v>
      </c>
      <c r="I584" s="5" t="s">
        <v>15</v>
      </c>
      <c r="J584" s="5" t="s">
        <v>15</v>
      </c>
      <c r="K584" s="8">
        <f>IF(OR(LOOKUP(A584,characters!A:A,characters!B:B)=-1, LOOKUP(A584,characters!A:A,characters!B:B)+0.1&gt;=B584),1,0)</f>
        <v/>
      </c>
    </row>
    <row r="585" spans="1:11">
      <c r="A585" s="4" t="s">
        <v>28</v>
      </c>
      <c r="B585" s="7">
        <v>0</v>
      </c>
      <c r="C585" s="6">
        <f>IF(K585=1,1.0,0)</f>
        <v/>
      </c>
      <c r="D585" s="6">
        <f>IF(K585=1,1.0,0)</f>
        <v/>
      </c>
      <c r="E585" s="6">
        <f>IF(K585=1,1.0,0)</f>
        <v/>
      </c>
      <c r="F585" s="6">
        <f>IF(K585=1,0.8,0)</f>
        <v/>
      </c>
      <c r="G585" s="6">
        <f>IF(K585=1,0.9,0)</f>
        <v/>
      </c>
      <c r="H585" s="6">
        <f>IF(K585=1,1.0,0)</f>
        <v/>
      </c>
      <c r="I585" s="5" t="s">
        <v>15</v>
      </c>
      <c r="J585" s="5" t="s">
        <v>15</v>
      </c>
      <c r="K585" s="8">
        <f>IF(OR(LOOKUP(A585,characters!A:A,characters!B:B)=-1, LOOKUP(A585,characters!A:A,characters!B:B)+0.1&gt;=B585),1,0)</f>
        <v/>
      </c>
    </row>
    <row r="586" spans="1:11">
      <c r="A586" s="4" t="s">
        <v>49</v>
      </c>
      <c r="B586" s="7">
        <v>0</v>
      </c>
      <c r="C586" s="6">
        <f>IF(K586=1,1.0,0)</f>
        <v/>
      </c>
      <c r="D586" s="6">
        <f>IF(K586=1,1.0,0)</f>
        <v/>
      </c>
      <c r="E586" s="6">
        <f>IF(K586=1,0.9,0)</f>
        <v/>
      </c>
      <c r="F586" s="6">
        <f>IF(K586=1,0.8,0)</f>
        <v/>
      </c>
      <c r="G586" s="6">
        <f>IF(K586=1,0.8,0)</f>
        <v/>
      </c>
      <c r="H586" s="5" t="s">
        <v>15</v>
      </c>
      <c r="I586" s="5" t="s">
        <v>15</v>
      </c>
      <c r="J586" s="5" t="s">
        <v>15</v>
      </c>
      <c r="K586" s="8">
        <f>IF(OR(LOOKUP(A586,characters!A:A,characters!B:B)=-1, LOOKUP(A586,characters!A:A,characters!B:B)+0.1&gt;=B586),1,0)</f>
        <v/>
      </c>
    </row>
    <row r="587" spans="1:11">
      <c r="A587" s="4" t="s">
        <v>66</v>
      </c>
      <c r="B587" s="7">
        <v>0</v>
      </c>
      <c r="C587" s="6">
        <f>IF(K587=1,1.0,0)</f>
        <v/>
      </c>
      <c r="D587" s="6">
        <f>IF(K587=1,1.0,0)</f>
        <v/>
      </c>
      <c r="E587" s="6">
        <f>IF(K587=1,0.9,0)</f>
        <v/>
      </c>
      <c r="F587" s="6">
        <f>IF(K587=1,0.8,0)</f>
        <v/>
      </c>
      <c r="G587" s="6">
        <f>IF(K587=1,0.8,0)</f>
        <v/>
      </c>
      <c r="H587" s="5" t="s">
        <v>15</v>
      </c>
      <c r="I587" s="5" t="s">
        <v>15</v>
      </c>
      <c r="J587" s="5" t="s">
        <v>15</v>
      </c>
      <c r="K587" s="8">
        <f>IF(OR(LOOKUP(A587,characters!A:A,characters!B:B)=-1, LOOKUP(A587,characters!A:A,characters!B:B)+0.1&gt;=B587),1,0)</f>
        <v/>
      </c>
    </row>
    <row r="588" spans="1:11">
      <c r="A588" s="4" t="s">
        <v>52</v>
      </c>
      <c r="B588" s="7">
        <v>0.2</v>
      </c>
      <c r="C588" s="6">
        <f>IF(K588=1,1.0,0)</f>
        <v/>
      </c>
      <c r="D588" s="6">
        <f>IF(K588=1,1.0,0)</f>
        <v/>
      </c>
      <c r="E588" s="6">
        <f>IF(K588=1,0.9,0)</f>
        <v/>
      </c>
      <c r="F588" s="6">
        <f>IF(K588=1,0.8,0)</f>
        <v/>
      </c>
      <c r="G588" s="6">
        <f>IF(K588=1,0.8,0)</f>
        <v/>
      </c>
      <c r="H588" s="6">
        <f>IF(K588=1,1.0,0)</f>
        <v/>
      </c>
      <c r="I588" s="5" t="s">
        <v>15</v>
      </c>
      <c r="J588" s="5" t="s">
        <v>15</v>
      </c>
      <c r="K588" s="8">
        <f>IF(OR(LOOKUP(A588,characters!A:A,characters!B:B)=-1, LOOKUP(A588,characters!A:A,characters!B:B)+0.1&gt;=B588),1,0)</f>
        <v/>
      </c>
    </row>
    <row r="589" spans="1:11">
      <c r="A589" s="4" t="s">
        <v>53</v>
      </c>
      <c r="B589" s="7">
        <v>0.2</v>
      </c>
      <c r="C589" s="5" t="s">
        <v>15</v>
      </c>
      <c r="D589" s="5" t="s">
        <v>15</v>
      </c>
      <c r="E589" s="6">
        <f>IF(K589=1,1.0,0)</f>
        <v/>
      </c>
      <c r="F589" s="6">
        <f>IF(K589=1,0.7,0)</f>
        <v/>
      </c>
      <c r="G589" s="6">
        <f>IF(K589=1,0.8,0)</f>
        <v/>
      </c>
      <c r="H589" s="6">
        <f>IF(K589=1,0.9,0)</f>
        <v/>
      </c>
      <c r="I589" s="5" t="s">
        <v>15</v>
      </c>
      <c r="J589" s="5" t="s">
        <v>15</v>
      </c>
      <c r="K589" s="8">
        <f>IF(OR(LOOKUP(A589,characters!A:A,characters!B:B)=-1, LOOKUP(A589,characters!A:A,characters!B:B)+0.1&gt;=B589),1,0)</f>
        <v/>
      </c>
    </row>
    <row r="590" spans="1:11">
      <c r="A590" s="4" t="s">
        <v>54</v>
      </c>
      <c r="B590" s="7">
        <v>1.2</v>
      </c>
      <c r="C590" s="6">
        <f>IF(K590=1,0.9,0)</f>
        <v/>
      </c>
      <c r="D590" s="6">
        <f>IF(K590=1,0.9,0)</f>
        <v/>
      </c>
      <c r="E590" s="5" t="s">
        <v>15</v>
      </c>
      <c r="F590" s="6">
        <f>IF(K590=1,0.7,0)</f>
        <v/>
      </c>
      <c r="G590" s="5" t="s">
        <v>15</v>
      </c>
      <c r="H590" s="5" t="s">
        <v>15</v>
      </c>
      <c r="I590" s="6">
        <f>IF(K590=1,1.0,0)</f>
        <v/>
      </c>
      <c r="J590" s="6">
        <f>IF(K590=1,0.8,0)</f>
        <v/>
      </c>
      <c r="K590" s="8">
        <f>IF(OR(LOOKUP(A590,characters!A:A,characters!B:B)=-1, LOOKUP(A590,characters!A:A,characters!B:B)+0.1&gt;=B590),1,0)</f>
        <v/>
      </c>
    </row>
    <row r="592" spans="1:11">
      <c r="A592" s="3" t="s">
        <v>17</v>
      </c>
      <c r="B592" s="3" t="s">
        <v>9</v>
      </c>
      <c r="C592" s="3" t="s">
        <v>24</v>
      </c>
      <c r="D592" s="3" t="s">
        <v>25</v>
      </c>
      <c r="E592" s="3" t="s">
        <v>43</v>
      </c>
      <c r="F592" s="3" t="s">
        <v>10</v>
      </c>
      <c r="G592" s="3" t="s">
        <v>11</v>
      </c>
    </row>
    <row r="593" spans="1:10">
      <c r="A593" s="4" t="s">
        <v>14</v>
      </c>
      <c r="B593" s="5" t="s">
        <v>15</v>
      </c>
      <c r="C593" s="6">
        <f>IF(SUM(H594:H601)=0,0,SUM(C594:C601)/SUM(H594:H601))</f>
        <v/>
      </c>
      <c r="D593" s="6">
        <f>IF(SUM(H594:H601)=0,0,SUM(D594:D601)/SUM(H594:H601))</f>
        <v/>
      </c>
      <c r="E593" s="6">
        <f>IF(SUM(H594:H601)=0,0,SUM(E594:E601)/SUM(H594:H601))</f>
        <v/>
      </c>
      <c r="F593" s="6">
        <f>IF(SUM(H594:H601)=0,0,SUM(F594:F601)/SUM(H594:H601))</f>
        <v/>
      </c>
      <c r="G593" s="6">
        <f>IF(SUM(H594:H601)=0,0,SUM(G594:G601)/SUM(H594:H601))</f>
        <v/>
      </c>
    </row>
    <row r="594" spans="1:10">
      <c r="A594" s="4" t="s">
        <v>46</v>
      </c>
      <c r="B594" s="7">
        <v>0</v>
      </c>
      <c r="C594" s="6">
        <f>IF(H594=1,1.0,0)</f>
        <v/>
      </c>
      <c r="D594" s="6">
        <f>IF(H594=1,0.99,0)</f>
        <v/>
      </c>
      <c r="E594" s="5" t="s">
        <v>15</v>
      </c>
      <c r="F594" s="5" t="s">
        <v>15</v>
      </c>
      <c r="G594" s="5" t="s">
        <v>15</v>
      </c>
      <c r="H594" s="8">
        <f>IF(OR(LOOKUP(A594,characters!A:A,characters!B:B)=-1, LOOKUP(A594,characters!A:A,characters!B:B)+0.1&gt;=B594),1,0)</f>
        <v/>
      </c>
    </row>
    <row r="595" spans="1:10">
      <c r="A595" s="4" t="s">
        <v>54</v>
      </c>
      <c r="B595" s="7">
        <v>1.2</v>
      </c>
      <c r="C595" s="5" t="s">
        <v>15</v>
      </c>
      <c r="D595" s="6">
        <f>IF(H595=1,0.9,0)</f>
        <v/>
      </c>
      <c r="E595" s="6">
        <f>IF(H595=1,1.0,0)</f>
        <v/>
      </c>
      <c r="F595" s="5" t="s">
        <v>15</v>
      </c>
      <c r="G595" s="5" t="s">
        <v>15</v>
      </c>
      <c r="H595" s="8">
        <f>IF(OR(LOOKUP(A595,characters!A:A,characters!B:B)=-1, LOOKUP(A595,characters!A:A,characters!B:B)+0.1&gt;=B595),1,0)</f>
        <v/>
      </c>
    </row>
    <row r="596" spans="1:10">
      <c r="A596" s="4" t="s">
        <v>52</v>
      </c>
      <c r="B596" s="7">
        <v>0.2</v>
      </c>
      <c r="C596" s="6">
        <f>IF(H596=1,1.0,0)</f>
        <v/>
      </c>
      <c r="D596" s="5" t="s">
        <v>15</v>
      </c>
      <c r="E596" s="5" t="s">
        <v>15</v>
      </c>
      <c r="F596" s="6">
        <f>IF(H596=1,1.0,0)</f>
        <v/>
      </c>
      <c r="G596" s="5" t="s">
        <v>15</v>
      </c>
      <c r="H596" s="8">
        <f>IF(OR(LOOKUP(A596,characters!A:A,characters!B:B)=-1, LOOKUP(A596,characters!A:A,characters!B:B)+0.1&gt;=B596),1,0)</f>
        <v/>
      </c>
    </row>
    <row r="597" spans="1:10">
      <c r="A597" s="4" t="s">
        <v>47</v>
      </c>
      <c r="B597" s="7">
        <v>0</v>
      </c>
      <c r="C597" s="6">
        <f>IF(H597=1,1.0,0)</f>
        <v/>
      </c>
      <c r="D597" s="6">
        <f>IF(H597=1,0.99,0)</f>
        <v/>
      </c>
      <c r="E597" s="5" t="s">
        <v>15</v>
      </c>
      <c r="F597" s="5" t="s">
        <v>15</v>
      </c>
      <c r="G597" s="5" t="s">
        <v>15</v>
      </c>
      <c r="H597" s="8">
        <f>IF(OR(LOOKUP(A597,characters!A:A,characters!B:B)=-1, LOOKUP(A597,characters!A:A,characters!B:B)+0.1&gt;=B597),1,0)</f>
        <v/>
      </c>
    </row>
    <row r="598" spans="1:10">
      <c r="A598" s="4" t="s">
        <v>28</v>
      </c>
      <c r="B598" s="7">
        <v>0</v>
      </c>
      <c r="C598" s="6">
        <f>IF(H598=1,1.0,0)</f>
        <v/>
      </c>
      <c r="D598" s="6">
        <f>IF(H598=1,0.99,0)</f>
        <v/>
      </c>
      <c r="E598" s="5" t="s">
        <v>15</v>
      </c>
      <c r="F598" s="6">
        <f>IF(H598=1,0.99,0)</f>
        <v/>
      </c>
      <c r="G598" s="5" t="s">
        <v>15</v>
      </c>
      <c r="H598" s="8">
        <f>IF(OR(LOOKUP(A598,characters!A:A,characters!B:B)=-1, LOOKUP(A598,characters!A:A,characters!B:B)+0.1&gt;=B598),1,0)</f>
        <v/>
      </c>
    </row>
    <row r="599" spans="1:10">
      <c r="A599" s="4" t="s">
        <v>49</v>
      </c>
      <c r="B599" s="7">
        <v>0</v>
      </c>
      <c r="C599" s="6">
        <f>IF(H599=1,1.0,0)</f>
        <v/>
      </c>
      <c r="D599" s="6">
        <f>IF(H599=1,0.99,0)</f>
        <v/>
      </c>
      <c r="E599" s="5" t="s">
        <v>15</v>
      </c>
      <c r="F599" s="5" t="s">
        <v>15</v>
      </c>
      <c r="G599" s="5" t="s">
        <v>15</v>
      </c>
      <c r="H599" s="8">
        <f>IF(OR(LOOKUP(A599,characters!A:A,characters!B:B)=-1, LOOKUP(A599,characters!A:A,characters!B:B)+0.1&gt;=B599),1,0)</f>
        <v/>
      </c>
    </row>
    <row r="600" spans="1:10">
      <c r="A600" s="4" t="s">
        <v>66</v>
      </c>
      <c r="B600" s="7">
        <v>0</v>
      </c>
      <c r="C600" s="6">
        <f>IF(H600=1,1.0,0)</f>
        <v/>
      </c>
      <c r="D600" s="6">
        <f>IF(H600=1,0.99,0)</f>
        <v/>
      </c>
      <c r="E600" s="5" t="s">
        <v>15</v>
      </c>
      <c r="F600" s="5" t="s">
        <v>15</v>
      </c>
      <c r="G600" s="5" t="s">
        <v>15</v>
      </c>
      <c r="H600" s="8">
        <f>IF(OR(LOOKUP(A600,characters!A:A,characters!B:B)=-1, LOOKUP(A600,characters!A:A,characters!B:B)+0.1&gt;=B600),1,0)</f>
        <v/>
      </c>
    </row>
    <row r="601" spans="1:10">
      <c r="A601" s="4" t="s">
        <v>53</v>
      </c>
      <c r="B601" s="7">
        <v>0.2</v>
      </c>
      <c r="C601" s="5" t="s">
        <v>15</v>
      </c>
      <c r="D601" s="5" t="s">
        <v>15</v>
      </c>
      <c r="E601" s="5" t="s">
        <v>15</v>
      </c>
      <c r="F601" s="6">
        <f>IF(H601=1,0.99,0)</f>
        <v/>
      </c>
      <c r="G601" s="6">
        <f>IF(H601=1,1.0,0)</f>
        <v/>
      </c>
      <c r="H601" s="8">
        <f>IF(OR(LOOKUP(A601,characters!A:A,characters!B:B)=-1, LOOKUP(A601,characters!A:A,characters!B:B)+0.1&gt;=B601),1,0)</f>
        <v/>
      </c>
    </row>
    <row r="603" spans="1:10">
      <c r="A603" s="3" t="s">
        <v>18</v>
      </c>
      <c r="B603" s="3" t="s">
        <v>9</v>
      </c>
      <c r="C603" s="3" t="s">
        <v>19</v>
      </c>
      <c r="D603" s="3" t="s">
        <v>43</v>
      </c>
      <c r="E603" s="3" t="s">
        <v>29</v>
      </c>
      <c r="F603" s="3" t="s">
        <v>41</v>
      </c>
      <c r="G603" s="3" t="s">
        <v>11</v>
      </c>
      <c r="H603" s="3" t="s">
        <v>20</v>
      </c>
      <c r="I603" s="3" t="s">
        <v>55</v>
      </c>
    </row>
    <row r="604" spans="1:10">
      <c r="A604" s="4" t="s">
        <v>14</v>
      </c>
      <c r="B604" s="5" t="s">
        <v>15</v>
      </c>
      <c r="C604" s="6">
        <f>IF(SUM(J605:J612)=0,0,SUM(C605:C612)/SUM(J605:J612))</f>
        <v/>
      </c>
      <c r="D604" s="6">
        <f>IF(SUM(J605:J612)=0,0,SUM(D605:D612)/SUM(J605:J612))</f>
        <v/>
      </c>
      <c r="E604" s="6">
        <f>IF(SUM(J605:J612)=0,0,SUM(E605:E612)/SUM(J605:J612))</f>
        <v/>
      </c>
      <c r="F604" s="6">
        <f>IF(SUM(J605:J612)=0,0,SUM(F605:F612)/SUM(J605:J612))</f>
        <v/>
      </c>
      <c r="G604" s="6">
        <f>IF(SUM(J605:J612)=0,0,SUM(G605:G612)/SUM(J605:J612))</f>
        <v/>
      </c>
      <c r="H604" s="6">
        <f>IF(SUM(J605:J612)=0,0,SUM(H605:H612)/SUM(J605:J612))</f>
        <v/>
      </c>
      <c r="I604" s="6">
        <f>IF(SUM(J605:J612)=0,0,SUM(I605:I612)/SUM(J605:J612))</f>
        <v/>
      </c>
    </row>
    <row r="605" spans="1:10">
      <c r="A605" s="4" t="s">
        <v>46</v>
      </c>
      <c r="B605" s="7">
        <v>0</v>
      </c>
      <c r="C605" s="6">
        <f>IF(J605=1,1.0,0)</f>
        <v/>
      </c>
      <c r="D605" s="5" t="s">
        <v>15</v>
      </c>
      <c r="E605" s="5" t="s">
        <v>15</v>
      </c>
      <c r="F605" s="5" t="s">
        <v>15</v>
      </c>
      <c r="G605" s="5" t="s">
        <v>15</v>
      </c>
      <c r="H605" s="5" t="s">
        <v>15</v>
      </c>
      <c r="I605" s="5" t="s">
        <v>15</v>
      </c>
      <c r="J605" s="8">
        <f>IF(OR(LOOKUP(A605,characters!A:A,characters!B:B)=-1, LOOKUP(A605,characters!A:A,characters!B:B)+0.1&gt;=B605),1,0)</f>
        <v/>
      </c>
    </row>
    <row r="606" spans="1:10">
      <c r="A606" s="4" t="s">
        <v>54</v>
      </c>
      <c r="B606" s="7">
        <v>1.2</v>
      </c>
      <c r="C606" s="5" t="s">
        <v>15</v>
      </c>
      <c r="D606" s="6">
        <f>IF(J606=1,1.0,0)</f>
        <v/>
      </c>
      <c r="E606" s="6">
        <f>IF(J606=1,1.0,0)</f>
        <v/>
      </c>
      <c r="F606" s="5" t="s">
        <v>15</v>
      </c>
      <c r="G606" s="5" t="s">
        <v>15</v>
      </c>
      <c r="H606" s="5" t="s">
        <v>15</v>
      </c>
      <c r="I606" s="5" t="s">
        <v>15</v>
      </c>
      <c r="J606" s="8">
        <f>IF(OR(LOOKUP(A606,characters!A:A,characters!B:B)=-1, LOOKUP(A606,characters!A:A,characters!B:B)+0.1&gt;=B606),1,0)</f>
        <v/>
      </c>
    </row>
    <row r="607" spans="1:10">
      <c r="A607" s="4" t="s">
        <v>52</v>
      </c>
      <c r="B607" s="7">
        <v>0.2</v>
      </c>
      <c r="C607" s="5" t="s">
        <v>15</v>
      </c>
      <c r="D607" s="5" t="s">
        <v>15</v>
      </c>
      <c r="E607" s="5" t="s">
        <v>15</v>
      </c>
      <c r="F607" s="6">
        <f>IF(J607=1,1.0,0)</f>
        <v/>
      </c>
      <c r="G607" s="6">
        <f>IF(J607=1,0.9,0)</f>
        <v/>
      </c>
      <c r="H607" s="6">
        <f>IF(J607=1,0.9,0)</f>
        <v/>
      </c>
      <c r="I607" s="5" t="s">
        <v>15</v>
      </c>
      <c r="J607" s="8">
        <f>IF(OR(LOOKUP(A607,characters!A:A,characters!B:B)=-1, LOOKUP(A607,characters!A:A,characters!B:B)+0.1&gt;=B607),1,0)</f>
        <v/>
      </c>
    </row>
    <row r="608" spans="1:10">
      <c r="A608" s="4" t="s">
        <v>47</v>
      </c>
      <c r="B608" s="7">
        <v>0</v>
      </c>
      <c r="C608" s="5" t="s">
        <v>15</v>
      </c>
      <c r="D608" s="5" t="s">
        <v>15</v>
      </c>
      <c r="E608" s="6">
        <f>IF(J608=1,1.0,0)</f>
        <v/>
      </c>
      <c r="F608" s="5" t="s">
        <v>15</v>
      </c>
      <c r="G608" s="5" t="s">
        <v>15</v>
      </c>
      <c r="H608" s="5" t="s">
        <v>15</v>
      </c>
      <c r="I608" s="5" t="s">
        <v>15</v>
      </c>
      <c r="J608" s="8">
        <f>IF(OR(LOOKUP(A608,characters!A:A,characters!B:B)=-1, LOOKUP(A608,characters!A:A,characters!B:B)+0.1&gt;=B608),1,0)</f>
        <v/>
      </c>
    </row>
    <row r="609" spans="1:10">
      <c r="A609" s="4" t="s">
        <v>28</v>
      </c>
      <c r="B609" s="7">
        <v>0</v>
      </c>
      <c r="C609" s="5" t="s">
        <v>15</v>
      </c>
      <c r="D609" s="5" t="s">
        <v>15</v>
      </c>
      <c r="E609" s="6">
        <f>IF(J609=1,1.0,0)</f>
        <v/>
      </c>
      <c r="F609" s="5" t="s">
        <v>15</v>
      </c>
      <c r="G609" s="6">
        <f>IF(J609=1,1.0,0)</f>
        <v/>
      </c>
      <c r="H609" s="6">
        <f>IF(J609=1,1.0,0)</f>
        <v/>
      </c>
      <c r="I609" s="5" t="s">
        <v>15</v>
      </c>
      <c r="J609" s="8">
        <f>IF(OR(LOOKUP(A609,characters!A:A,characters!B:B)=-1, LOOKUP(A609,characters!A:A,characters!B:B)+0.1&gt;=B609),1,0)</f>
        <v/>
      </c>
    </row>
    <row r="610" spans="1:10">
      <c r="A610" s="4" t="s">
        <v>49</v>
      </c>
      <c r="B610" s="7">
        <v>0</v>
      </c>
      <c r="C610" s="5" t="s">
        <v>15</v>
      </c>
      <c r="D610" s="5" t="s">
        <v>15</v>
      </c>
      <c r="E610" s="5" t="s">
        <v>15</v>
      </c>
      <c r="F610" s="5" t="s">
        <v>15</v>
      </c>
      <c r="G610" s="5" t="s">
        <v>15</v>
      </c>
      <c r="H610" s="5" t="s">
        <v>15</v>
      </c>
      <c r="I610" s="6">
        <f>IF(J610=1,1.0,0)</f>
        <v/>
      </c>
      <c r="J610" s="8">
        <f>IF(OR(LOOKUP(A610,characters!A:A,characters!B:B)=-1, LOOKUP(A610,characters!A:A,characters!B:B)+0.1&gt;=B610),1,0)</f>
        <v/>
      </c>
    </row>
    <row r="611" spans="1:10">
      <c r="A611" s="4" t="s">
        <v>66</v>
      </c>
      <c r="B611" s="7">
        <v>0</v>
      </c>
      <c r="C611" s="6">
        <f>IF(J611=1,1.0,0)</f>
        <v/>
      </c>
      <c r="D611" s="5" t="s">
        <v>15</v>
      </c>
      <c r="E611" s="5" t="s">
        <v>15</v>
      </c>
      <c r="F611" s="5" t="s">
        <v>15</v>
      </c>
      <c r="G611" s="5" t="s">
        <v>15</v>
      </c>
      <c r="H611" s="5" t="s">
        <v>15</v>
      </c>
      <c r="I611" s="5" t="s">
        <v>15</v>
      </c>
      <c r="J611" s="8">
        <f>IF(OR(LOOKUP(A611,characters!A:A,characters!B:B)=-1, LOOKUP(A611,characters!A:A,characters!B:B)+0.1&gt;=B611),1,0)</f>
        <v/>
      </c>
    </row>
    <row r="612" spans="1:10">
      <c r="A612" s="4" t="s">
        <v>53</v>
      </c>
      <c r="B612" s="7">
        <v>0.2</v>
      </c>
      <c r="C612" s="6">
        <f>IF(J612=1,0.99,0)</f>
        <v/>
      </c>
      <c r="D612" s="5" t="s">
        <v>15</v>
      </c>
      <c r="E612" s="5" t="s">
        <v>15</v>
      </c>
      <c r="F612" s="5" t="s">
        <v>15</v>
      </c>
      <c r="G612" s="6">
        <f>IF(J612=1,1.0,0)</f>
        <v/>
      </c>
      <c r="H612" s="5" t="s">
        <v>15</v>
      </c>
      <c r="I612" s="5" t="s">
        <v>15</v>
      </c>
      <c r="J612" s="8">
        <f>IF(OR(LOOKUP(A612,characters!A:A,characters!B:B)=-1, LOOKUP(A612,characters!A:A,characters!B:B)+0.1&gt;=B612),1,0)</f>
        <v/>
      </c>
    </row>
    <row r="614" spans="1:10">
      <c r="A614" s="3" t="s">
        <v>21</v>
      </c>
      <c r="B614" s="3" t="s">
        <v>9</v>
      </c>
      <c r="C614" s="3" t="s">
        <v>30</v>
      </c>
      <c r="D614" s="3" t="s">
        <v>43</v>
      </c>
      <c r="E614" s="3" t="s">
        <v>56</v>
      </c>
      <c r="F614" s="3" t="s">
        <v>22</v>
      </c>
    </row>
    <row r="615" spans="1:10">
      <c r="A615" s="4" t="s">
        <v>14</v>
      </c>
      <c r="B615" s="5" t="s">
        <v>15</v>
      </c>
      <c r="C615" s="6">
        <f>IF(SUM(G616:G623)=0,0,SUM(C616:C623)/SUM(G616:G623))</f>
        <v/>
      </c>
      <c r="D615" s="6">
        <f>IF(SUM(G616:G623)=0,0,SUM(D616:D623)/SUM(G616:G623))</f>
        <v/>
      </c>
      <c r="E615" s="6">
        <f>IF(SUM(G616:G623)=0,0,SUM(E616:E623)/SUM(G616:G623))</f>
        <v/>
      </c>
      <c r="F615" s="6">
        <f>IF(SUM(G616:G623)=0,0,SUM(F616:F623)/SUM(G616:G623))</f>
        <v/>
      </c>
    </row>
    <row r="616" spans="1:10">
      <c r="A616" s="4" t="s">
        <v>46</v>
      </c>
      <c r="B616" s="7">
        <v>0</v>
      </c>
      <c r="C616" s="6">
        <f>IF(G616=1,1.0,0)</f>
        <v/>
      </c>
      <c r="D616" s="5" t="s">
        <v>15</v>
      </c>
      <c r="E616" s="5" t="s">
        <v>15</v>
      </c>
      <c r="F616" s="5" t="s">
        <v>15</v>
      </c>
      <c r="G616" s="8">
        <f>IF(OR(LOOKUP(A616,characters!A:A,characters!B:B)=-1, LOOKUP(A616,characters!A:A,characters!B:B)+0.1&gt;=B616),1,0)</f>
        <v/>
      </c>
    </row>
    <row r="617" spans="1:10">
      <c r="A617" s="4" t="s">
        <v>54</v>
      </c>
      <c r="B617" s="7">
        <v>1.2</v>
      </c>
      <c r="C617" s="5" t="s">
        <v>15</v>
      </c>
      <c r="D617" s="6">
        <f>IF(G617=1,1.0,0)</f>
        <v/>
      </c>
      <c r="E617" s="6">
        <f>IF(G617=1,1.0,0)</f>
        <v/>
      </c>
      <c r="F617" s="5" t="s">
        <v>15</v>
      </c>
      <c r="G617" s="8">
        <f>IF(OR(LOOKUP(A617,characters!A:A,characters!B:B)=-1, LOOKUP(A617,characters!A:A,characters!B:B)+0.1&gt;=B617),1,0)</f>
        <v/>
      </c>
    </row>
    <row r="618" spans="1:10">
      <c r="A618" s="4" t="s">
        <v>52</v>
      </c>
      <c r="B618" s="7">
        <v>0.2</v>
      </c>
      <c r="C618" s="6">
        <f>IF(G618=1,1.0,0)</f>
        <v/>
      </c>
      <c r="D618" s="5" t="s">
        <v>15</v>
      </c>
      <c r="E618" s="5" t="s">
        <v>15</v>
      </c>
      <c r="F618" s="5" t="s">
        <v>15</v>
      </c>
      <c r="G618" s="8">
        <f>IF(OR(LOOKUP(A618,characters!A:A,characters!B:B)=-1, LOOKUP(A618,characters!A:A,characters!B:B)+0.1&gt;=B618),1,0)</f>
        <v/>
      </c>
    </row>
    <row r="619" spans="1:10">
      <c r="A619" s="4" t="s">
        <v>47</v>
      </c>
      <c r="B619" s="7">
        <v>0</v>
      </c>
      <c r="C619" s="6">
        <f>IF(G619=1,1.0,0)</f>
        <v/>
      </c>
      <c r="D619" s="5" t="s">
        <v>15</v>
      </c>
      <c r="E619" s="5" t="s">
        <v>15</v>
      </c>
      <c r="F619" s="5" t="s">
        <v>15</v>
      </c>
      <c r="G619" s="8">
        <f>IF(OR(LOOKUP(A619,characters!A:A,characters!B:B)=-1, LOOKUP(A619,characters!A:A,characters!B:B)+0.1&gt;=B619),1,0)</f>
        <v/>
      </c>
    </row>
    <row r="620" spans="1:10">
      <c r="A620" s="4" t="s">
        <v>28</v>
      </c>
      <c r="B620" s="7">
        <v>0</v>
      </c>
      <c r="C620" s="6">
        <f>IF(G620=1,1.0,0)</f>
        <v/>
      </c>
      <c r="D620" s="5" t="s">
        <v>15</v>
      </c>
      <c r="E620" s="5" t="s">
        <v>15</v>
      </c>
      <c r="F620" s="5" t="s">
        <v>15</v>
      </c>
      <c r="G620" s="8">
        <f>IF(OR(LOOKUP(A620,characters!A:A,characters!B:B)=-1, LOOKUP(A620,characters!A:A,characters!B:B)+0.1&gt;=B620),1,0)</f>
        <v/>
      </c>
    </row>
    <row r="621" spans="1:10">
      <c r="A621" s="4" t="s">
        <v>49</v>
      </c>
      <c r="B621" s="7">
        <v>0</v>
      </c>
      <c r="C621" s="6">
        <f>IF(G621=1,1.0,0)</f>
        <v/>
      </c>
      <c r="D621" s="5" t="s">
        <v>15</v>
      </c>
      <c r="E621" s="5" t="s">
        <v>15</v>
      </c>
      <c r="F621" s="5" t="s">
        <v>15</v>
      </c>
      <c r="G621" s="8">
        <f>IF(OR(LOOKUP(A621,characters!A:A,characters!B:B)=-1, LOOKUP(A621,characters!A:A,characters!B:B)+0.1&gt;=B621),1,0)</f>
        <v/>
      </c>
    </row>
    <row r="622" spans="1:10">
      <c r="A622" s="4" t="s">
        <v>66</v>
      </c>
      <c r="B622" s="7">
        <v>0</v>
      </c>
      <c r="C622" s="6">
        <f>IF(G622=1,1.0,0)</f>
        <v/>
      </c>
      <c r="D622" s="5" t="s">
        <v>15</v>
      </c>
      <c r="E622" s="5" t="s">
        <v>15</v>
      </c>
      <c r="F622" s="5" t="s">
        <v>15</v>
      </c>
      <c r="G622" s="8">
        <f>IF(OR(LOOKUP(A622,characters!A:A,characters!B:B)=-1, LOOKUP(A622,characters!A:A,characters!B:B)+0.1&gt;=B622),1,0)</f>
        <v/>
      </c>
    </row>
    <row r="623" spans="1:10">
      <c r="A623" s="4" t="s">
        <v>53</v>
      </c>
      <c r="B623" s="7">
        <v>0.2</v>
      </c>
      <c r="C623" s="5" t="s">
        <v>15</v>
      </c>
      <c r="D623" s="5" t="s">
        <v>15</v>
      </c>
      <c r="E623" s="6">
        <f>IF(G623=1,1.0,0)</f>
        <v/>
      </c>
      <c r="F623" s="6">
        <f>IF(G623=1,1.0,0)</f>
        <v/>
      </c>
      <c r="G623" s="8">
        <f>IF(OR(LOOKUP(A623,characters!A:A,characters!B:B)=-1, LOOKUP(A623,characters!A:A,characters!B:B)+0.1&gt;=B623),1,0)</f>
        <v/>
      </c>
    </row>
    <row r="630" spans="1:8">
      <c r="A630" s="3" t="s">
        <v>68</v>
      </c>
    </row>
    <row r="631" spans="1:8">
      <c r="A631" s="3" t="s">
        <v>8</v>
      </c>
      <c r="B631" s="3" t="s">
        <v>9</v>
      </c>
      <c r="C631" s="3" t="s">
        <v>43</v>
      </c>
      <c r="D631" s="3" t="s">
        <v>24</v>
      </c>
      <c r="E631" s="3" t="s">
        <v>25</v>
      </c>
      <c r="F631" s="3" t="s">
        <v>44</v>
      </c>
      <c r="G631" s="3" t="s">
        <v>12</v>
      </c>
    </row>
    <row r="632" spans="1:8">
      <c r="A632" s="4" t="s">
        <v>14</v>
      </c>
      <c r="B632" s="5" t="s">
        <v>15</v>
      </c>
      <c r="C632" s="6">
        <f>IF(SUM(H633)=0,0,SUM(C633)/SUM(H633))</f>
        <v/>
      </c>
      <c r="D632" s="6">
        <f>IF(SUM(H633)=0,0,SUM(D633)/SUM(H633))</f>
        <v/>
      </c>
      <c r="E632" s="6">
        <f>IF(SUM(H633)=0,0,SUM(E633)/SUM(H633))</f>
        <v/>
      </c>
      <c r="F632" s="6">
        <f>IF(SUM(H633)=0,0,SUM(F633)/SUM(H633))</f>
        <v/>
      </c>
      <c r="G632" s="6">
        <f>IF(SUM(H633)=0,0,SUM(G633)/SUM(H633))</f>
        <v/>
      </c>
    </row>
    <row r="633" spans="1:8">
      <c r="A633" s="4" t="s">
        <v>54</v>
      </c>
      <c r="B633" s="7">
        <v>0.1</v>
      </c>
      <c r="C633" s="6">
        <f>IF(H633=1,1.0,0)</f>
        <v/>
      </c>
      <c r="D633" s="6">
        <f>IF(H633=1,0.9,0)</f>
        <v/>
      </c>
      <c r="E633" s="6">
        <f>IF(H633=1,0.9,0)</f>
        <v/>
      </c>
      <c r="F633" s="6">
        <f>IF(H633=1,0.8,0)</f>
        <v/>
      </c>
      <c r="G633" s="6">
        <f>IF(H633=1,0.7,0)</f>
        <v/>
      </c>
      <c r="H633" s="8">
        <f>IF(OR(LOOKUP(A633,characters!A:A,characters!B:B)=-1, LOOKUP(A633,characters!A:A,characters!B:B)+0.1&gt;=B633),1,0)</f>
        <v/>
      </c>
    </row>
    <row r="635" spans="1:8">
      <c r="A635" s="3" t="s">
        <v>17</v>
      </c>
      <c r="B635" s="3" t="s">
        <v>9</v>
      </c>
      <c r="C635" s="3" t="s">
        <v>43</v>
      </c>
      <c r="D635" s="3" t="s">
        <v>25</v>
      </c>
    </row>
    <row r="636" spans="1:8">
      <c r="A636" s="4" t="s">
        <v>14</v>
      </c>
      <c r="B636" s="5" t="s">
        <v>15</v>
      </c>
      <c r="C636" s="6">
        <f>IF(SUM(E637)=0,0,SUM(C637)/SUM(E637))</f>
        <v/>
      </c>
      <c r="D636" s="6">
        <f>IF(SUM(E637)=0,0,SUM(D637)/SUM(E637))</f>
        <v/>
      </c>
    </row>
    <row r="637" spans="1:8">
      <c r="A637" s="4" t="s">
        <v>54</v>
      </c>
      <c r="B637" s="7">
        <v>0.1</v>
      </c>
      <c r="C637" s="6">
        <f>IF(E637=1,1.0,0)</f>
        <v/>
      </c>
      <c r="D637" s="6">
        <f>IF(E637=1,0.9,0)</f>
        <v/>
      </c>
      <c r="E637" s="8">
        <f>IF(OR(LOOKUP(A637,characters!A:A,characters!B:B)=-1, LOOKUP(A637,characters!A:A,characters!B:B)+0.1&gt;=B637),1,0)</f>
        <v/>
      </c>
    </row>
    <row r="639" spans="1:8">
      <c r="A639" s="3" t="s">
        <v>18</v>
      </c>
      <c r="B639" s="3" t="s">
        <v>9</v>
      </c>
      <c r="C639" s="3" t="s">
        <v>43</v>
      </c>
      <c r="D639" s="3" t="s">
        <v>29</v>
      </c>
    </row>
    <row r="640" spans="1:8">
      <c r="A640" s="4" t="s">
        <v>14</v>
      </c>
      <c r="B640" s="5" t="s">
        <v>15</v>
      </c>
      <c r="C640" s="6">
        <f>IF(SUM(E641)=0,0,SUM(C641)/SUM(E641))</f>
        <v/>
      </c>
      <c r="D640" s="6">
        <f>IF(SUM(E641)=0,0,SUM(D641)/SUM(E641))</f>
        <v/>
      </c>
    </row>
    <row r="641" spans="1:11">
      <c r="A641" s="4" t="s">
        <v>54</v>
      </c>
      <c r="B641" s="7">
        <v>0.1</v>
      </c>
      <c r="C641" s="6">
        <f>IF(E641=1,1.0,0)</f>
        <v/>
      </c>
      <c r="D641" s="6">
        <f>IF(E641=1,1.0,0)</f>
        <v/>
      </c>
      <c r="E641" s="8">
        <f>IF(OR(LOOKUP(A641,characters!A:A,characters!B:B)=-1, LOOKUP(A641,characters!A:A,characters!B:B)+0.1&gt;=B641),1,0)</f>
        <v/>
      </c>
    </row>
    <row r="643" spans="1:11">
      <c r="A643" s="3" t="s">
        <v>21</v>
      </c>
      <c r="B643" s="3" t="s">
        <v>9</v>
      </c>
      <c r="C643" s="3" t="s">
        <v>43</v>
      </c>
      <c r="D643" s="3" t="s">
        <v>56</v>
      </c>
    </row>
    <row r="644" spans="1:11">
      <c r="A644" s="4" t="s">
        <v>14</v>
      </c>
      <c r="B644" s="5" t="s">
        <v>15</v>
      </c>
      <c r="C644" s="6">
        <f>IF(SUM(E645)=0,0,SUM(C645)/SUM(E645))</f>
        <v/>
      </c>
      <c r="D644" s="6">
        <f>IF(SUM(E645)=0,0,SUM(D645)/SUM(E645))</f>
        <v/>
      </c>
    </row>
    <row r="645" spans="1:11">
      <c r="A645" s="4" t="s">
        <v>54</v>
      </c>
      <c r="B645" s="7">
        <v>0.1</v>
      </c>
      <c r="C645" s="6">
        <f>IF(E645=1,1.0,0)</f>
        <v/>
      </c>
      <c r="D645" s="6">
        <f>IF(E645=1,1.0,0)</f>
        <v/>
      </c>
      <c r="E645" s="8">
        <f>IF(OR(LOOKUP(A645,characters!A:A,characters!B:B)=-1, LOOKUP(A645,characters!A:A,characters!B:B)+0.1&gt;=B645),1,0)</f>
        <v/>
      </c>
    </row>
    <row r="652" spans="1:11">
      <c r="A652" s="3" t="s">
        <v>69</v>
      </c>
    </row>
    <row r="653" spans="1:11">
      <c r="A653" s="3" t="s">
        <v>8</v>
      </c>
      <c r="B653" s="3" t="s">
        <v>9</v>
      </c>
      <c r="C653" s="3" t="s">
        <v>11</v>
      </c>
      <c r="D653" s="3" t="s">
        <v>12</v>
      </c>
      <c r="E653" s="3" t="s">
        <v>13</v>
      </c>
      <c r="F653" s="3" t="s">
        <v>24</v>
      </c>
      <c r="G653" s="3" t="s">
        <v>25</v>
      </c>
      <c r="H653" s="3" t="s">
        <v>10</v>
      </c>
      <c r="I653" s="3" t="s">
        <v>43</v>
      </c>
      <c r="J653" s="3" t="s">
        <v>44</v>
      </c>
    </row>
    <row r="654" spans="1:11">
      <c r="A654" s="4" t="s">
        <v>14</v>
      </c>
      <c r="B654" s="5" t="s">
        <v>15</v>
      </c>
      <c r="C654" s="6">
        <f>IF(SUM(K655:K667)=0,0,SUM(C655:C667)/SUM(K655:K667))</f>
        <v/>
      </c>
      <c r="D654" s="6">
        <f>IF(SUM(K655:K667)=0,0,SUM(D655:D667)/SUM(K655:K667))</f>
        <v/>
      </c>
      <c r="E654" s="6">
        <f>IF(SUM(K655:K667)=0,0,SUM(E655:E667)/SUM(K655:K667))</f>
        <v/>
      </c>
      <c r="F654" s="6">
        <f>IF(SUM(K655:K667)=0,0,SUM(F655:F667)/SUM(K655:K667))</f>
        <v/>
      </c>
      <c r="G654" s="6">
        <f>IF(SUM(K655:K667)=0,0,SUM(G655:G667)/SUM(K655:K667))</f>
        <v/>
      </c>
      <c r="H654" s="6">
        <f>IF(SUM(K655:K667)=0,0,SUM(H655:H667)/SUM(K655:K667))</f>
        <v/>
      </c>
      <c r="I654" s="6">
        <f>IF(SUM(K655:K667)=0,0,SUM(I655:I667)/SUM(K655:K667))</f>
        <v/>
      </c>
      <c r="J654" s="6">
        <f>IF(SUM(K655:K667)=0,0,SUM(J655:J667)/SUM(K655:K667))</f>
        <v/>
      </c>
    </row>
    <row r="655" spans="1:11">
      <c r="A655" s="4" t="s">
        <v>54</v>
      </c>
      <c r="B655" s="7">
        <v>0</v>
      </c>
      <c r="C655" s="5" t="s">
        <v>15</v>
      </c>
      <c r="D655" s="6">
        <f>IF(K655=1,0.7,0)</f>
        <v/>
      </c>
      <c r="E655" s="5" t="s">
        <v>15</v>
      </c>
      <c r="F655" s="6">
        <f>IF(K655=1,0.9,0)</f>
        <v/>
      </c>
      <c r="G655" s="6">
        <f>IF(K655=1,0.9,0)</f>
        <v/>
      </c>
      <c r="H655" s="5" t="s">
        <v>15</v>
      </c>
      <c r="I655" s="6">
        <f>IF(K655=1,1.0,0)</f>
        <v/>
      </c>
      <c r="J655" s="6">
        <f>IF(K655=1,0.8,0)</f>
        <v/>
      </c>
      <c r="K655" s="8">
        <f>IF(OR(LOOKUP(A655,characters!A:A,characters!B:B)=-1, LOOKUP(A655,characters!A:A,characters!B:B)+0.1&gt;=B655),1,0)</f>
        <v/>
      </c>
    </row>
    <row r="656" spans="1:11">
      <c r="A656" s="4" t="s">
        <v>48</v>
      </c>
      <c r="B656" s="7">
        <v>0</v>
      </c>
      <c r="C656" s="6">
        <f>IF(K656=1,1.0,0)</f>
        <v/>
      </c>
      <c r="D656" s="6">
        <f>IF(K656=1,0.9,0)</f>
        <v/>
      </c>
      <c r="E656" s="6">
        <f>IF(K656=1,0.9,0)</f>
        <v/>
      </c>
      <c r="F656" s="6">
        <f>IF(K656=1,1.0,0)</f>
        <v/>
      </c>
      <c r="G656" s="6">
        <f>IF(K656=1,1.0,0)</f>
        <v/>
      </c>
      <c r="H656" s="5" t="s">
        <v>15</v>
      </c>
      <c r="I656" s="5" t="s">
        <v>15</v>
      </c>
      <c r="J656" s="5" t="s">
        <v>15</v>
      </c>
      <c r="K656" s="8">
        <f>IF(OR(LOOKUP(A656,characters!A:A,characters!B:B)=-1, LOOKUP(A656,characters!A:A,characters!B:B)+0.1&gt;=B656),1,0)</f>
        <v/>
      </c>
    </row>
    <row r="657" spans="1:11">
      <c r="A657" s="4" t="s">
        <v>45</v>
      </c>
      <c r="B657" s="7">
        <v>0</v>
      </c>
      <c r="C657" s="6">
        <f>IF(K657=1,1.0,0)</f>
        <v/>
      </c>
      <c r="D657" s="6">
        <f>IF(K657=1,0.9,0)</f>
        <v/>
      </c>
      <c r="E657" s="6">
        <f>IF(K657=1,0.9,0)</f>
        <v/>
      </c>
      <c r="F657" s="5" t="s">
        <v>15</v>
      </c>
      <c r="G657" s="5" t="s">
        <v>15</v>
      </c>
      <c r="H657" s="6">
        <f>IF(K657=1,1.0,0)</f>
        <v/>
      </c>
      <c r="I657" s="5" t="s">
        <v>15</v>
      </c>
      <c r="J657" s="5" t="s">
        <v>15</v>
      </c>
      <c r="K657" s="8">
        <f>IF(OR(LOOKUP(A657,characters!A:A,characters!B:B)=-1, LOOKUP(A657,characters!A:A,characters!B:B)+0.1&gt;=B657),1,0)</f>
        <v/>
      </c>
    </row>
    <row r="658" spans="1:11">
      <c r="A658" s="4" t="s">
        <v>50</v>
      </c>
      <c r="B658" s="7">
        <v>0</v>
      </c>
      <c r="C658" s="6">
        <f>IF(K658=1,0.9,0)</f>
        <v/>
      </c>
      <c r="D658" s="6">
        <f>IF(K658=1,0.8,0)</f>
        <v/>
      </c>
      <c r="E658" s="6">
        <f>IF(K658=1,0.8,0)</f>
        <v/>
      </c>
      <c r="F658" s="5" t="s">
        <v>15</v>
      </c>
      <c r="G658" s="5" t="s">
        <v>15</v>
      </c>
      <c r="H658" s="6">
        <f>IF(K658=1,1.0,0)</f>
        <v/>
      </c>
      <c r="I658" s="5" t="s">
        <v>15</v>
      </c>
      <c r="J658" s="5" t="s">
        <v>15</v>
      </c>
      <c r="K658" s="8">
        <f>IF(OR(LOOKUP(A658,characters!A:A,characters!B:B)=-1, LOOKUP(A658,characters!A:A,characters!B:B)+0.1&gt;=B658),1,0)</f>
        <v/>
      </c>
    </row>
    <row r="659" spans="1:11">
      <c r="A659" s="4" t="s">
        <v>53</v>
      </c>
      <c r="B659" s="7">
        <v>0</v>
      </c>
      <c r="C659" s="6">
        <f>IF(K659=1,1.0,0)</f>
        <v/>
      </c>
      <c r="D659" s="6">
        <f>IF(K659=1,0.7,0)</f>
        <v/>
      </c>
      <c r="E659" s="6">
        <f>IF(K659=1,0.8,0)</f>
        <v/>
      </c>
      <c r="F659" s="5" t="s">
        <v>15</v>
      </c>
      <c r="G659" s="5" t="s">
        <v>15</v>
      </c>
      <c r="H659" s="6">
        <f>IF(K659=1,0.9,0)</f>
        <v/>
      </c>
      <c r="I659" s="5" t="s">
        <v>15</v>
      </c>
      <c r="J659" s="5" t="s">
        <v>15</v>
      </c>
      <c r="K659" s="8">
        <f>IF(OR(LOOKUP(A659,characters!A:A,characters!B:B)=-1, LOOKUP(A659,characters!A:A,characters!B:B)+0.1&gt;=B659),1,0)</f>
        <v/>
      </c>
    </row>
    <row r="660" spans="1:11">
      <c r="A660" s="4" t="s">
        <v>51</v>
      </c>
      <c r="B660" s="7">
        <v>0</v>
      </c>
      <c r="C660" s="6">
        <f>IF(K660=1,1.0,0)</f>
        <v/>
      </c>
      <c r="D660" s="6">
        <f>IF(K660=1,0.9,0)</f>
        <v/>
      </c>
      <c r="E660" s="6">
        <f>IF(K660=1,0.9,0)</f>
        <v/>
      </c>
      <c r="F660" s="6">
        <f>IF(K660=1,1.0,0)</f>
        <v/>
      </c>
      <c r="G660" s="6">
        <f>IF(K660=1,1.0,0)</f>
        <v/>
      </c>
      <c r="H660" s="5" t="s">
        <v>15</v>
      </c>
      <c r="I660" s="5" t="s">
        <v>15</v>
      </c>
      <c r="J660" s="5" t="s">
        <v>15</v>
      </c>
      <c r="K660" s="8">
        <f>IF(OR(LOOKUP(A660,characters!A:A,characters!B:B)=-1, LOOKUP(A660,characters!A:A,characters!B:B)+0.1&gt;=B660),1,0)</f>
        <v/>
      </c>
    </row>
    <row r="661" spans="1:11">
      <c r="A661" s="4" t="s">
        <v>46</v>
      </c>
      <c r="B661" s="7">
        <v>0.1</v>
      </c>
      <c r="C661" s="6">
        <f>IF(K661=1,0.9,0)</f>
        <v/>
      </c>
      <c r="D661" s="6">
        <f>IF(K661=1,0.8,0)</f>
        <v/>
      </c>
      <c r="E661" s="6">
        <f>IF(K661=1,0.8,0)</f>
        <v/>
      </c>
      <c r="F661" s="6">
        <f>IF(K661=1,1.0,0)</f>
        <v/>
      </c>
      <c r="G661" s="6">
        <f>IF(K661=1,1.0,0)</f>
        <v/>
      </c>
      <c r="H661" s="5" t="s">
        <v>15</v>
      </c>
      <c r="I661" s="5" t="s">
        <v>15</v>
      </c>
      <c r="J661" s="5" t="s">
        <v>15</v>
      </c>
      <c r="K661" s="8">
        <f>IF(OR(LOOKUP(A661,characters!A:A,characters!B:B)=-1, LOOKUP(A661,characters!A:A,characters!B:B)+0.1&gt;=B661),1,0)</f>
        <v/>
      </c>
    </row>
    <row r="662" spans="1:11">
      <c r="A662" s="4" t="s">
        <v>52</v>
      </c>
      <c r="B662" s="7">
        <v>0.1</v>
      </c>
      <c r="C662" s="6">
        <f>IF(K662=1,0.9,0)</f>
        <v/>
      </c>
      <c r="D662" s="6">
        <f>IF(K662=1,0.8,0)</f>
        <v/>
      </c>
      <c r="E662" s="6">
        <f>IF(K662=1,0.8,0)</f>
        <v/>
      </c>
      <c r="F662" s="6">
        <f>IF(K662=1,1.0,0)</f>
        <v/>
      </c>
      <c r="G662" s="6">
        <f>IF(K662=1,1.0,0)</f>
        <v/>
      </c>
      <c r="H662" s="6">
        <f>IF(K662=1,1.0,0)</f>
        <v/>
      </c>
      <c r="I662" s="5" t="s">
        <v>15</v>
      </c>
      <c r="J662" s="5" t="s">
        <v>15</v>
      </c>
      <c r="K662" s="8">
        <f>IF(OR(LOOKUP(A662,characters!A:A,characters!B:B)=-1, LOOKUP(A662,characters!A:A,characters!B:B)+0.1&gt;=B662),1,0)</f>
        <v/>
      </c>
    </row>
    <row r="663" spans="1:11">
      <c r="A663" s="4" t="s">
        <v>47</v>
      </c>
      <c r="B663" s="7">
        <v>0.1</v>
      </c>
      <c r="C663" s="6">
        <f>IF(K663=1,0.9,0)</f>
        <v/>
      </c>
      <c r="D663" s="6">
        <f>IF(K663=1,0.8,0)</f>
        <v/>
      </c>
      <c r="E663" s="6">
        <f>IF(K663=1,0.8,0)</f>
        <v/>
      </c>
      <c r="F663" s="6">
        <f>IF(K663=1,1.0,0)</f>
        <v/>
      </c>
      <c r="G663" s="6">
        <f>IF(K663=1,1.0,0)</f>
        <v/>
      </c>
      <c r="H663" s="5" t="s">
        <v>15</v>
      </c>
      <c r="I663" s="5" t="s">
        <v>15</v>
      </c>
      <c r="J663" s="5" t="s">
        <v>15</v>
      </c>
      <c r="K663" s="8">
        <f>IF(OR(LOOKUP(A663,characters!A:A,characters!B:B)=-1, LOOKUP(A663,characters!A:A,characters!B:B)+0.1&gt;=B663),1,0)</f>
        <v/>
      </c>
    </row>
    <row r="664" spans="1:11">
      <c r="A664" s="4" t="s">
        <v>28</v>
      </c>
      <c r="B664" s="7">
        <v>0.1</v>
      </c>
      <c r="C664" s="6">
        <f>IF(K664=1,1.0,0)</f>
        <v/>
      </c>
      <c r="D664" s="6">
        <f>IF(K664=1,0.8,0)</f>
        <v/>
      </c>
      <c r="E664" s="6">
        <f>IF(K664=1,0.9,0)</f>
        <v/>
      </c>
      <c r="F664" s="6">
        <f>IF(K664=1,1.0,0)</f>
        <v/>
      </c>
      <c r="G664" s="6">
        <f>IF(K664=1,1.0,0)</f>
        <v/>
      </c>
      <c r="H664" s="6">
        <f>IF(K664=1,1.0,0)</f>
        <v/>
      </c>
      <c r="I664" s="5" t="s">
        <v>15</v>
      </c>
      <c r="J664" s="5" t="s">
        <v>15</v>
      </c>
      <c r="K664" s="8">
        <f>IF(OR(LOOKUP(A664,characters!A:A,characters!B:B)=-1, LOOKUP(A664,characters!A:A,characters!B:B)+0.1&gt;=B664),1,0)</f>
        <v/>
      </c>
    </row>
    <row r="665" spans="1:11">
      <c r="A665" s="4" t="s">
        <v>49</v>
      </c>
      <c r="B665" s="7">
        <v>0.1</v>
      </c>
      <c r="C665" s="6">
        <f>IF(K665=1,0.9,0)</f>
        <v/>
      </c>
      <c r="D665" s="6">
        <f>IF(K665=1,0.8,0)</f>
        <v/>
      </c>
      <c r="E665" s="6">
        <f>IF(K665=1,0.8,0)</f>
        <v/>
      </c>
      <c r="F665" s="6">
        <f>IF(K665=1,1.0,0)</f>
        <v/>
      </c>
      <c r="G665" s="6">
        <f>IF(K665=1,1.0,0)</f>
        <v/>
      </c>
      <c r="H665" s="5" t="s">
        <v>15</v>
      </c>
      <c r="I665" s="5" t="s">
        <v>15</v>
      </c>
      <c r="J665" s="5" t="s">
        <v>15</v>
      </c>
      <c r="K665" s="8">
        <f>IF(OR(LOOKUP(A665,characters!A:A,characters!B:B)=-1, LOOKUP(A665,characters!A:A,characters!B:B)+0.1&gt;=B665),1,0)</f>
        <v/>
      </c>
    </row>
    <row r="666" spans="1:11">
      <c r="A666" s="4" t="s">
        <v>66</v>
      </c>
      <c r="B666" s="7">
        <v>0.1</v>
      </c>
      <c r="C666" s="6">
        <f>IF(K666=1,0.9,0)</f>
        <v/>
      </c>
      <c r="D666" s="6">
        <f>IF(K666=1,0.8,0)</f>
        <v/>
      </c>
      <c r="E666" s="6">
        <f>IF(K666=1,0.8,0)</f>
        <v/>
      </c>
      <c r="F666" s="6">
        <f>IF(K666=1,1.0,0)</f>
        <v/>
      </c>
      <c r="G666" s="6">
        <f>IF(K666=1,1.0,0)</f>
        <v/>
      </c>
      <c r="H666" s="5" t="s">
        <v>15</v>
      </c>
      <c r="I666" s="5" t="s">
        <v>15</v>
      </c>
      <c r="J666" s="5" t="s">
        <v>15</v>
      </c>
      <c r="K666" s="8">
        <f>IF(OR(LOOKUP(A666,characters!A:A,characters!B:B)=-1, LOOKUP(A666,characters!A:A,characters!B:B)+0.1&gt;=B666),1,0)</f>
        <v/>
      </c>
    </row>
    <row r="667" spans="1:11">
      <c r="A667" s="4" t="s">
        <v>26</v>
      </c>
      <c r="B667" s="7">
        <v>0.5</v>
      </c>
      <c r="C667" s="6">
        <f>IF(K667=1,0.9,0)</f>
        <v/>
      </c>
      <c r="D667" s="6">
        <f>IF(K667=1,0.8,0)</f>
        <v/>
      </c>
      <c r="E667" s="6">
        <f>IF(K667=1,0.8,0)</f>
        <v/>
      </c>
      <c r="F667" s="5" t="s">
        <v>15</v>
      </c>
      <c r="G667" s="5" t="s">
        <v>15</v>
      </c>
      <c r="H667" s="6">
        <f>IF(K667=1,1.0,0)</f>
        <v/>
      </c>
      <c r="I667" s="5" t="s">
        <v>15</v>
      </c>
      <c r="J667" s="5" t="s">
        <v>15</v>
      </c>
      <c r="K667" s="8">
        <f>IF(OR(LOOKUP(A667,characters!A:A,characters!B:B)=-1, LOOKUP(A667,characters!A:A,characters!B:B)+0.1&gt;=B667),1,0)</f>
        <v/>
      </c>
    </row>
    <row r="669" spans="1:11">
      <c r="A669" s="3" t="s">
        <v>17</v>
      </c>
      <c r="B669" s="3" t="s">
        <v>9</v>
      </c>
      <c r="C669" s="3" t="s">
        <v>24</v>
      </c>
      <c r="D669" s="3" t="s">
        <v>25</v>
      </c>
      <c r="E669" s="3" t="s">
        <v>43</v>
      </c>
      <c r="F669" s="3" t="s">
        <v>10</v>
      </c>
      <c r="G669" s="3" t="s">
        <v>11</v>
      </c>
    </row>
    <row r="670" spans="1:11">
      <c r="A670" s="4" t="s">
        <v>14</v>
      </c>
      <c r="B670" s="5" t="s">
        <v>15</v>
      </c>
      <c r="C670" s="6">
        <f>IF(SUM(H671:H683)=0,0,SUM(C671:C683)/SUM(H671:H683))</f>
        <v/>
      </c>
      <c r="D670" s="6">
        <f>IF(SUM(H671:H683)=0,0,SUM(D671:D683)/SUM(H671:H683))</f>
        <v/>
      </c>
      <c r="E670" s="6">
        <f>IF(SUM(H671:H683)=0,0,SUM(E671:E683)/SUM(H671:H683))</f>
        <v/>
      </c>
      <c r="F670" s="6">
        <f>IF(SUM(H671:H683)=0,0,SUM(F671:F683)/SUM(H671:H683))</f>
        <v/>
      </c>
      <c r="G670" s="6">
        <f>IF(SUM(H671:H683)=0,0,SUM(G671:G683)/SUM(H671:H683))</f>
        <v/>
      </c>
    </row>
    <row r="671" spans="1:11">
      <c r="A671" s="4" t="s">
        <v>46</v>
      </c>
      <c r="B671" s="7">
        <v>0.1</v>
      </c>
      <c r="C671" s="6">
        <f>IF(H671=1,1.0,0)</f>
        <v/>
      </c>
      <c r="D671" s="6">
        <f>IF(H671=1,0.99,0)</f>
        <v/>
      </c>
      <c r="E671" s="5" t="s">
        <v>15</v>
      </c>
      <c r="F671" s="5" t="s">
        <v>15</v>
      </c>
      <c r="G671" s="5" t="s">
        <v>15</v>
      </c>
      <c r="H671" s="8">
        <f>IF(OR(LOOKUP(A671,characters!A:A,characters!B:B)=-1, LOOKUP(A671,characters!A:A,characters!B:B)+0.1&gt;=B671),1,0)</f>
        <v/>
      </c>
    </row>
    <row r="672" spans="1:11">
      <c r="A672" s="4" t="s">
        <v>54</v>
      </c>
      <c r="B672" s="7">
        <v>0</v>
      </c>
      <c r="C672" s="5" t="s">
        <v>15</v>
      </c>
      <c r="D672" s="6">
        <f>IF(H672=1,0.9,0)</f>
        <v/>
      </c>
      <c r="E672" s="6">
        <f>IF(H672=1,1.0,0)</f>
        <v/>
      </c>
      <c r="F672" s="5" t="s">
        <v>15</v>
      </c>
      <c r="G672" s="5" t="s">
        <v>15</v>
      </c>
      <c r="H672" s="8">
        <f>IF(OR(LOOKUP(A672,characters!A:A,characters!B:B)=-1, LOOKUP(A672,characters!A:A,characters!B:B)+0.1&gt;=B672),1,0)</f>
        <v/>
      </c>
    </row>
    <row r="673" spans="1:11">
      <c r="A673" s="4" t="s">
        <v>26</v>
      </c>
      <c r="B673" s="7">
        <v>0.5</v>
      </c>
      <c r="C673" s="5" t="s">
        <v>15</v>
      </c>
      <c r="D673" s="5" t="s">
        <v>15</v>
      </c>
      <c r="E673" s="5" t="s">
        <v>15</v>
      </c>
      <c r="F673" s="6">
        <f>IF(H673=1,1.0,0)</f>
        <v/>
      </c>
      <c r="G673" s="5" t="s">
        <v>15</v>
      </c>
      <c r="H673" s="8">
        <f>IF(OR(LOOKUP(A673,characters!A:A,characters!B:B)=-1, LOOKUP(A673,characters!A:A,characters!B:B)+0.1&gt;=B673),1,0)</f>
        <v/>
      </c>
    </row>
    <row r="674" spans="1:11">
      <c r="A674" s="4" t="s">
        <v>52</v>
      </c>
      <c r="B674" s="7">
        <v>0.1</v>
      </c>
      <c r="C674" s="6">
        <f>IF(H674=1,1.0,0)</f>
        <v/>
      </c>
      <c r="D674" s="5" t="s">
        <v>15</v>
      </c>
      <c r="E674" s="5" t="s">
        <v>15</v>
      </c>
      <c r="F674" s="6">
        <f>IF(H674=1,1.0,0)</f>
        <v/>
      </c>
      <c r="G674" s="5" t="s">
        <v>15</v>
      </c>
      <c r="H674" s="8">
        <f>IF(OR(LOOKUP(A674,characters!A:A,characters!B:B)=-1, LOOKUP(A674,characters!A:A,characters!B:B)+0.1&gt;=B674),1,0)</f>
        <v/>
      </c>
    </row>
    <row r="675" spans="1:11">
      <c r="A675" s="4" t="s">
        <v>47</v>
      </c>
      <c r="B675" s="7">
        <v>0.1</v>
      </c>
      <c r="C675" s="6">
        <f>IF(H675=1,1.0,0)</f>
        <v/>
      </c>
      <c r="D675" s="6">
        <f>IF(H675=1,0.99,0)</f>
        <v/>
      </c>
      <c r="E675" s="5" t="s">
        <v>15</v>
      </c>
      <c r="F675" s="5" t="s">
        <v>15</v>
      </c>
      <c r="G675" s="5" t="s">
        <v>15</v>
      </c>
      <c r="H675" s="8">
        <f>IF(OR(LOOKUP(A675,characters!A:A,characters!B:B)=-1, LOOKUP(A675,characters!A:A,characters!B:B)+0.1&gt;=B675),1,0)</f>
        <v/>
      </c>
    </row>
    <row r="676" spans="1:11">
      <c r="A676" s="4" t="s">
        <v>28</v>
      </c>
      <c r="B676" s="7">
        <v>0.1</v>
      </c>
      <c r="C676" s="6">
        <f>IF(H676=1,1.0,0)</f>
        <v/>
      </c>
      <c r="D676" s="6">
        <f>IF(H676=1,0.99,0)</f>
        <v/>
      </c>
      <c r="E676" s="5" t="s">
        <v>15</v>
      </c>
      <c r="F676" s="6">
        <f>IF(H676=1,0.99,0)</f>
        <v/>
      </c>
      <c r="G676" s="5" t="s">
        <v>15</v>
      </c>
      <c r="H676" s="8">
        <f>IF(OR(LOOKUP(A676,characters!A:A,characters!B:B)=-1, LOOKUP(A676,characters!A:A,characters!B:B)+0.1&gt;=B676),1,0)</f>
        <v/>
      </c>
    </row>
    <row r="677" spans="1:11">
      <c r="A677" s="4" t="s">
        <v>48</v>
      </c>
      <c r="B677" s="7">
        <v>0</v>
      </c>
      <c r="C677" s="6">
        <f>IF(H677=1,0.9,0)</f>
        <v/>
      </c>
      <c r="D677" s="5" t="s">
        <v>15</v>
      </c>
      <c r="E677" s="5" t="s">
        <v>15</v>
      </c>
      <c r="F677" s="5" t="s">
        <v>15</v>
      </c>
      <c r="G677" s="6">
        <f>IF(H677=1,1.0,0)</f>
        <v/>
      </c>
      <c r="H677" s="8">
        <f>IF(OR(LOOKUP(A677,characters!A:A,characters!B:B)=-1, LOOKUP(A677,characters!A:A,characters!B:B)+0.1&gt;=B677),1,0)</f>
        <v/>
      </c>
    </row>
    <row r="678" spans="1:11">
      <c r="A678" s="4" t="s">
        <v>49</v>
      </c>
      <c r="B678" s="7">
        <v>0.1</v>
      </c>
      <c r="C678" s="6">
        <f>IF(H678=1,1.0,0)</f>
        <v/>
      </c>
      <c r="D678" s="6">
        <f>IF(H678=1,0.99,0)</f>
        <v/>
      </c>
      <c r="E678" s="5" t="s">
        <v>15</v>
      </c>
      <c r="F678" s="5" t="s">
        <v>15</v>
      </c>
      <c r="G678" s="5" t="s">
        <v>15</v>
      </c>
      <c r="H678" s="8">
        <f>IF(OR(LOOKUP(A678,characters!A:A,characters!B:B)=-1, LOOKUP(A678,characters!A:A,characters!B:B)+0.1&gt;=B678),1,0)</f>
        <v/>
      </c>
    </row>
    <row r="679" spans="1:11">
      <c r="A679" s="4" t="s">
        <v>45</v>
      </c>
      <c r="B679" s="7">
        <v>0</v>
      </c>
      <c r="C679" s="5" t="s">
        <v>15</v>
      </c>
      <c r="D679" s="5" t="s">
        <v>15</v>
      </c>
      <c r="E679" s="5" t="s">
        <v>15</v>
      </c>
      <c r="F679" s="6">
        <f>IF(H679=1,1.0,0)</f>
        <v/>
      </c>
      <c r="G679" s="6">
        <f>IF(H679=1,1.0,0)</f>
        <v/>
      </c>
      <c r="H679" s="8">
        <f>IF(OR(LOOKUP(A679,characters!A:A,characters!B:B)=-1, LOOKUP(A679,characters!A:A,characters!B:B)+0.1&gt;=B679),1,0)</f>
        <v/>
      </c>
    </row>
    <row r="680" spans="1:11">
      <c r="A680" s="4" t="s">
        <v>66</v>
      </c>
      <c r="B680" s="7">
        <v>0.1</v>
      </c>
      <c r="C680" s="6">
        <f>IF(H680=1,1.0,0)</f>
        <v/>
      </c>
      <c r="D680" s="6">
        <f>IF(H680=1,0.99,0)</f>
        <v/>
      </c>
      <c r="E680" s="5" t="s">
        <v>15</v>
      </c>
      <c r="F680" s="5" t="s">
        <v>15</v>
      </c>
      <c r="G680" s="5" t="s">
        <v>15</v>
      </c>
      <c r="H680" s="8">
        <f>IF(OR(LOOKUP(A680,characters!A:A,characters!B:B)=-1, LOOKUP(A680,characters!A:A,characters!B:B)+0.1&gt;=B680),1,0)</f>
        <v/>
      </c>
    </row>
    <row r="681" spans="1:11">
      <c r="A681" s="4" t="s">
        <v>50</v>
      </c>
      <c r="B681" s="7">
        <v>0</v>
      </c>
      <c r="C681" s="5" t="s">
        <v>15</v>
      </c>
      <c r="D681" s="5" t="s">
        <v>15</v>
      </c>
      <c r="E681" s="5" t="s">
        <v>15</v>
      </c>
      <c r="F681" s="6">
        <f>IF(H681=1,1.0,0)</f>
        <v/>
      </c>
      <c r="G681" s="6">
        <f>IF(H681=1,1.0,0)</f>
        <v/>
      </c>
      <c r="H681" s="8">
        <f>IF(OR(LOOKUP(A681,characters!A:A,characters!B:B)=-1, LOOKUP(A681,characters!A:A,characters!B:B)+0.1&gt;=B681),1,0)</f>
        <v/>
      </c>
    </row>
    <row r="682" spans="1:11">
      <c r="A682" s="4" t="s">
        <v>53</v>
      </c>
      <c r="B682" s="7">
        <v>0</v>
      </c>
      <c r="C682" s="5" t="s">
        <v>15</v>
      </c>
      <c r="D682" s="5" t="s">
        <v>15</v>
      </c>
      <c r="E682" s="5" t="s">
        <v>15</v>
      </c>
      <c r="F682" s="6">
        <f>IF(H682=1,0.99,0)</f>
        <v/>
      </c>
      <c r="G682" s="6">
        <f>IF(H682=1,1.0,0)</f>
        <v/>
      </c>
      <c r="H682" s="8">
        <f>IF(OR(LOOKUP(A682,characters!A:A,characters!B:B)=-1, LOOKUP(A682,characters!A:A,characters!B:B)+0.1&gt;=B682),1,0)</f>
        <v/>
      </c>
    </row>
    <row r="683" spans="1:11">
      <c r="A683" s="4" t="s">
        <v>51</v>
      </c>
      <c r="B683" s="7">
        <v>0</v>
      </c>
      <c r="C683" s="6">
        <f>IF(H683=1,0.9,0)</f>
        <v/>
      </c>
      <c r="D683" s="5" t="s">
        <v>15</v>
      </c>
      <c r="E683" s="5" t="s">
        <v>15</v>
      </c>
      <c r="F683" s="5" t="s">
        <v>15</v>
      </c>
      <c r="G683" s="6">
        <f>IF(H683=1,1.0,0)</f>
        <v/>
      </c>
      <c r="H683" s="8">
        <f>IF(OR(LOOKUP(A683,characters!A:A,characters!B:B)=-1, LOOKUP(A683,characters!A:A,characters!B:B)+0.1&gt;=B683),1,0)</f>
        <v/>
      </c>
    </row>
    <row r="685" spans="1:11">
      <c r="A685" s="3" t="s">
        <v>18</v>
      </c>
      <c r="B685" s="3" t="s">
        <v>9</v>
      </c>
      <c r="C685" s="3" t="s">
        <v>19</v>
      </c>
      <c r="D685" s="3" t="s">
        <v>43</v>
      </c>
      <c r="E685" s="3" t="s">
        <v>29</v>
      </c>
      <c r="F685" s="3" t="s">
        <v>20</v>
      </c>
      <c r="G685" s="3" t="s">
        <v>41</v>
      </c>
      <c r="H685" s="3" t="s">
        <v>11</v>
      </c>
      <c r="I685" s="3" t="s">
        <v>55</v>
      </c>
      <c r="J685" s="3" t="s">
        <v>34</v>
      </c>
    </row>
    <row r="686" spans="1:11">
      <c r="A686" s="4" t="s">
        <v>14</v>
      </c>
      <c r="B686" s="5" t="s">
        <v>15</v>
      </c>
      <c r="C686" s="6">
        <f>IF(SUM(K687:K699)=0,0,SUM(C687:C699)/SUM(K687:K699))</f>
        <v/>
      </c>
      <c r="D686" s="6">
        <f>IF(SUM(K687:K699)=0,0,SUM(D687:D699)/SUM(K687:K699))</f>
        <v/>
      </c>
      <c r="E686" s="6">
        <f>IF(SUM(K687:K699)=0,0,SUM(E687:E699)/SUM(K687:K699))</f>
        <v/>
      </c>
      <c r="F686" s="6">
        <f>IF(SUM(K687:K699)=0,0,SUM(F687:F699)/SUM(K687:K699))</f>
        <v/>
      </c>
      <c r="G686" s="6">
        <f>IF(SUM(K687:K699)=0,0,SUM(G687:G699)/SUM(K687:K699))</f>
        <v/>
      </c>
      <c r="H686" s="6">
        <f>IF(SUM(K687:K699)=0,0,SUM(H687:H699)/SUM(K687:K699))</f>
        <v/>
      </c>
      <c r="I686" s="6">
        <f>IF(SUM(K687:K699)=0,0,SUM(I687:I699)/SUM(K687:K699))</f>
        <v/>
      </c>
      <c r="J686" s="6">
        <f>IF(SUM(K687:K699)=0,0,SUM(J687:J699)/SUM(K687:K699))</f>
        <v/>
      </c>
    </row>
    <row r="687" spans="1:11">
      <c r="A687" s="4" t="s">
        <v>46</v>
      </c>
      <c r="B687" s="7">
        <v>0.1</v>
      </c>
      <c r="C687" s="6">
        <f>IF(K687=1,1.0,0)</f>
        <v/>
      </c>
      <c r="D687" s="5" t="s">
        <v>15</v>
      </c>
      <c r="E687" s="5" t="s">
        <v>15</v>
      </c>
      <c r="F687" s="5" t="s">
        <v>15</v>
      </c>
      <c r="G687" s="5" t="s">
        <v>15</v>
      </c>
      <c r="H687" s="5" t="s">
        <v>15</v>
      </c>
      <c r="I687" s="5" t="s">
        <v>15</v>
      </c>
      <c r="J687" s="5" t="s">
        <v>15</v>
      </c>
      <c r="K687" s="8">
        <f>IF(OR(LOOKUP(A687,characters!A:A,characters!B:B)=-1, LOOKUP(A687,characters!A:A,characters!B:B)+0.1&gt;=B687),1,0)</f>
        <v/>
      </c>
    </row>
    <row r="688" spans="1:11">
      <c r="A688" s="4" t="s">
        <v>54</v>
      </c>
      <c r="B688" s="7">
        <v>0</v>
      </c>
      <c r="C688" s="5" t="s">
        <v>15</v>
      </c>
      <c r="D688" s="6">
        <f>IF(K688=1,1.0,0)</f>
        <v/>
      </c>
      <c r="E688" s="6">
        <f>IF(K688=1,1.0,0)</f>
        <v/>
      </c>
      <c r="F688" s="5" t="s">
        <v>15</v>
      </c>
      <c r="G688" s="5" t="s">
        <v>15</v>
      </c>
      <c r="H688" s="5" t="s">
        <v>15</v>
      </c>
      <c r="I688" s="5" t="s">
        <v>15</v>
      </c>
      <c r="J688" s="5" t="s">
        <v>15</v>
      </c>
      <c r="K688" s="8">
        <f>IF(OR(LOOKUP(A688,characters!A:A,characters!B:B)=-1, LOOKUP(A688,characters!A:A,characters!B:B)+0.1&gt;=B688),1,0)</f>
        <v/>
      </c>
    </row>
    <row r="689" spans="1:11">
      <c r="A689" s="4" t="s">
        <v>26</v>
      </c>
      <c r="B689" s="7">
        <v>0.5</v>
      </c>
      <c r="C689" s="5" t="s">
        <v>15</v>
      </c>
      <c r="D689" s="5" t="s">
        <v>15</v>
      </c>
      <c r="E689" s="6">
        <f>IF(K689=1,1.0,0)</f>
        <v/>
      </c>
      <c r="F689" s="6">
        <f>IF(K689=1,0.99,0)</f>
        <v/>
      </c>
      <c r="G689" s="5" t="s">
        <v>15</v>
      </c>
      <c r="H689" s="5" t="s">
        <v>15</v>
      </c>
      <c r="I689" s="5" t="s">
        <v>15</v>
      </c>
      <c r="J689" s="5" t="s">
        <v>15</v>
      </c>
      <c r="K689" s="8">
        <f>IF(OR(LOOKUP(A689,characters!A:A,characters!B:B)=-1, LOOKUP(A689,characters!A:A,characters!B:B)+0.1&gt;=B689),1,0)</f>
        <v/>
      </c>
    </row>
    <row r="690" spans="1:11">
      <c r="A690" s="4" t="s">
        <v>52</v>
      </c>
      <c r="B690" s="7">
        <v>0.1</v>
      </c>
      <c r="C690" s="5" t="s">
        <v>15</v>
      </c>
      <c r="D690" s="5" t="s">
        <v>15</v>
      </c>
      <c r="E690" s="5" t="s">
        <v>15</v>
      </c>
      <c r="F690" s="6">
        <f>IF(K690=1,0.9,0)</f>
        <v/>
      </c>
      <c r="G690" s="6">
        <f>IF(K690=1,1.0,0)</f>
        <v/>
      </c>
      <c r="H690" s="6">
        <f>IF(K690=1,0.9,0)</f>
        <v/>
      </c>
      <c r="I690" s="5" t="s">
        <v>15</v>
      </c>
      <c r="J690" s="5" t="s">
        <v>15</v>
      </c>
      <c r="K690" s="8">
        <f>IF(OR(LOOKUP(A690,characters!A:A,characters!B:B)=-1, LOOKUP(A690,characters!A:A,characters!B:B)+0.1&gt;=B690),1,0)</f>
        <v/>
      </c>
    </row>
    <row r="691" spans="1:11">
      <c r="A691" s="4" t="s">
        <v>47</v>
      </c>
      <c r="B691" s="7">
        <v>0.1</v>
      </c>
      <c r="C691" s="5" t="s">
        <v>15</v>
      </c>
      <c r="D691" s="5" t="s">
        <v>15</v>
      </c>
      <c r="E691" s="6">
        <f>IF(K691=1,1.0,0)</f>
        <v/>
      </c>
      <c r="F691" s="5" t="s">
        <v>15</v>
      </c>
      <c r="G691" s="5" t="s">
        <v>15</v>
      </c>
      <c r="H691" s="5" t="s">
        <v>15</v>
      </c>
      <c r="I691" s="5" t="s">
        <v>15</v>
      </c>
      <c r="J691" s="5" t="s">
        <v>15</v>
      </c>
      <c r="K691" s="8">
        <f>IF(OR(LOOKUP(A691,characters!A:A,characters!B:B)=-1, LOOKUP(A691,characters!A:A,characters!B:B)+0.1&gt;=B691),1,0)</f>
        <v/>
      </c>
    </row>
    <row r="692" spans="1:11">
      <c r="A692" s="4" t="s">
        <v>28</v>
      </c>
      <c r="B692" s="7">
        <v>0.1</v>
      </c>
      <c r="C692" s="5" t="s">
        <v>15</v>
      </c>
      <c r="D692" s="5" t="s">
        <v>15</v>
      </c>
      <c r="E692" s="6">
        <f>IF(K692=1,1.0,0)</f>
        <v/>
      </c>
      <c r="F692" s="6">
        <f>IF(K692=1,1.0,0)</f>
        <v/>
      </c>
      <c r="G692" s="5" t="s">
        <v>15</v>
      </c>
      <c r="H692" s="6">
        <f>IF(K692=1,1.0,0)</f>
        <v/>
      </c>
      <c r="I692" s="5" t="s">
        <v>15</v>
      </c>
      <c r="J692" s="5" t="s">
        <v>15</v>
      </c>
      <c r="K692" s="8">
        <f>IF(OR(LOOKUP(A692,characters!A:A,characters!B:B)=-1, LOOKUP(A692,characters!A:A,characters!B:B)+0.1&gt;=B692),1,0)</f>
        <v/>
      </c>
    </row>
    <row r="693" spans="1:11">
      <c r="A693" s="4" t="s">
        <v>48</v>
      </c>
      <c r="B693" s="7">
        <v>0</v>
      </c>
      <c r="C693" s="5" t="s">
        <v>15</v>
      </c>
      <c r="D693" s="5" t="s">
        <v>15</v>
      </c>
      <c r="E693" s="5" t="s">
        <v>15</v>
      </c>
      <c r="F693" s="5" t="s">
        <v>15</v>
      </c>
      <c r="G693" s="5" t="s">
        <v>15</v>
      </c>
      <c r="H693" s="6">
        <f>IF(K693=1,1.0,0)</f>
        <v/>
      </c>
      <c r="I693" s="5" t="s">
        <v>15</v>
      </c>
      <c r="J693" s="5" t="s">
        <v>15</v>
      </c>
      <c r="K693" s="8">
        <f>IF(OR(LOOKUP(A693,characters!A:A,characters!B:B)=-1, LOOKUP(A693,characters!A:A,characters!B:B)+0.1&gt;=B693),1,0)</f>
        <v/>
      </c>
    </row>
    <row r="694" spans="1:11">
      <c r="A694" s="4" t="s">
        <v>49</v>
      </c>
      <c r="B694" s="7">
        <v>0.1</v>
      </c>
      <c r="C694" s="5" t="s">
        <v>15</v>
      </c>
      <c r="D694" s="5" t="s">
        <v>15</v>
      </c>
      <c r="E694" s="5" t="s">
        <v>15</v>
      </c>
      <c r="F694" s="5" t="s">
        <v>15</v>
      </c>
      <c r="G694" s="5" t="s">
        <v>15</v>
      </c>
      <c r="H694" s="5" t="s">
        <v>15</v>
      </c>
      <c r="I694" s="6">
        <f>IF(K694=1,1.0,0)</f>
        <v/>
      </c>
      <c r="J694" s="5" t="s">
        <v>15</v>
      </c>
      <c r="K694" s="8">
        <f>IF(OR(LOOKUP(A694,characters!A:A,characters!B:B)=-1, LOOKUP(A694,characters!A:A,characters!B:B)+0.1&gt;=B694),1,0)</f>
        <v/>
      </c>
    </row>
    <row r="695" spans="1:11">
      <c r="A695" s="4" t="s">
        <v>45</v>
      </c>
      <c r="B695" s="7">
        <v>0</v>
      </c>
      <c r="C695" s="5" t="s">
        <v>15</v>
      </c>
      <c r="D695" s="5" t="s">
        <v>15</v>
      </c>
      <c r="E695" s="5" t="s">
        <v>15</v>
      </c>
      <c r="F695" s="5" t="s">
        <v>15</v>
      </c>
      <c r="G695" s="5" t="s">
        <v>15</v>
      </c>
      <c r="H695" s="6">
        <f>IF(K695=1,0.9,0)</f>
        <v/>
      </c>
      <c r="I695" s="5" t="s">
        <v>15</v>
      </c>
      <c r="J695" s="6">
        <f>IF(K695=1,1.0,0)</f>
        <v/>
      </c>
      <c r="K695" s="8">
        <f>IF(OR(LOOKUP(A695,characters!A:A,characters!B:B)=-1, LOOKUP(A695,characters!A:A,characters!B:B)+0.1&gt;=B695),1,0)</f>
        <v/>
      </c>
    </row>
    <row r="696" spans="1:11">
      <c r="A696" s="4" t="s">
        <v>66</v>
      </c>
      <c r="B696" s="7">
        <v>0.1</v>
      </c>
      <c r="C696" s="6">
        <f>IF(K696=1,1.0,0)</f>
        <v/>
      </c>
      <c r="D696" s="5" t="s">
        <v>15</v>
      </c>
      <c r="E696" s="5" t="s">
        <v>15</v>
      </c>
      <c r="F696" s="5" t="s">
        <v>15</v>
      </c>
      <c r="G696" s="5" t="s">
        <v>15</v>
      </c>
      <c r="H696" s="5" t="s">
        <v>15</v>
      </c>
      <c r="I696" s="5" t="s">
        <v>15</v>
      </c>
      <c r="J696" s="5" t="s">
        <v>15</v>
      </c>
      <c r="K696" s="8">
        <f>IF(OR(LOOKUP(A696,characters!A:A,characters!B:B)=-1, LOOKUP(A696,characters!A:A,characters!B:B)+0.1&gt;=B696),1,0)</f>
        <v/>
      </c>
    </row>
    <row r="697" spans="1:11">
      <c r="A697" s="4" t="s">
        <v>50</v>
      </c>
      <c r="B697" s="7">
        <v>0</v>
      </c>
      <c r="C697" s="5" t="s">
        <v>15</v>
      </c>
      <c r="D697" s="5" t="s">
        <v>15</v>
      </c>
      <c r="E697" s="5" t="s">
        <v>15</v>
      </c>
      <c r="F697" s="6">
        <f>IF(K697=1,1.0,0)</f>
        <v/>
      </c>
      <c r="G697" s="5" t="s">
        <v>15</v>
      </c>
      <c r="H697" s="5" t="s">
        <v>15</v>
      </c>
      <c r="I697" s="5" t="s">
        <v>15</v>
      </c>
      <c r="J697" s="5" t="s">
        <v>15</v>
      </c>
      <c r="K697" s="8">
        <f>IF(OR(LOOKUP(A697,characters!A:A,characters!B:B)=-1, LOOKUP(A697,characters!A:A,characters!B:B)+0.1&gt;=B697),1,0)</f>
        <v/>
      </c>
    </row>
    <row r="698" spans="1:11">
      <c r="A698" s="4" t="s">
        <v>53</v>
      </c>
      <c r="B698" s="7">
        <v>0</v>
      </c>
      <c r="C698" s="6">
        <f>IF(K698=1,0.99,0)</f>
        <v/>
      </c>
      <c r="D698" s="5" t="s">
        <v>15</v>
      </c>
      <c r="E698" s="5" t="s">
        <v>15</v>
      </c>
      <c r="F698" s="5" t="s">
        <v>15</v>
      </c>
      <c r="G698" s="5" t="s">
        <v>15</v>
      </c>
      <c r="H698" s="6">
        <f>IF(K698=1,1.0,0)</f>
        <v/>
      </c>
      <c r="I698" s="5" t="s">
        <v>15</v>
      </c>
      <c r="J698" s="5" t="s">
        <v>15</v>
      </c>
      <c r="K698" s="8">
        <f>IF(OR(LOOKUP(A698,characters!A:A,characters!B:B)=-1, LOOKUP(A698,characters!A:A,characters!B:B)+0.1&gt;=B698),1,0)</f>
        <v/>
      </c>
    </row>
    <row r="699" spans="1:11">
      <c r="A699" s="4" t="s">
        <v>51</v>
      </c>
      <c r="B699" s="7">
        <v>0</v>
      </c>
      <c r="C699" s="5" t="s">
        <v>15</v>
      </c>
      <c r="D699" s="5" t="s">
        <v>15</v>
      </c>
      <c r="E699" s="5" t="s">
        <v>15</v>
      </c>
      <c r="F699" s="5" t="s">
        <v>15</v>
      </c>
      <c r="G699" s="5" t="s">
        <v>15</v>
      </c>
      <c r="H699" s="6">
        <f>IF(K699=1,1.0,0)</f>
        <v/>
      </c>
      <c r="I699" s="6">
        <f>IF(K699=1,0.9,0)</f>
        <v/>
      </c>
      <c r="J699" s="5" t="s">
        <v>15</v>
      </c>
      <c r="K699" s="8">
        <f>IF(OR(LOOKUP(A699,characters!A:A,characters!B:B)=-1, LOOKUP(A699,characters!A:A,characters!B:B)+0.1&gt;=B699),1,0)</f>
        <v/>
      </c>
    </row>
    <row r="701" spans="1:11">
      <c r="A701" s="3" t="s">
        <v>21</v>
      </c>
      <c r="B701" s="3" t="s">
        <v>9</v>
      </c>
      <c r="C701" s="3" t="s">
        <v>30</v>
      </c>
      <c r="D701" s="3" t="s">
        <v>43</v>
      </c>
      <c r="E701" s="3" t="s">
        <v>56</v>
      </c>
      <c r="F701" s="3" t="s">
        <v>11</v>
      </c>
      <c r="G701" s="3" t="s">
        <v>22</v>
      </c>
    </row>
    <row r="702" spans="1:11">
      <c r="A702" s="4" t="s">
        <v>14</v>
      </c>
      <c r="B702" s="5" t="s">
        <v>15</v>
      </c>
      <c r="C702" s="6">
        <f>IF(SUM(H703:H715)=0,0,SUM(C703:C715)/SUM(H703:H715))</f>
        <v/>
      </c>
      <c r="D702" s="6">
        <f>IF(SUM(H703:H715)=0,0,SUM(D703:D715)/SUM(H703:H715))</f>
        <v/>
      </c>
      <c r="E702" s="6">
        <f>IF(SUM(H703:H715)=0,0,SUM(E703:E715)/SUM(H703:H715))</f>
        <v/>
      </c>
      <c r="F702" s="6">
        <f>IF(SUM(H703:H715)=0,0,SUM(F703:F715)/SUM(H703:H715))</f>
        <v/>
      </c>
      <c r="G702" s="6">
        <f>IF(SUM(H703:H715)=0,0,SUM(G703:G715)/SUM(H703:H715))</f>
        <v/>
      </c>
    </row>
    <row r="703" spans="1:11">
      <c r="A703" s="4" t="s">
        <v>46</v>
      </c>
      <c r="B703" s="7">
        <v>0.1</v>
      </c>
      <c r="C703" s="6">
        <f>IF(H703=1,1.0,0)</f>
        <v/>
      </c>
      <c r="D703" s="5" t="s">
        <v>15</v>
      </c>
      <c r="E703" s="5" t="s">
        <v>15</v>
      </c>
      <c r="F703" s="5" t="s">
        <v>15</v>
      </c>
      <c r="G703" s="5" t="s">
        <v>15</v>
      </c>
      <c r="H703" s="8">
        <f>IF(OR(LOOKUP(A703,characters!A:A,characters!B:B)=-1, LOOKUP(A703,characters!A:A,characters!B:B)+0.1&gt;=B703),1,0)</f>
        <v/>
      </c>
    </row>
    <row r="704" spans="1:11">
      <c r="A704" s="4" t="s">
        <v>54</v>
      </c>
      <c r="B704" s="7">
        <v>0</v>
      </c>
      <c r="C704" s="5" t="s">
        <v>15</v>
      </c>
      <c r="D704" s="6">
        <f>IF(H704=1,1.0,0)</f>
        <v/>
      </c>
      <c r="E704" s="6">
        <f>IF(H704=1,1.0,0)</f>
        <v/>
      </c>
      <c r="F704" s="5" t="s">
        <v>15</v>
      </c>
      <c r="G704" s="5" t="s">
        <v>15</v>
      </c>
      <c r="H704" s="8">
        <f>IF(OR(LOOKUP(A704,characters!A:A,characters!B:B)=-1, LOOKUP(A704,characters!A:A,characters!B:B)+0.1&gt;=B704),1,0)</f>
        <v/>
      </c>
    </row>
    <row r="705" spans="1:8">
      <c r="A705" s="4" t="s">
        <v>26</v>
      </c>
      <c r="B705" s="7">
        <v>0.5</v>
      </c>
      <c r="C705" s="5" t="s">
        <v>15</v>
      </c>
      <c r="D705" s="5" t="s">
        <v>15</v>
      </c>
      <c r="E705" s="5" t="s">
        <v>15</v>
      </c>
      <c r="F705" s="6">
        <f>IF(H705=1,1.0,0)</f>
        <v/>
      </c>
      <c r="G705" s="6">
        <f>IF(H705=1,1.0,0)</f>
        <v/>
      </c>
      <c r="H705" s="8">
        <f>IF(OR(LOOKUP(A705,characters!A:A,characters!B:B)=-1, LOOKUP(A705,characters!A:A,characters!B:B)+0.1&gt;=B705),1,0)</f>
        <v/>
      </c>
    </row>
    <row r="706" spans="1:8">
      <c r="A706" s="4" t="s">
        <v>52</v>
      </c>
      <c r="B706" s="7">
        <v>0.1</v>
      </c>
      <c r="C706" s="6">
        <f>IF(H706=1,1.0,0)</f>
        <v/>
      </c>
      <c r="D706" s="5" t="s">
        <v>15</v>
      </c>
      <c r="E706" s="5" t="s">
        <v>15</v>
      </c>
      <c r="F706" s="5" t="s">
        <v>15</v>
      </c>
      <c r="G706" s="5" t="s">
        <v>15</v>
      </c>
      <c r="H706" s="8">
        <f>IF(OR(LOOKUP(A706,characters!A:A,characters!B:B)=-1, LOOKUP(A706,characters!A:A,characters!B:B)+0.1&gt;=B706),1,0)</f>
        <v/>
      </c>
    </row>
    <row r="707" spans="1:8">
      <c r="A707" s="4" t="s">
        <v>47</v>
      </c>
      <c r="B707" s="7">
        <v>0.1</v>
      </c>
      <c r="C707" s="6">
        <f>IF(H707=1,1.0,0)</f>
        <v/>
      </c>
      <c r="D707" s="5" t="s">
        <v>15</v>
      </c>
      <c r="E707" s="5" t="s">
        <v>15</v>
      </c>
      <c r="F707" s="5" t="s">
        <v>15</v>
      </c>
      <c r="G707" s="5" t="s">
        <v>15</v>
      </c>
      <c r="H707" s="8">
        <f>IF(OR(LOOKUP(A707,characters!A:A,characters!B:B)=-1, LOOKUP(A707,characters!A:A,characters!B:B)+0.1&gt;=B707),1,0)</f>
        <v/>
      </c>
    </row>
    <row r="708" spans="1:8">
      <c r="A708" s="4" t="s">
        <v>28</v>
      </c>
      <c r="B708" s="7">
        <v>0.1</v>
      </c>
      <c r="C708" s="6">
        <f>IF(H708=1,1.0,0)</f>
        <v/>
      </c>
      <c r="D708" s="5" t="s">
        <v>15</v>
      </c>
      <c r="E708" s="5" t="s">
        <v>15</v>
      </c>
      <c r="F708" s="5" t="s">
        <v>15</v>
      </c>
      <c r="G708" s="5" t="s">
        <v>15</v>
      </c>
      <c r="H708" s="8">
        <f>IF(OR(LOOKUP(A708,characters!A:A,characters!B:B)=-1, LOOKUP(A708,characters!A:A,characters!B:B)+0.1&gt;=B708),1,0)</f>
        <v/>
      </c>
    </row>
    <row r="709" spans="1:8">
      <c r="A709" s="4" t="s">
        <v>48</v>
      </c>
      <c r="B709" s="7">
        <v>0</v>
      </c>
      <c r="C709" s="5" t="s">
        <v>15</v>
      </c>
      <c r="D709" s="5" t="s">
        <v>15</v>
      </c>
      <c r="E709" s="6">
        <f>IF(H709=1,1.0,0)</f>
        <v/>
      </c>
      <c r="F709" s="6">
        <f>IF(H709=1,1.0,0)</f>
        <v/>
      </c>
      <c r="G709" s="5" t="s">
        <v>15</v>
      </c>
      <c r="H709" s="8">
        <f>IF(OR(LOOKUP(A709,characters!A:A,characters!B:B)=-1, LOOKUP(A709,characters!A:A,characters!B:B)+0.1&gt;=B709),1,0)</f>
        <v/>
      </c>
    </row>
    <row r="710" spans="1:8">
      <c r="A710" s="4" t="s">
        <v>49</v>
      </c>
      <c r="B710" s="7">
        <v>0.1</v>
      </c>
      <c r="C710" s="6">
        <f>IF(H710=1,1.0,0)</f>
        <v/>
      </c>
      <c r="D710" s="5" t="s">
        <v>15</v>
      </c>
      <c r="E710" s="5" t="s">
        <v>15</v>
      </c>
      <c r="F710" s="5" t="s">
        <v>15</v>
      </c>
      <c r="G710" s="5" t="s">
        <v>15</v>
      </c>
      <c r="H710" s="8">
        <f>IF(OR(LOOKUP(A710,characters!A:A,characters!B:B)=-1, LOOKUP(A710,characters!A:A,characters!B:B)+0.1&gt;=B710),1,0)</f>
        <v/>
      </c>
    </row>
    <row r="711" spans="1:8">
      <c r="A711" s="4" t="s">
        <v>45</v>
      </c>
      <c r="B711" s="7">
        <v>0</v>
      </c>
      <c r="C711" s="5" t="s">
        <v>15</v>
      </c>
      <c r="D711" s="5" t="s">
        <v>15</v>
      </c>
      <c r="E711" s="6">
        <f>IF(H711=1,1.0,0)</f>
        <v/>
      </c>
      <c r="F711" s="6">
        <f>IF(H711=1,1.0,0)</f>
        <v/>
      </c>
      <c r="G711" s="5" t="s">
        <v>15</v>
      </c>
      <c r="H711" s="8">
        <f>IF(OR(LOOKUP(A711,characters!A:A,characters!B:B)=-1, LOOKUP(A711,characters!A:A,characters!B:B)+0.1&gt;=B711),1,0)</f>
        <v/>
      </c>
    </row>
    <row r="712" spans="1:8">
      <c r="A712" s="4" t="s">
        <v>66</v>
      </c>
      <c r="B712" s="7">
        <v>0.1</v>
      </c>
      <c r="C712" s="6">
        <f>IF(H712=1,1.0,0)</f>
        <v/>
      </c>
      <c r="D712" s="5" t="s">
        <v>15</v>
      </c>
      <c r="E712" s="5" t="s">
        <v>15</v>
      </c>
      <c r="F712" s="5" t="s">
        <v>15</v>
      </c>
      <c r="G712" s="5" t="s">
        <v>15</v>
      </c>
      <c r="H712" s="8">
        <f>IF(OR(LOOKUP(A712,characters!A:A,characters!B:B)=-1, LOOKUP(A712,characters!A:A,characters!B:B)+0.1&gt;=B712),1,0)</f>
        <v/>
      </c>
    </row>
    <row r="713" spans="1:8">
      <c r="A713" s="4" t="s">
        <v>50</v>
      </c>
      <c r="B713" s="7">
        <v>0</v>
      </c>
      <c r="C713" s="5" t="s">
        <v>15</v>
      </c>
      <c r="D713" s="5" t="s">
        <v>15</v>
      </c>
      <c r="E713" s="6">
        <f>IF(H713=1,1.0,0)</f>
        <v/>
      </c>
      <c r="F713" s="6">
        <f>IF(H713=1,0.99,0)</f>
        <v/>
      </c>
      <c r="G713" s="5" t="s">
        <v>15</v>
      </c>
      <c r="H713" s="8">
        <f>IF(OR(LOOKUP(A713,characters!A:A,characters!B:B)=-1, LOOKUP(A713,characters!A:A,characters!B:B)+0.1&gt;=B713),1,0)</f>
        <v/>
      </c>
    </row>
    <row r="714" spans="1:8">
      <c r="A714" s="4" t="s">
        <v>53</v>
      </c>
      <c r="B714" s="7">
        <v>0</v>
      </c>
      <c r="C714" s="5" t="s">
        <v>15</v>
      </c>
      <c r="D714" s="5" t="s">
        <v>15</v>
      </c>
      <c r="E714" s="6">
        <f>IF(H714=1,1.0,0)</f>
        <v/>
      </c>
      <c r="F714" s="5" t="s">
        <v>15</v>
      </c>
      <c r="G714" s="6">
        <f>IF(H714=1,1.0,0)</f>
        <v/>
      </c>
      <c r="H714" s="8">
        <f>IF(OR(LOOKUP(A714,characters!A:A,characters!B:B)=-1, LOOKUP(A714,characters!A:A,characters!B:B)+0.1&gt;=B714),1,0)</f>
        <v/>
      </c>
    </row>
    <row r="715" spans="1:8">
      <c r="A715" s="4" t="s">
        <v>51</v>
      </c>
      <c r="B715" s="7">
        <v>0</v>
      </c>
      <c r="C715" s="5" t="s">
        <v>15</v>
      </c>
      <c r="D715" s="5" t="s">
        <v>15</v>
      </c>
      <c r="E715" s="6">
        <f>IF(H715=1,1.0,0)</f>
        <v/>
      </c>
      <c r="F715" s="6">
        <f>IF(H715=1,1.0,0)</f>
        <v/>
      </c>
      <c r="G715" s="5" t="s">
        <v>15</v>
      </c>
      <c r="H715" s="8">
        <f>IF(OR(LOOKUP(A715,characters!A:A,characters!B:B)=-1, LOOKUP(A715,characters!A:A,characters!B:B)+0.1&gt;=B715),1,0)</f>
        <v/>
      </c>
    </row>
    <row r="722" spans="1:9">
      <c r="A722" s="3" t="s">
        <v>70</v>
      </c>
    </row>
    <row r="723" spans="1:9">
      <c r="A723" s="3" t="s">
        <v>8</v>
      </c>
      <c r="B723" s="3" t="s">
        <v>9</v>
      </c>
      <c r="C723" s="3" t="s">
        <v>11</v>
      </c>
      <c r="D723" s="3" t="s">
        <v>12</v>
      </c>
      <c r="E723" s="3" t="s">
        <v>13</v>
      </c>
      <c r="F723" s="3" t="s">
        <v>24</v>
      </c>
      <c r="G723" s="3" t="s">
        <v>25</v>
      </c>
      <c r="H723" s="3" t="s">
        <v>10</v>
      </c>
    </row>
    <row r="724" spans="1:9">
      <c r="A724" s="4" t="s">
        <v>14</v>
      </c>
      <c r="B724" s="5" t="s">
        <v>15</v>
      </c>
      <c r="C724" s="6">
        <f>IF(SUM(I725:I731)=0,0,SUM(C725:C731)/SUM(I725:I731))</f>
        <v/>
      </c>
      <c r="D724" s="6">
        <f>IF(SUM(I725:I731)=0,0,SUM(D725:D731)/SUM(I725:I731))</f>
        <v/>
      </c>
      <c r="E724" s="6">
        <f>IF(SUM(I725:I731)=0,0,SUM(E725:E731)/SUM(I725:I731))</f>
        <v/>
      </c>
      <c r="F724" s="6">
        <f>IF(SUM(I725:I731)=0,0,SUM(F725:F731)/SUM(I725:I731))</f>
        <v/>
      </c>
      <c r="G724" s="6">
        <f>IF(SUM(I725:I731)=0,0,SUM(G725:G731)/SUM(I725:I731))</f>
        <v/>
      </c>
      <c r="H724" s="6">
        <f>IF(SUM(I725:I731)=0,0,SUM(H725:H731)/SUM(I725:I731))</f>
        <v/>
      </c>
    </row>
    <row r="725" spans="1:9">
      <c r="A725" s="4" t="s">
        <v>58</v>
      </c>
      <c r="B725" s="7">
        <v>0</v>
      </c>
      <c r="C725" s="6">
        <f>IF(I725=1,0.9,0)</f>
        <v/>
      </c>
      <c r="D725" s="6">
        <f>IF(I725=1,0.8,0)</f>
        <v/>
      </c>
      <c r="E725" s="6">
        <f>IF(I725=1,0.8,0)</f>
        <v/>
      </c>
      <c r="F725" s="6">
        <f>IF(I725=1,1.0,0)</f>
        <v/>
      </c>
      <c r="G725" s="6">
        <f>IF(I725=1,1.0,0)</f>
        <v/>
      </c>
      <c r="H725" s="5" t="s">
        <v>15</v>
      </c>
      <c r="I725" s="8">
        <f>IF(OR(LOOKUP(A725,characters!A:A,characters!B:B)=-1, LOOKUP(A725,characters!A:A,characters!B:B)+0.1&gt;=B725),1,0)</f>
        <v/>
      </c>
    </row>
    <row r="726" spans="1:9">
      <c r="A726" s="4" t="s">
        <v>16</v>
      </c>
      <c r="B726" s="7">
        <v>0</v>
      </c>
      <c r="C726" s="6">
        <f>IF(I726=1,0.9,0)</f>
        <v/>
      </c>
      <c r="D726" s="6">
        <f>IF(I726=1,0.8,0)</f>
        <v/>
      </c>
      <c r="E726" s="6">
        <f>IF(I726=1,0.8,0)</f>
        <v/>
      </c>
      <c r="F726" s="5" t="s">
        <v>15</v>
      </c>
      <c r="G726" s="5" t="s">
        <v>15</v>
      </c>
      <c r="H726" s="6">
        <f>IF(I726=1,1.0,0)</f>
        <v/>
      </c>
      <c r="I726" s="8">
        <f>IF(OR(LOOKUP(A726,characters!A:A,characters!B:B)=-1, LOOKUP(A726,characters!A:A,characters!B:B)+0.1&gt;=B726),1,0)</f>
        <v/>
      </c>
    </row>
    <row r="727" spans="1:9">
      <c r="A727" s="4" t="s">
        <v>66</v>
      </c>
      <c r="B727" s="7">
        <v>0.2</v>
      </c>
      <c r="C727" s="6">
        <f>IF(I727=1,0.9,0)</f>
        <v/>
      </c>
      <c r="D727" s="6">
        <f>IF(I727=1,0.8,0)</f>
        <v/>
      </c>
      <c r="E727" s="6">
        <f>IF(I727=1,0.8,0)</f>
        <v/>
      </c>
      <c r="F727" s="6">
        <f>IF(I727=1,1.0,0)</f>
        <v/>
      </c>
      <c r="G727" s="6">
        <f>IF(I727=1,1.0,0)</f>
        <v/>
      </c>
      <c r="H727" s="5" t="s">
        <v>15</v>
      </c>
      <c r="I727" s="8">
        <f>IF(OR(LOOKUP(A727,characters!A:A,characters!B:B)=-1, LOOKUP(A727,characters!A:A,characters!B:B)+0.1&gt;=B727),1,0)</f>
        <v/>
      </c>
    </row>
    <row r="728" spans="1:9">
      <c r="A728" s="4" t="s">
        <v>27</v>
      </c>
      <c r="B728" s="7">
        <v>0.2</v>
      </c>
      <c r="C728" s="6">
        <f>IF(I728=1,0.9,0)</f>
        <v/>
      </c>
      <c r="D728" s="6">
        <f>IF(I728=1,0.8,0)</f>
        <v/>
      </c>
      <c r="E728" s="6">
        <f>IF(I728=1,0.8,0)</f>
        <v/>
      </c>
      <c r="F728" s="5" t="s">
        <v>15</v>
      </c>
      <c r="G728" s="5" t="s">
        <v>15</v>
      </c>
      <c r="H728" s="6">
        <f>IF(I728=1,1.0,0)</f>
        <v/>
      </c>
      <c r="I728" s="8">
        <f>IF(OR(LOOKUP(A728,characters!A:A,characters!B:B)=-1, LOOKUP(A728,characters!A:A,characters!B:B)+0.1&gt;=B728),1,0)</f>
        <v/>
      </c>
    </row>
    <row r="729" spans="1:9">
      <c r="A729" s="4" t="s">
        <v>46</v>
      </c>
      <c r="B729" s="7">
        <v>0.3</v>
      </c>
      <c r="C729" s="6">
        <f>IF(I729=1,0.9,0)</f>
        <v/>
      </c>
      <c r="D729" s="6">
        <f>IF(I729=1,0.8,0)</f>
        <v/>
      </c>
      <c r="E729" s="6">
        <f>IF(I729=1,0.8,0)</f>
        <v/>
      </c>
      <c r="F729" s="6">
        <f>IF(I729=1,1.0,0)</f>
        <v/>
      </c>
      <c r="G729" s="6">
        <f>IF(I729=1,1.0,0)</f>
        <v/>
      </c>
      <c r="H729" s="5" t="s">
        <v>15</v>
      </c>
      <c r="I729" s="8">
        <f>IF(OR(LOOKUP(A729,characters!A:A,characters!B:B)=-1, LOOKUP(A729,characters!A:A,characters!B:B)+0.1&gt;=B729),1,0)</f>
        <v/>
      </c>
    </row>
    <row r="730" spans="1:9">
      <c r="A730" s="4" t="s">
        <v>47</v>
      </c>
      <c r="B730" s="7">
        <v>0.3</v>
      </c>
      <c r="C730" s="6">
        <f>IF(I730=1,0.9,0)</f>
        <v/>
      </c>
      <c r="D730" s="6">
        <f>IF(I730=1,0.8,0)</f>
        <v/>
      </c>
      <c r="E730" s="6">
        <f>IF(I730=1,0.8,0)</f>
        <v/>
      </c>
      <c r="F730" s="6">
        <f>IF(I730=1,1.0,0)</f>
        <v/>
      </c>
      <c r="G730" s="6">
        <f>IF(I730=1,1.0,0)</f>
        <v/>
      </c>
      <c r="H730" s="5" t="s">
        <v>15</v>
      </c>
      <c r="I730" s="8">
        <f>IF(OR(LOOKUP(A730,characters!A:A,characters!B:B)=-1, LOOKUP(A730,characters!A:A,characters!B:B)+0.1&gt;=B730),1,0)</f>
        <v/>
      </c>
    </row>
    <row r="731" spans="1:9">
      <c r="A731" s="4" t="s">
        <v>50</v>
      </c>
      <c r="B731" s="7">
        <v>0.4</v>
      </c>
      <c r="C731" s="6">
        <f>IF(I731=1,0.9,0)</f>
        <v/>
      </c>
      <c r="D731" s="6">
        <f>IF(I731=1,0.8,0)</f>
        <v/>
      </c>
      <c r="E731" s="6">
        <f>IF(I731=1,0.8,0)</f>
        <v/>
      </c>
      <c r="F731" s="5" t="s">
        <v>15</v>
      </c>
      <c r="G731" s="5" t="s">
        <v>15</v>
      </c>
      <c r="H731" s="6">
        <f>IF(I731=1,1.0,0)</f>
        <v/>
      </c>
      <c r="I731" s="8">
        <f>IF(OR(LOOKUP(A731,characters!A:A,characters!B:B)=-1, LOOKUP(A731,characters!A:A,characters!B:B)+0.1&gt;=B731),1,0)</f>
        <v/>
      </c>
    </row>
    <row r="733" spans="1:9">
      <c r="A733" s="3" t="s">
        <v>17</v>
      </c>
      <c r="B733" s="3" t="s">
        <v>9</v>
      </c>
      <c r="C733" s="3" t="s">
        <v>24</v>
      </c>
      <c r="D733" s="3" t="s">
        <v>25</v>
      </c>
      <c r="E733" s="3" t="s">
        <v>10</v>
      </c>
      <c r="F733" s="3" t="s">
        <v>11</v>
      </c>
    </row>
    <row r="734" spans="1:9">
      <c r="A734" s="4" t="s">
        <v>14</v>
      </c>
      <c r="B734" s="5" t="s">
        <v>15</v>
      </c>
      <c r="C734" s="6">
        <f>IF(SUM(G735:G741)=0,0,SUM(C735:C741)/SUM(G735:G741))</f>
        <v/>
      </c>
      <c r="D734" s="6">
        <f>IF(SUM(G735:G741)=0,0,SUM(D735:D741)/SUM(G735:G741))</f>
        <v/>
      </c>
      <c r="E734" s="6">
        <f>IF(SUM(G735:G741)=0,0,SUM(E735:E741)/SUM(G735:G741))</f>
        <v/>
      </c>
      <c r="F734" s="6">
        <f>IF(SUM(G735:G741)=0,0,SUM(F735:F741)/SUM(G735:G741))</f>
        <v/>
      </c>
    </row>
    <row r="735" spans="1:9">
      <c r="A735" s="4" t="s">
        <v>46</v>
      </c>
      <c r="B735" s="7">
        <v>0.3</v>
      </c>
      <c r="C735" s="6">
        <f>IF(G735=1,1.0,0)</f>
        <v/>
      </c>
      <c r="D735" s="6">
        <f>IF(G735=1,0.99,0)</f>
        <v/>
      </c>
      <c r="E735" s="5" t="s">
        <v>15</v>
      </c>
      <c r="F735" s="5" t="s">
        <v>15</v>
      </c>
      <c r="G735" s="8">
        <f>IF(OR(LOOKUP(A735,characters!A:A,characters!B:B)=-1, LOOKUP(A735,characters!A:A,characters!B:B)+0.1&gt;=B735),1,0)</f>
        <v/>
      </c>
    </row>
    <row r="736" spans="1:9">
      <c r="A736" s="4" t="s">
        <v>58</v>
      </c>
      <c r="B736" s="7">
        <v>0</v>
      </c>
      <c r="C736" s="6">
        <f>IF(G736=1,1.0,0)</f>
        <v/>
      </c>
      <c r="D736" s="6">
        <f>IF(G736=1,0.99,0)</f>
        <v/>
      </c>
      <c r="E736" s="5" t="s">
        <v>15</v>
      </c>
      <c r="F736" s="5" t="s">
        <v>15</v>
      </c>
      <c r="G736" s="8">
        <f>IF(OR(LOOKUP(A736,characters!A:A,characters!B:B)=-1, LOOKUP(A736,characters!A:A,characters!B:B)+0.1&gt;=B736),1,0)</f>
        <v/>
      </c>
    </row>
    <row r="737" spans="1:7">
      <c r="A737" s="4" t="s">
        <v>16</v>
      </c>
      <c r="B737" s="7">
        <v>0</v>
      </c>
      <c r="C737" s="5" t="s">
        <v>15</v>
      </c>
      <c r="D737" s="5" t="s">
        <v>15</v>
      </c>
      <c r="E737" s="6">
        <f>IF(G737=1,1.0,0)</f>
        <v/>
      </c>
      <c r="F737" s="6">
        <f>IF(G737=1,0.9,0)</f>
        <v/>
      </c>
      <c r="G737" s="8">
        <f>IF(OR(LOOKUP(A737,characters!A:A,characters!B:B)=-1, LOOKUP(A737,characters!A:A,characters!B:B)+0.1&gt;=B737),1,0)</f>
        <v/>
      </c>
    </row>
    <row r="738" spans="1:7">
      <c r="A738" s="4" t="s">
        <v>47</v>
      </c>
      <c r="B738" s="7">
        <v>0.3</v>
      </c>
      <c r="C738" s="6">
        <f>IF(G738=1,1.0,0)</f>
        <v/>
      </c>
      <c r="D738" s="6">
        <f>IF(G738=1,0.99,0)</f>
        <v/>
      </c>
      <c r="E738" s="5" t="s">
        <v>15</v>
      </c>
      <c r="F738" s="5" t="s">
        <v>15</v>
      </c>
      <c r="G738" s="8">
        <f>IF(OR(LOOKUP(A738,characters!A:A,characters!B:B)=-1, LOOKUP(A738,characters!A:A,characters!B:B)+0.1&gt;=B738),1,0)</f>
        <v/>
      </c>
    </row>
    <row r="739" spans="1:7">
      <c r="A739" s="4" t="s">
        <v>66</v>
      </c>
      <c r="B739" s="7">
        <v>0.2</v>
      </c>
      <c r="C739" s="6">
        <f>IF(G739=1,1.0,0)</f>
        <v/>
      </c>
      <c r="D739" s="6">
        <f>IF(G739=1,0.99,0)</f>
        <v/>
      </c>
      <c r="E739" s="5" t="s">
        <v>15</v>
      </c>
      <c r="F739" s="5" t="s">
        <v>15</v>
      </c>
      <c r="G739" s="8">
        <f>IF(OR(LOOKUP(A739,characters!A:A,characters!B:B)=-1, LOOKUP(A739,characters!A:A,characters!B:B)+0.1&gt;=B739),1,0)</f>
        <v/>
      </c>
    </row>
    <row r="740" spans="1:7">
      <c r="A740" s="4" t="s">
        <v>50</v>
      </c>
      <c r="B740" s="7">
        <v>0.4</v>
      </c>
      <c r="C740" s="5" t="s">
        <v>15</v>
      </c>
      <c r="D740" s="5" t="s">
        <v>15</v>
      </c>
      <c r="E740" s="6">
        <f>IF(G740=1,1.0,0)</f>
        <v/>
      </c>
      <c r="F740" s="6">
        <f>IF(G740=1,1.0,0)</f>
        <v/>
      </c>
      <c r="G740" s="8">
        <f>IF(OR(LOOKUP(A740,characters!A:A,characters!B:B)=-1, LOOKUP(A740,characters!A:A,characters!B:B)+0.1&gt;=B740),1,0)</f>
        <v/>
      </c>
    </row>
    <row r="741" spans="1:7">
      <c r="A741" s="4" t="s">
        <v>27</v>
      </c>
      <c r="B741" s="7">
        <v>0.2</v>
      </c>
      <c r="C741" s="5" t="s">
        <v>15</v>
      </c>
      <c r="D741" s="5" t="s">
        <v>15</v>
      </c>
      <c r="E741" s="6">
        <f>IF(G741=1,1.0,0)</f>
        <v/>
      </c>
      <c r="F741" s="5" t="s">
        <v>15</v>
      </c>
      <c r="G741" s="8">
        <f>IF(OR(LOOKUP(A741,characters!A:A,characters!B:B)=-1, LOOKUP(A741,characters!A:A,characters!B:B)+0.1&gt;=B741),1,0)</f>
        <v/>
      </c>
    </row>
    <row r="743" spans="1:7">
      <c r="A743" s="3" t="s">
        <v>18</v>
      </c>
      <c r="B743" s="3" t="s">
        <v>9</v>
      </c>
      <c r="C743" s="3" t="s">
        <v>19</v>
      </c>
      <c r="D743" s="3" t="s">
        <v>20</v>
      </c>
      <c r="E743" s="3" t="s">
        <v>11</v>
      </c>
      <c r="F743" s="3" t="s">
        <v>29</v>
      </c>
    </row>
    <row r="744" spans="1:7">
      <c r="A744" s="4" t="s">
        <v>14</v>
      </c>
      <c r="B744" s="5" t="s">
        <v>15</v>
      </c>
      <c r="C744" s="6">
        <f>IF(SUM(G745:G751)=0,0,SUM(C745:C751)/SUM(G745:G751))</f>
        <v/>
      </c>
      <c r="D744" s="6">
        <f>IF(SUM(G745:G751)=0,0,SUM(D745:D751)/SUM(G745:G751))</f>
        <v/>
      </c>
      <c r="E744" s="6">
        <f>IF(SUM(G745:G751)=0,0,SUM(E745:E751)/SUM(G745:G751))</f>
        <v/>
      </c>
      <c r="F744" s="6">
        <f>IF(SUM(G745:G751)=0,0,SUM(F745:F751)/SUM(G745:G751))</f>
        <v/>
      </c>
    </row>
    <row r="745" spans="1:7">
      <c r="A745" s="4" t="s">
        <v>46</v>
      </c>
      <c r="B745" s="7">
        <v>0.3</v>
      </c>
      <c r="C745" s="6">
        <f>IF(G745=1,1.0,0)</f>
        <v/>
      </c>
      <c r="D745" s="5" t="s">
        <v>15</v>
      </c>
      <c r="E745" s="5" t="s">
        <v>15</v>
      </c>
      <c r="F745" s="5" t="s">
        <v>15</v>
      </c>
      <c r="G745" s="8">
        <f>IF(OR(LOOKUP(A745,characters!A:A,characters!B:B)=-1, LOOKUP(A745,characters!A:A,characters!B:B)+0.1&gt;=B745),1,0)</f>
        <v/>
      </c>
    </row>
    <row r="746" spans="1:7">
      <c r="A746" s="4" t="s">
        <v>58</v>
      </c>
      <c r="B746" s="7">
        <v>0</v>
      </c>
      <c r="C746" s="6">
        <f>IF(G746=1,1.0,0)</f>
        <v/>
      </c>
      <c r="D746" s="5" t="s">
        <v>15</v>
      </c>
      <c r="E746" s="5" t="s">
        <v>15</v>
      </c>
      <c r="F746" s="5" t="s">
        <v>15</v>
      </c>
      <c r="G746" s="8">
        <f>IF(OR(LOOKUP(A746,characters!A:A,characters!B:B)=-1, LOOKUP(A746,characters!A:A,characters!B:B)+0.1&gt;=B746),1,0)</f>
        <v/>
      </c>
    </row>
    <row r="747" spans="1:7">
      <c r="A747" s="4" t="s">
        <v>16</v>
      </c>
      <c r="B747" s="7">
        <v>0</v>
      </c>
      <c r="C747" s="6">
        <f>IF(G747=1,1.0,0)</f>
        <v/>
      </c>
      <c r="D747" s="6">
        <f>IF(G747=1,0.9,0)</f>
        <v/>
      </c>
      <c r="E747" s="6">
        <f>IF(G747=1,0.9,0)</f>
        <v/>
      </c>
      <c r="F747" s="5" t="s">
        <v>15</v>
      </c>
      <c r="G747" s="8">
        <f>IF(OR(LOOKUP(A747,characters!A:A,characters!B:B)=-1, LOOKUP(A747,characters!A:A,characters!B:B)+0.1&gt;=B747),1,0)</f>
        <v/>
      </c>
    </row>
    <row r="748" spans="1:7">
      <c r="A748" s="4" t="s">
        <v>47</v>
      </c>
      <c r="B748" s="7">
        <v>0.3</v>
      </c>
      <c r="C748" s="5" t="s">
        <v>15</v>
      </c>
      <c r="D748" s="5" t="s">
        <v>15</v>
      </c>
      <c r="E748" s="5" t="s">
        <v>15</v>
      </c>
      <c r="F748" s="6">
        <f>IF(G748=1,1.0,0)</f>
        <v/>
      </c>
      <c r="G748" s="8">
        <f>IF(OR(LOOKUP(A748,characters!A:A,characters!B:B)=-1, LOOKUP(A748,characters!A:A,characters!B:B)+0.1&gt;=B748),1,0)</f>
        <v/>
      </c>
    </row>
    <row r="749" spans="1:7">
      <c r="A749" s="4" t="s">
        <v>66</v>
      </c>
      <c r="B749" s="7">
        <v>0.2</v>
      </c>
      <c r="C749" s="6">
        <f>IF(G749=1,1.0,0)</f>
        <v/>
      </c>
      <c r="D749" s="5" t="s">
        <v>15</v>
      </c>
      <c r="E749" s="5" t="s">
        <v>15</v>
      </c>
      <c r="F749" s="5" t="s">
        <v>15</v>
      </c>
      <c r="G749" s="8">
        <f>IF(OR(LOOKUP(A749,characters!A:A,characters!B:B)=-1, LOOKUP(A749,characters!A:A,characters!B:B)+0.1&gt;=B749),1,0)</f>
        <v/>
      </c>
    </row>
    <row r="750" spans="1:7">
      <c r="A750" s="4" t="s">
        <v>50</v>
      </c>
      <c r="B750" s="7">
        <v>0.4</v>
      </c>
      <c r="C750" s="5" t="s">
        <v>15</v>
      </c>
      <c r="D750" s="6">
        <f>IF(G750=1,1.0,0)</f>
        <v/>
      </c>
      <c r="E750" s="5" t="s">
        <v>15</v>
      </c>
      <c r="F750" s="5" t="s">
        <v>15</v>
      </c>
      <c r="G750" s="8">
        <f>IF(OR(LOOKUP(A750,characters!A:A,characters!B:B)=-1, LOOKUP(A750,characters!A:A,characters!B:B)+0.1&gt;=B750),1,0)</f>
        <v/>
      </c>
    </row>
    <row r="751" spans="1:7">
      <c r="A751" s="4" t="s">
        <v>27</v>
      </c>
      <c r="B751" s="7">
        <v>0.2</v>
      </c>
      <c r="C751" s="6">
        <f>IF(G751=1,1.0,0)</f>
        <v/>
      </c>
      <c r="D751" s="6">
        <f>IF(G751=1,0.99,0)</f>
        <v/>
      </c>
      <c r="E751" s="5" t="s">
        <v>15</v>
      </c>
      <c r="F751" s="5" t="s">
        <v>15</v>
      </c>
      <c r="G751" s="8">
        <f>IF(OR(LOOKUP(A751,characters!A:A,characters!B:B)=-1, LOOKUP(A751,characters!A:A,characters!B:B)+0.1&gt;=B751),1,0)</f>
        <v/>
      </c>
    </row>
    <row r="753" spans="1:7">
      <c r="A753" s="3" t="s">
        <v>21</v>
      </c>
      <c r="B753" s="3" t="s">
        <v>9</v>
      </c>
      <c r="C753" s="3" t="s">
        <v>30</v>
      </c>
      <c r="D753" s="3" t="s">
        <v>11</v>
      </c>
      <c r="E753" s="3" t="s">
        <v>22</v>
      </c>
      <c r="F753" s="3" t="s">
        <v>56</v>
      </c>
    </row>
    <row r="754" spans="1:7">
      <c r="A754" s="4" t="s">
        <v>14</v>
      </c>
      <c r="B754" s="5" t="s">
        <v>15</v>
      </c>
      <c r="C754" s="6">
        <f>IF(SUM(G755:G761)=0,0,SUM(C755:C761)/SUM(G755:G761))</f>
        <v/>
      </c>
      <c r="D754" s="6">
        <f>IF(SUM(G755:G761)=0,0,SUM(D755:D761)/SUM(G755:G761))</f>
        <v/>
      </c>
      <c r="E754" s="6">
        <f>IF(SUM(G755:G761)=0,0,SUM(E755:E761)/SUM(G755:G761))</f>
        <v/>
      </c>
      <c r="F754" s="6">
        <f>IF(SUM(G755:G761)=0,0,SUM(F755:F761)/SUM(G755:G761))</f>
        <v/>
      </c>
    </row>
    <row r="755" spans="1:7">
      <c r="A755" s="4" t="s">
        <v>46</v>
      </c>
      <c r="B755" s="7">
        <v>0.3</v>
      </c>
      <c r="C755" s="6">
        <f>IF(G755=1,1.0,0)</f>
        <v/>
      </c>
      <c r="D755" s="5" t="s">
        <v>15</v>
      </c>
      <c r="E755" s="5" t="s">
        <v>15</v>
      </c>
      <c r="F755" s="5" t="s">
        <v>15</v>
      </c>
      <c r="G755" s="8">
        <f>IF(OR(LOOKUP(A755,characters!A:A,characters!B:B)=-1, LOOKUP(A755,characters!A:A,characters!B:B)+0.1&gt;=B755),1,0)</f>
        <v/>
      </c>
    </row>
    <row r="756" spans="1:7">
      <c r="A756" s="4" t="s">
        <v>58</v>
      </c>
      <c r="B756" s="7">
        <v>0</v>
      </c>
      <c r="C756" s="5" t="s">
        <v>15</v>
      </c>
      <c r="D756" s="6">
        <f>IF(G756=1,1.0,0)</f>
        <v/>
      </c>
      <c r="E756" s="5" t="s">
        <v>15</v>
      </c>
      <c r="F756" s="5" t="s">
        <v>15</v>
      </c>
      <c r="G756" s="8">
        <f>IF(OR(LOOKUP(A756,characters!A:A,characters!B:B)=-1, LOOKUP(A756,characters!A:A,characters!B:B)+0.1&gt;=B756),1,0)</f>
        <v/>
      </c>
    </row>
    <row r="757" spans="1:7">
      <c r="A757" s="4" t="s">
        <v>16</v>
      </c>
      <c r="B757" s="7">
        <v>0</v>
      </c>
      <c r="C757" s="5" t="s">
        <v>15</v>
      </c>
      <c r="D757" s="6">
        <f>IF(G757=1,1.0,0)</f>
        <v/>
      </c>
      <c r="E757" s="6">
        <f>IF(G757=1,1.0,0)</f>
        <v/>
      </c>
      <c r="F757" s="5" t="s">
        <v>15</v>
      </c>
      <c r="G757" s="8">
        <f>IF(OR(LOOKUP(A757,characters!A:A,characters!B:B)=-1, LOOKUP(A757,characters!A:A,characters!B:B)+0.1&gt;=B757),1,0)</f>
        <v/>
      </c>
    </row>
    <row r="758" spans="1:7">
      <c r="A758" s="4" t="s">
        <v>47</v>
      </c>
      <c r="B758" s="7">
        <v>0.3</v>
      </c>
      <c r="C758" s="6">
        <f>IF(G758=1,1.0,0)</f>
        <v/>
      </c>
      <c r="D758" s="5" t="s">
        <v>15</v>
      </c>
      <c r="E758" s="5" t="s">
        <v>15</v>
      </c>
      <c r="F758" s="5" t="s">
        <v>15</v>
      </c>
      <c r="G758" s="8">
        <f>IF(OR(LOOKUP(A758,characters!A:A,characters!B:B)=-1, LOOKUP(A758,characters!A:A,characters!B:B)+0.1&gt;=B758),1,0)</f>
        <v/>
      </c>
    </row>
    <row r="759" spans="1:7">
      <c r="A759" s="4" t="s">
        <v>66</v>
      </c>
      <c r="B759" s="7">
        <v>0.2</v>
      </c>
      <c r="C759" s="6">
        <f>IF(G759=1,1.0,0)</f>
        <v/>
      </c>
      <c r="D759" s="5" t="s">
        <v>15</v>
      </c>
      <c r="E759" s="5" t="s">
        <v>15</v>
      </c>
      <c r="F759" s="5" t="s">
        <v>15</v>
      </c>
      <c r="G759" s="8">
        <f>IF(OR(LOOKUP(A759,characters!A:A,characters!B:B)=-1, LOOKUP(A759,characters!A:A,characters!B:B)+0.1&gt;=B759),1,0)</f>
        <v/>
      </c>
    </row>
    <row r="760" spans="1:7">
      <c r="A760" s="4" t="s">
        <v>50</v>
      </c>
      <c r="B760" s="7">
        <v>0.4</v>
      </c>
      <c r="C760" s="5" t="s">
        <v>15</v>
      </c>
      <c r="D760" s="6">
        <f>IF(G760=1,0.99,0)</f>
        <v/>
      </c>
      <c r="E760" s="5" t="s">
        <v>15</v>
      </c>
      <c r="F760" s="6">
        <f>IF(G760=1,1.0,0)</f>
        <v/>
      </c>
      <c r="G760" s="8">
        <f>IF(OR(LOOKUP(A760,characters!A:A,characters!B:B)=-1, LOOKUP(A760,characters!A:A,characters!B:B)+0.1&gt;=B760),1,0)</f>
        <v/>
      </c>
    </row>
    <row r="761" spans="1:7">
      <c r="A761" s="4" t="s">
        <v>27</v>
      </c>
      <c r="B761" s="7">
        <v>0.2</v>
      </c>
      <c r="C761" s="5" t="s">
        <v>15</v>
      </c>
      <c r="D761" s="6">
        <f>IF(G761=1,1.0,0)</f>
        <v/>
      </c>
      <c r="E761" s="6">
        <f>IF(G761=1,1.0,0)</f>
        <v/>
      </c>
      <c r="F761" s="5" t="s">
        <v>15</v>
      </c>
      <c r="G761" s="8">
        <f>IF(OR(LOOKUP(A761,characters!A:A,characters!B:B)=-1, LOOKUP(A761,characters!A:A,characters!B:B)+0.1&gt;=B761),1,0)</f>
        <v/>
      </c>
    </row>
    <row r="768" spans="1:7">
      <c r="A768" s="3" t="s">
        <v>71</v>
      </c>
    </row>
    <row r="769" spans="1:9">
      <c r="A769" s="3" t="s">
        <v>8</v>
      </c>
      <c r="B769" s="3" t="s">
        <v>9</v>
      </c>
      <c r="C769" s="3" t="s">
        <v>24</v>
      </c>
      <c r="D769" s="3" t="s">
        <v>25</v>
      </c>
      <c r="E769" s="3" t="s">
        <v>11</v>
      </c>
      <c r="F769" s="3" t="s">
        <v>13</v>
      </c>
      <c r="G769" s="3" t="s">
        <v>12</v>
      </c>
      <c r="H769" s="3" t="s">
        <v>10</v>
      </c>
    </row>
    <row r="770" spans="1:9">
      <c r="A770" s="4" t="s">
        <v>14</v>
      </c>
      <c r="B770" s="5" t="s">
        <v>15</v>
      </c>
      <c r="C770" s="6">
        <f>IF(SUM(I771:I779)=0,0,SUM(C771:C779)/SUM(I771:I779))</f>
        <v/>
      </c>
      <c r="D770" s="6">
        <f>IF(SUM(I771:I779)=0,0,SUM(D771:D779)/SUM(I771:I779))</f>
        <v/>
      </c>
      <c r="E770" s="6">
        <f>IF(SUM(I771:I779)=0,0,SUM(E771:E779)/SUM(I771:I779))</f>
        <v/>
      </c>
      <c r="F770" s="6">
        <f>IF(SUM(I771:I779)=0,0,SUM(F771:F779)/SUM(I771:I779))</f>
        <v/>
      </c>
      <c r="G770" s="6">
        <f>IF(SUM(I771:I779)=0,0,SUM(G771:G779)/SUM(I771:I779))</f>
        <v/>
      </c>
      <c r="H770" s="6">
        <f>IF(SUM(I771:I779)=0,0,SUM(H771:H779)/SUM(I771:I779))</f>
        <v/>
      </c>
    </row>
    <row r="771" spans="1:9">
      <c r="A771" s="4" t="s">
        <v>40</v>
      </c>
      <c r="B771" s="7">
        <v>0</v>
      </c>
      <c r="C771" s="6">
        <f>IF(I771=1,1.0,0)</f>
        <v/>
      </c>
      <c r="D771" s="6">
        <f>IF(I771=1,1.0,0)</f>
        <v/>
      </c>
      <c r="E771" s="6">
        <f>IF(I771=1,0.9,0)</f>
        <v/>
      </c>
      <c r="F771" s="6">
        <f>IF(I771=1,0.8,0)</f>
        <v/>
      </c>
      <c r="G771" s="6">
        <f>IF(I771=1,0.8,0)</f>
        <v/>
      </c>
      <c r="H771" s="5" t="s">
        <v>15</v>
      </c>
      <c r="I771" s="8">
        <f>IF(OR(LOOKUP(A771,characters!A:A,characters!B:B)=-1, LOOKUP(A771,characters!A:A,characters!B:B)+0.1&gt;=B771),1,0)</f>
        <v/>
      </c>
    </row>
    <row r="772" spans="1:9">
      <c r="A772" s="4" t="s">
        <v>59</v>
      </c>
      <c r="B772" s="7">
        <v>0</v>
      </c>
      <c r="C772" s="6">
        <f>IF(I772=1,1.0,0)</f>
        <v/>
      </c>
      <c r="D772" s="6">
        <f>IF(I772=1,1.0,0)</f>
        <v/>
      </c>
      <c r="E772" s="6">
        <f>IF(I772=1,0.9,0)</f>
        <v/>
      </c>
      <c r="F772" s="6">
        <f>IF(I772=1,0.8,0)</f>
        <v/>
      </c>
      <c r="G772" s="6">
        <f>IF(I772=1,0.8,0)</f>
        <v/>
      </c>
      <c r="H772" s="5" t="s">
        <v>15</v>
      </c>
      <c r="I772" s="8">
        <f>IF(OR(LOOKUP(A772,characters!A:A,characters!B:B)=-1, LOOKUP(A772,characters!A:A,characters!B:B)+0.1&gt;=B772),1,0)</f>
        <v/>
      </c>
    </row>
    <row r="773" spans="1:9">
      <c r="A773" s="4" t="s">
        <v>58</v>
      </c>
      <c r="B773" s="7">
        <v>0.1</v>
      </c>
      <c r="C773" s="6">
        <f>IF(I773=1,1.0,0)</f>
        <v/>
      </c>
      <c r="D773" s="6">
        <f>IF(I773=1,1.0,0)</f>
        <v/>
      </c>
      <c r="E773" s="6">
        <f>IF(I773=1,0.9,0)</f>
        <v/>
      </c>
      <c r="F773" s="6">
        <f>IF(I773=1,0.8,0)</f>
        <v/>
      </c>
      <c r="G773" s="6">
        <f>IF(I773=1,0.8,0)</f>
        <v/>
      </c>
      <c r="H773" s="5" t="s">
        <v>15</v>
      </c>
      <c r="I773" s="8">
        <f>IF(OR(LOOKUP(A773,characters!A:A,characters!B:B)=-1, LOOKUP(A773,characters!A:A,characters!B:B)+0.1&gt;=B773),1,0)</f>
        <v/>
      </c>
    </row>
    <row r="774" spans="1:9">
      <c r="A774" s="4" t="s">
        <v>36</v>
      </c>
      <c r="B774" s="7">
        <v>0.1</v>
      </c>
      <c r="C774" s="6">
        <f>IF(I774=1,1.0,0)</f>
        <v/>
      </c>
      <c r="D774" s="6">
        <f>IF(I774=1,1.0,0)</f>
        <v/>
      </c>
      <c r="E774" s="6">
        <f>IF(I774=1,0.9,0)</f>
        <v/>
      </c>
      <c r="F774" s="6">
        <f>IF(I774=1,0.8,0)</f>
        <v/>
      </c>
      <c r="G774" s="6">
        <f>IF(I774=1,0.8,0)</f>
        <v/>
      </c>
      <c r="H774" s="5" t="s">
        <v>15</v>
      </c>
      <c r="I774" s="8">
        <f>IF(OR(LOOKUP(A774,characters!A:A,characters!B:B)=-1, LOOKUP(A774,characters!A:A,characters!B:B)+0.1&gt;=B774),1,0)</f>
        <v/>
      </c>
    </row>
    <row r="775" spans="1:9">
      <c r="A775" s="4" t="s">
        <v>38</v>
      </c>
      <c r="B775" s="7">
        <v>0.1</v>
      </c>
      <c r="C775" s="6">
        <f>IF(I775=1,1.0,0)</f>
        <v/>
      </c>
      <c r="D775" s="6">
        <f>IF(I775=1,1.0,0)</f>
        <v/>
      </c>
      <c r="E775" s="6">
        <f>IF(I775=1,0.9,0)</f>
        <v/>
      </c>
      <c r="F775" s="6">
        <f>IF(I775=1,0.8,0)</f>
        <v/>
      </c>
      <c r="G775" s="6">
        <f>IF(I775=1,0.8,0)</f>
        <v/>
      </c>
      <c r="H775" s="5" t="s">
        <v>15</v>
      </c>
      <c r="I775" s="8">
        <f>IF(OR(LOOKUP(A775,characters!A:A,characters!B:B)=-1, LOOKUP(A775,characters!A:A,characters!B:B)+0.1&gt;=B775),1,0)</f>
        <v/>
      </c>
    </row>
    <row r="776" spans="1:9">
      <c r="A776" s="4" t="s">
        <v>60</v>
      </c>
      <c r="B776" s="7">
        <v>0.1</v>
      </c>
      <c r="C776" s="6">
        <f>IF(I776=1,1.0,0)</f>
        <v/>
      </c>
      <c r="D776" s="6">
        <f>IF(I776=1,1.0,0)</f>
        <v/>
      </c>
      <c r="E776" s="6">
        <f>IF(I776=1,0.9,0)</f>
        <v/>
      </c>
      <c r="F776" s="6">
        <f>IF(I776=1,0.8,0)</f>
        <v/>
      </c>
      <c r="G776" s="6">
        <f>IF(I776=1,0.8,0)</f>
        <v/>
      </c>
      <c r="H776" s="5" t="s">
        <v>15</v>
      </c>
      <c r="I776" s="8">
        <f>IF(OR(LOOKUP(A776,characters!A:A,characters!B:B)=-1, LOOKUP(A776,characters!A:A,characters!B:B)+0.1&gt;=B776),1,0)</f>
        <v/>
      </c>
    </row>
    <row r="777" spans="1:9">
      <c r="A777" s="4" t="s">
        <v>33</v>
      </c>
      <c r="B777" s="7">
        <v>0.1</v>
      </c>
      <c r="C777" s="6">
        <f>IF(I777=1,1.0,0)</f>
        <v/>
      </c>
      <c r="D777" s="6">
        <f>IF(I777=1,1.0,0)</f>
        <v/>
      </c>
      <c r="E777" s="6">
        <f>IF(I777=1,0.9,0)</f>
        <v/>
      </c>
      <c r="F777" s="6">
        <f>IF(I777=1,0.8,0)</f>
        <v/>
      </c>
      <c r="G777" s="6">
        <f>IF(I777=1,0.8,0)</f>
        <v/>
      </c>
      <c r="H777" s="5" t="s">
        <v>15</v>
      </c>
      <c r="I777" s="8">
        <f>IF(OR(LOOKUP(A777,characters!A:A,characters!B:B)=-1, LOOKUP(A777,characters!A:A,characters!B:B)+0.1&gt;=B777),1,0)</f>
        <v/>
      </c>
    </row>
    <row r="778" spans="1:9">
      <c r="A778" s="4" t="s">
        <v>66</v>
      </c>
      <c r="B778" s="7">
        <v>0.4</v>
      </c>
      <c r="C778" s="6">
        <f>IF(I778=1,1.0,0)</f>
        <v/>
      </c>
      <c r="D778" s="6">
        <f>IF(I778=1,1.0,0)</f>
        <v/>
      </c>
      <c r="E778" s="6">
        <f>IF(I778=1,0.9,0)</f>
        <v/>
      </c>
      <c r="F778" s="6">
        <f>IF(I778=1,0.8,0)</f>
        <v/>
      </c>
      <c r="G778" s="6">
        <f>IF(I778=1,0.8,0)</f>
        <v/>
      </c>
      <c r="H778" s="5" t="s">
        <v>15</v>
      </c>
      <c r="I778" s="8">
        <f>IF(OR(LOOKUP(A778,characters!A:A,characters!B:B)=-1, LOOKUP(A778,characters!A:A,characters!B:B)+0.1&gt;=B778),1,0)</f>
        <v/>
      </c>
    </row>
    <row r="779" spans="1:9">
      <c r="A779" s="4" t="s">
        <v>28</v>
      </c>
      <c r="B779" s="7">
        <v>0.5</v>
      </c>
      <c r="C779" s="6">
        <f>IF(I779=1,1.0,0)</f>
        <v/>
      </c>
      <c r="D779" s="6">
        <f>IF(I779=1,1.0,0)</f>
        <v/>
      </c>
      <c r="E779" s="6">
        <f>IF(I779=1,1.0,0)</f>
        <v/>
      </c>
      <c r="F779" s="6">
        <f>IF(I779=1,0.9,0)</f>
        <v/>
      </c>
      <c r="G779" s="6">
        <f>IF(I779=1,0.8,0)</f>
        <v/>
      </c>
      <c r="H779" s="6">
        <f>IF(I779=1,1.0,0)</f>
        <v/>
      </c>
      <c r="I779" s="8">
        <f>IF(OR(LOOKUP(A779,characters!A:A,characters!B:B)=-1, LOOKUP(A779,characters!A:A,characters!B:B)+0.1&gt;=B779),1,0)</f>
        <v/>
      </c>
    </row>
    <row r="781" spans="1:9">
      <c r="A781" s="3" t="s">
        <v>17</v>
      </c>
      <c r="B781" s="3" t="s">
        <v>9</v>
      </c>
      <c r="C781" s="3" t="s">
        <v>24</v>
      </c>
      <c r="D781" s="3" t="s">
        <v>25</v>
      </c>
      <c r="E781" s="3" t="s">
        <v>10</v>
      </c>
    </row>
    <row r="782" spans="1:9">
      <c r="A782" s="4" t="s">
        <v>14</v>
      </c>
      <c r="B782" s="5" t="s">
        <v>15</v>
      </c>
      <c r="C782" s="6">
        <f>IF(SUM(F783:F791)=0,0,SUM(C783:C791)/SUM(F783:F791))</f>
        <v/>
      </c>
      <c r="D782" s="6">
        <f>IF(SUM(F783:F791)=0,0,SUM(D783:D791)/SUM(F783:F791))</f>
        <v/>
      </c>
      <c r="E782" s="6">
        <f>IF(SUM(F783:F791)=0,0,SUM(E783:E791)/SUM(F783:F791))</f>
        <v/>
      </c>
    </row>
    <row r="783" spans="1:9">
      <c r="A783" s="4" t="s">
        <v>58</v>
      </c>
      <c r="B783" s="7">
        <v>0.1</v>
      </c>
      <c r="C783" s="6">
        <f>IF(F783=1,1.0,0)</f>
        <v/>
      </c>
      <c r="D783" s="6">
        <f>IF(F783=1,0.99,0)</f>
        <v/>
      </c>
      <c r="E783" s="5" t="s">
        <v>15</v>
      </c>
      <c r="F783" s="8">
        <f>IF(OR(LOOKUP(A783,characters!A:A,characters!B:B)=-1, LOOKUP(A783,characters!A:A,characters!B:B)+0.1&gt;=B783),1,0)</f>
        <v/>
      </c>
    </row>
    <row r="784" spans="1:9">
      <c r="A784" s="4" t="s">
        <v>40</v>
      </c>
      <c r="B784" s="7">
        <v>0</v>
      </c>
      <c r="C784" s="6">
        <f>IF(F784=1,1.0,0)</f>
        <v/>
      </c>
      <c r="D784" s="6">
        <f>IF(F784=1,1.0,0)</f>
        <v/>
      </c>
      <c r="E784" s="5" t="s">
        <v>15</v>
      </c>
      <c r="F784" s="8">
        <f>IF(OR(LOOKUP(A784,characters!A:A,characters!B:B)=-1, LOOKUP(A784,characters!A:A,characters!B:B)+0.1&gt;=B784),1,0)</f>
        <v/>
      </c>
    </row>
    <row r="785" spans="1:10">
      <c r="A785" s="4" t="s">
        <v>36</v>
      </c>
      <c r="B785" s="7">
        <v>0.1</v>
      </c>
      <c r="C785" s="6">
        <f>IF(F785=1,1.0,0)</f>
        <v/>
      </c>
      <c r="D785" s="6">
        <f>IF(F785=1,1.0,0)</f>
        <v/>
      </c>
      <c r="E785" s="5" t="s">
        <v>15</v>
      </c>
      <c r="F785" s="8">
        <f>IF(OR(LOOKUP(A785,characters!A:A,characters!B:B)=-1, LOOKUP(A785,characters!A:A,characters!B:B)+0.1&gt;=B785),1,0)</f>
        <v/>
      </c>
    </row>
    <row r="786" spans="1:10">
      <c r="A786" s="4" t="s">
        <v>59</v>
      </c>
      <c r="B786" s="7">
        <v>0</v>
      </c>
      <c r="C786" s="6">
        <f>IF(F786=1,1.0,0)</f>
        <v/>
      </c>
      <c r="D786" s="6">
        <f>IF(F786=1,1.0,0)</f>
        <v/>
      </c>
      <c r="E786" s="5" t="s">
        <v>15</v>
      </c>
      <c r="F786" s="8">
        <f>IF(OR(LOOKUP(A786,characters!A:A,characters!B:B)=-1, LOOKUP(A786,characters!A:A,characters!B:B)+0.1&gt;=B786),1,0)</f>
        <v/>
      </c>
    </row>
    <row r="787" spans="1:10">
      <c r="A787" s="4" t="s">
        <v>28</v>
      </c>
      <c r="B787" s="7">
        <v>0.5</v>
      </c>
      <c r="C787" s="6">
        <f>IF(F787=1,1.0,0)</f>
        <v/>
      </c>
      <c r="D787" s="6">
        <f>IF(F787=1,0.99,0)</f>
        <v/>
      </c>
      <c r="E787" s="6">
        <f>IF(F787=1,0.99,0)</f>
        <v/>
      </c>
      <c r="F787" s="8">
        <f>IF(OR(LOOKUP(A787,characters!A:A,characters!B:B)=-1, LOOKUP(A787,characters!A:A,characters!B:B)+0.1&gt;=B787),1,0)</f>
        <v/>
      </c>
    </row>
    <row r="788" spans="1:10">
      <c r="A788" s="4" t="s">
        <v>38</v>
      </c>
      <c r="B788" s="7">
        <v>0.1</v>
      </c>
      <c r="C788" s="6">
        <f>IF(F788=1,1.0,0)</f>
        <v/>
      </c>
      <c r="D788" s="6">
        <f>IF(F788=1,1.0,0)</f>
        <v/>
      </c>
      <c r="E788" s="5" t="s">
        <v>15</v>
      </c>
      <c r="F788" s="8">
        <f>IF(OR(LOOKUP(A788,characters!A:A,characters!B:B)=-1, LOOKUP(A788,characters!A:A,characters!B:B)+0.1&gt;=B788),1,0)</f>
        <v/>
      </c>
    </row>
    <row r="789" spans="1:10">
      <c r="A789" s="4" t="s">
        <v>66</v>
      </c>
      <c r="B789" s="7">
        <v>0.4</v>
      </c>
      <c r="C789" s="6">
        <f>IF(F789=1,1.0,0)</f>
        <v/>
      </c>
      <c r="D789" s="6">
        <f>IF(F789=1,0.99,0)</f>
        <v/>
      </c>
      <c r="E789" s="5" t="s">
        <v>15</v>
      </c>
      <c r="F789" s="8">
        <f>IF(OR(LOOKUP(A789,characters!A:A,characters!B:B)=-1, LOOKUP(A789,characters!A:A,characters!B:B)+0.1&gt;=B789),1,0)</f>
        <v/>
      </c>
    </row>
    <row r="790" spans="1:10">
      <c r="A790" s="4" t="s">
        <v>60</v>
      </c>
      <c r="B790" s="7">
        <v>0.1</v>
      </c>
      <c r="C790" s="6">
        <f>IF(F790=1,1.0,0)</f>
        <v/>
      </c>
      <c r="D790" s="6">
        <f>IF(F790=1,1.0,0)</f>
        <v/>
      </c>
      <c r="E790" s="5" t="s">
        <v>15</v>
      </c>
      <c r="F790" s="8">
        <f>IF(OR(LOOKUP(A790,characters!A:A,characters!B:B)=-1, LOOKUP(A790,characters!A:A,characters!B:B)+0.1&gt;=B790),1,0)</f>
        <v/>
      </c>
    </row>
    <row r="791" spans="1:10">
      <c r="A791" s="4" t="s">
        <v>33</v>
      </c>
      <c r="B791" s="7">
        <v>0.1</v>
      </c>
      <c r="C791" s="6">
        <f>IF(F791=1,1.0,0)</f>
        <v/>
      </c>
      <c r="D791" s="6">
        <f>IF(F791=1,1.0,0)</f>
        <v/>
      </c>
      <c r="E791" s="5" t="s">
        <v>15</v>
      </c>
      <c r="F791" s="8">
        <f>IF(OR(LOOKUP(A791,characters!A:A,characters!B:B)=-1, LOOKUP(A791,characters!A:A,characters!B:B)+0.1&gt;=B791),1,0)</f>
        <v/>
      </c>
    </row>
    <row r="793" spans="1:10">
      <c r="A793" s="3" t="s">
        <v>18</v>
      </c>
      <c r="B793" s="3" t="s">
        <v>9</v>
      </c>
      <c r="C793" s="3" t="s">
        <v>19</v>
      </c>
      <c r="D793" s="3" t="s">
        <v>41</v>
      </c>
      <c r="E793" s="3" t="s">
        <v>11</v>
      </c>
      <c r="F793" s="3" t="s">
        <v>55</v>
      </c>
      <c r="G793" s="3" t="s">
        <v>29</v>
      </c>
      <c r="H793" s="3" t="s">
        <v>20</v>
      </c>
      <c r="I793" s="3" t="s">
        <v>34</v>
      </c>
    </row>
    <row r="794" spans="1:10">
      <c r="A794" s="4" t="s">
        <v>14</v>
      </c>
      <c r="B794" s="5" t="s">
        <v>15</v>
      </c>
      <c r="C794" s="6">
        <f>IF(SUM(J795:J803)=0,0,SUM(C795:C803)/SUM(J795:J803))</f>
        <v/>
      </c>
      <c r="D794" s="6">
        <f>IF(SUM(J795:J803)=0,0,SUM(D795:D803)/SUM(J795:J803))</f>
        <v/>
      </c>
      <c r="E794" s="6">
        <f>IF(SUM(J795:J803)=0,0,SUM(E795:E803)/SUM(J795:J803))</f>
        <v/>
      </c>
      <c r="F794" s="6">
        <f>IF(SUM(J795:J803)=0,0,SUM(F795:F803)/SUM(J795:J803))</f>
        <v/>
      </c>
      <c r="G794" s="6">
        <f>IF(SUM(J795:J803)=0,0,SUM(G795:G803)/SUM(J795:J803))</f>
        <v/>
      </c>
      <c r="H794" s="6">
        <f>IF(SUM(J795:J803)=0,0,SUM(H795:H803)/SUM(J795:J803))</f>
        <v/>
      </c>
      <c r="I794" s="6">
        <f>IF(SUM(J795:J803)=0,0,SUM(I795:I803)/SUM(J795:J803))</f>
        <v/>
      </c>
    </row>
    <row r="795" spans="1:10">
      <c r="A795" s="4" t="s">
        <v>58</v>
      </c>
      <c r="B795" s="7">
        <v>0.1</v>
      </c>
      <c r="C795" s="6">
        <f>IF(J795=1,1.0,0)</f>
        <v/>
      </c>
      <c r="D795" s="5" t="s">
        <v>15</v>
      </c>
      <c r="E795" s="5" t="s">
        <v>15</v>
      </c>
      <c r="F795" s="5" t="s">
        <v>15</v>
      </c>
      <c r="G795" s="5" t="s">
        <v>15</v>
      </c>
      <c r="H795" s="5" t="s">
        <v>15</v>
      </c>
      <c r="I795" s="5" t="s">
        <v>15</v>
      </c>
      <c r="J795" s="8">
        <f>IF(OR(LOOKUP(A795,characters!A:A,characters!B:B)=-1, LOOKUP(A795,characters!A:A,characters!B:B)+0.1&gt;=B795),1,0)</f>
        <v/>
      </c>
    </row>
    <row r="796" spans="1:10">
      <c r="A796" s="4" t="s">
        <v>40</v>
      </c>
      <c r="B796" s="7">
        <v>0</v>
      </c>
      <c r="C796" s="5" t="s">
        <v>15</v>
      </c>
      <c r="D796" s="6">
        <f>IF(J796=1,1.0,0)</f>
        <v/>
      </c>
      <c r="E796" s="6">
        <f>IF(J796=1,0.99,0)</f>
        <v/>
      </c>
      <c r="F796" s="5" t="s">
        <v>15</v>
      </c>
      <c r="G796" s="5" t="s">
        <v>15</v>
      </c>
      <c r="H796" s="5" t="s">
        <v>15</v>
      </c>
      <c r="I796" s="5" t="s">
        <v>15</v>
      </c>
      <c r="J796" s="8">
        <f>IF(OR(LOOKUP(A796,characters!A:A,characters!B:B)=-1, LOOKUP(A796,characters!A:A,characters!B:B)+0.1&gt;=B796),1,0)</f>
        <v/>
      </c>
    </row>
    <row r="797" spans="1:10">
      <c r="A797" s="4" t="s">
        <v>36</v>
      </c>
      <c r="B797" s="7">
        <v>0.1</v>
      </c>
      <c r="C797" s="5" t="s">
        <v>15</v>
      </c>
      <c r="D797" s="6">
        <f>IF(J797=1,0.99,0)</f>
        <v/>
      </c>
      <c r="E797" s="6">
        <f>IF(J797=1,1.0,0)</f>
        <v/>
      </c>
      <c r="F797" s="5" t="s">
        <v>15</v>
      </c>
      <c r="G797" s="5" t="s">
        <v>15</v>
      </c>
      <c r="H797" s="5" t="s">
        <v>15</v>
      </c>
      <c r="I797" s="5" t="s">
        <v>15</v>
      </c>
      <c r="J797" s="8">
        <f>IF(OR(LOOKUP(A797,characters!A:A,characters!B:B)=-1, LOOKUP(A797,characters!A:A,characters!B:B)+0.1&gt;=B797),1,0)</f>
        <v/>
      </c>
    </row>
    <row r="798" spans="1:10">
      <c r="A798" s="4" t="s">
        <v>59</v>
      </c>
      <c r="B798" s="7">
        <v>0</v>
      </c>
      <c r="C798" s="5" t="s">
        <v>15</v>
      </c>
      <c r="D798" s="5" t="s">
        <v>15</v>
      </c>
      <c r="E798" s="6">
        <f>IF(J798=1,0.9,0)</f>
        <v/>
      </c>
      <c r="F798" s="6">
        <f>IF(J798=1,1.0,0)</f>
        <v/>
      </c>
      <c r="G798" s="5" t="s">
        <v>15</v>
      </c>
      <c r="H798" s="5" t="s">
        <v>15</v>
      </c>
      <c r="I798" s="5" t="s">
        <v>15</v>
      </c>
      <c r="J798" s="8">
        <f>IF(OR(LOOKUP(A798,characters!A:A,characters!B:B)=-1, LOOKUP(A798,characters!A:A,characters!B:B)+0.1&gt;=B798),1,0)</f>
        <v/>
      </c>
    </row>
    <row r="799" spans="1:10">
      <c r="A799" s="4" t="s">
        <v>28</v>
      </c>
      <c r="B799" s="7">
        <v>0.5</v>
      </c>
      <c r="C799" s="5" t="s">
        <v>15</v>
      </c>
      <c r="D799" s="5" t="s">
        <v>15</v>
      </c>
      <c r="E799" s="6">
        <f>IF(J799=1,1.0,0)</f>
        <v/>
      </c>
      <c r="F799" s="5" t="s">
        <v>15</v>
      </c>
      <c r="G799" s="6">
        <f>IF(J799=1,1.0,0)</f>
        <v/>
      </c>
      <c r="H799" s="6">
        <f>IF(J799=1,1.0,0)</f>
        <v/>
      </c>
      <c r="I799" s="5" t="s">
        <v>15</v>
      </c>
      <c r="J799" s="8">
        <f>IF(OR(LOOKUP(A799,characters!A:A,characters!B:B)=-1, LOOKUP(A799,characters!A:A,characters!B:B)+0.1&gt;=B799),1,0)</f>
        <v/>
      </c>
    </row>
    <row r="800" spans="1:10">
      <c r="A800" s="4" t="s">
        <v>38</v>
      </c>
      <c r="B800" s="7">
        <v>0.1</v>
      </c>
      <c r="C800" s="5" t="s">
        <v>15</v>
      </c>
      <c r="D800" s="6">
        <f>IF(J800=1,0.99,0)</f>
        <v/>
      </c>
      <c r="E800" s="6">
        <f>IF(J800=1,1.0,0)</f>
        <v/>
      </c>
      <c r="F800" s="5" t="s">
        <v>15</v>
      </c>
      <c r="G800" s="5" t="s">
        <v>15</v>
      </c>
      <c r="H800" s="5" t="s">
        <v>15</v>
      </c>
      <c r="I800" s="5" t="s">
        <v>15</v>
      </c>
      <c r="J800" s="8">
        <f>IF(OR(LOOKUP(A800,characters!A:A,characters!B:B)=-1, LOOKUP(A800,characters!A:A,characters!B:B)+0.1&gt;=B800),1,0)</f>
        <v/>
      </c>
    </row>
    <row r="801" spans="1:10">
      <c r="A801" s="4" t="s">
        <v>66</v>
      </c>
      <c r="B801" s="7">
        <v>0.4</v>
      </c>
      <c r="C801" s="6">
        <f>IF(J801=1,1.0,0)</f>
        <v/>
      </c>
      <c r="D801" s="5" t="s">
        <v>15</v>
      </c>
      <c r="E801" s="5" t="s">
        <v>15</v>
      </c>
      <c r="F801" s="5" t="s">
        <v>15</v>
      </c>
      <c r="G801" s="5" t="s">
        <v>15</v>
      </c>
      <c r="H801" s="5" t="s">
        <v>15</v>
      </c>
      <c r="I801" s="5" t="s">
        <v>15</v>
      </c>
      <c r="J801" s="8">
        <f>IF(OR(LOOKUP(A801,characters!A:A,characters!B:B)=-1, LOOKUP(A801,characters!A:A,characters!B:B)+0.1&gt;=B801),1,0)</f>
        <v/>
      </c>
    </row>
    <row r="802" spans="1:10">
      <c r="A802" s="4" t="s">
        <v>60</v>
      </c>
      <c r="B802" s="7">
        <v>0.1</v>
      </c>
      <c r="C802" s="5" t="s">
        <v>15</v>
      </c>
      <c r="D802" s="5" t="s">
        <v>15</v>
      </c>
      <c r="E802" s="6">
        <f>IF(J802=1,0.9,0)</f>
        <v/>
      </c>
      <c r="F802" s="5" t="s">
        <v>15</v>
      </c>
      <c r="G802" s="6">
        <f>IF(J802=1,1.0,0)</f>
        <v/>
      </c>
      <c r="H802" s="5" t="s">
        <v>15</v>
      </c>
      <c r="I802" s="5" t="s">
        <v>15</v>
      </c>
      <c r="J802" s="8">
        <f>IF(OR(LOOKUP(A802,characters!A:A,characters!B:B)=-1, LOOKUP(A802,characters!A:A,characters!B:B)+0.1&gt;=B802),1,0)</f>
        <v/>
      </c>
    </row>
    <row r="803" spans="1:10">
      <c r="A803" s="4" t="s">
        <v>33</v>
      </c>
      <c r="B803" s="7">
        <v>0.1</v>
      </c>
      <c r="C803" s="5" t="s">
        <v>15</v>
      </c>
      <c r="D803" s="5" t="s">
        <v>15</v>
      </c>
      <c r="E803" s="6">
        <f>IF(J803=1,0.9,0)</f>
        <v/>
      </c>
      <c r="F803" s="5" t="s">
        <v>15</v>
      </c>
      <c r="G803" s="5" t="s">
        <v>15</v>
      </c>
      <c r="H803" s="6">
        <f>IF(J803=1,0.9,0)</f>
        <v/>
      </c>
      <c r="I803" s="6">
        <f>IF(J803=1,1.0,0)</f>
        <v/>
      </c>
      <c r="J803" s="8">
        <f>IF(OR(LOOKUP(A803,characters!A:A,characters!B:B)=-1, LOOKUP(A803,characters!A:A,characters!B:B)+0.1&gt;=B803),1,0)</f>
        <v/>
      </c>
    </row>
    <row r="805" spans="1:10">
      <c r="A805" s="3" t="s">
        <v>21</v>
      </c>
      <c r="B805" s="3" t="s">
        <v>9</v>
      </c>
      <c r="C805" s="3" t="s">
        <v>11</v>
      </c>
      <c r="D805" s="3" t="s">
        <v>30</v>
      </c>
    </row>
    <row r="806" spans="1:10">
      <c r="A806" s="4" t="s">
        <v>14</v>
      </c>
      <c r="B806" s="5" t="s">
        <v>15</v>
      </c>
      <c r="C806" s="6">
        <f>IF(SUM(E807:E815)=0,0,SUM(C807:C815)/SUM(E807:E815))</f>
        <v/>
      </c>
      <c r="D806" s="6">
        <f>IF(SUM(E807:E815)=0,0,SUM(D807:D815)/SUM(E807:E815))</f>
        <v/>
      </c>
    </row>
    <row r="807" spans="1:10">
      <c r="A807" s="4" t="s">
        <v>58</v>
      </c>
      <c r="B807" s="7">
        <v>0.1</v>
      </c>
      <c r="C807" s="6">
        <f>IF(E807=1,1.0,0)</f>
        <v/>
      </c>
      <c r="D807" s="5" t="s">
        <v>15</v>
      </c>
      <c r="E807" s="8">
        <f>IF(OR(LOOKUP(A807,characters!A:A,characters!B:B)=-1, LOOKUP(A807,characters!A:A,characters!B:B)+0.1&gt;=B807),1,0)</f>
        <v/>
      </c>
    </row>
    <row r="808" spans="1:10">
      <c r="A808" s="4" t="s">
        <v>40</v>
      </c>
      <c r="B808" s="7">
        <v>0</v>
      </c>
      <c r="C808" s="6">
        <f>IF(E808=1,1.0,0)</f>
        <v/>
      </c>
      <c r="D808" s="5" t="s">
        <v>15</v>
      </c>
      <c r="E808" s="8">
        <f>IF(OR(LOOKUP(A808,characters!A:A,characters!B:B)=-1, LOOKUP(A808,characters!A:A,characters!B:B)+0.1&gt;=B808),1,0)</f>
        <v/>
      </c>
    </row>
    <row r="809" spans="1:10">
      <c r="A809" s="4" t="s">
        <v>36</v>
      </c>
      <c r="B809" s="7">
        <v>0.1</v>
      </c>
      <c r="C809" s="6">
        <f>IF(E809=1,1.0,0)</f>
        <v/>
      </c>
      <c r="D809" s="5" t="s">
        <v>15</v>
      </c>
      <c r="E809" s="8">
        <f>IF(OR(LOOKUP(A809,characters!A:A,characters!B:B)=-1, LOOKUP(A809,characters!A:A,characters!B:B)+0.1&gt;=B809),1,0)</f>
        <v/>
      </c>
    </row>
    <row r="810" spans="1:10">
      <c r="A810" s="4" t="s">
        <v>59</v>
      </c>
      <c r="B810" s="7">
        <v>0</v>
      </c>
      <c r="C810" s="6">
        <f>IF(E810=1,1.0,0)</f>
        <v/>
      </c>
      <c r="D810" s="5" t="s">
        <v>15</v>
      </c>
      <c r="E810" s="8">
        <f>IF(OR(LOOKUP(A810,characters!A:A,characters!B:B)=-1, LOOKUP(A810,characters!A:A,characters!B:B)+0.1&gt;=B810),1,0)</f>
        <v/>
      </c>
    </row>
    <row r="811" spans="1:10">
      <c r="A811" s="4" t="s">
        <v>28</v>
      </c>
      <c r="B811" s="7">
        <v>0.5</v>
      </c>
      <c r="C811" s="5" t="s">
        <v>15</v>
      </c>
      <c r="D811" s="6">
        <f>IF(E811=1,1.0,0)</f>
        <v/>
      </c>
      <c r="E811" s="8">
        <f>IF(OR(LOOKUP(A811,characters!A:A,characters!B:B)=-1, LOOKUP(A811,characters!A:A,characters!B:B)+0.1&gt;=B811),1,0)</f>
        <v/>
      </c>
    </row>
    <row r="812" spans="1:10">
      <c r="A812" s="4" t="s">
        <v>38</v>
      </c>
      <c r="B812" s="7">
        <v>0.1</v>
      </c>
      <c r="C812" s="6">
        <f>IF(E812=1,1.0,0)</f>
        <v/>
      </c>
      <c r="D812" s="5" t="s">
        <v>15</v>
      </c>
      <c r="E812" s="8">
        <f>IF(OR(LOOKUP(A812,characters!A:A,characters!B:B)=-1, LOOKUP(A812,characters!A:A,characters!B:B)+0.1&gt;=B812),1,0)</f>
        <v/>
      </c>
    </row>
    <row r="813" spans="1:10">
      <c r="A813" s="4" t="s">
        <v>66</v>
      </c>
      <c r="B813" s="7">
        <v>0.4</v>
      </c>
      <c r="C813" s="5" t="s">
        <v>15</v>
      </c>
      <c r="D813" s="6">
        <f>IF(E813=1,1.0,0)</f>
        <v/>
      </c>
      <c r="E813" s="8">
        <f>IF(OR(LOOKUP(A813,characters!A:A,characters!B:B)=-1, LOOKUP(A813,characters!A:A,characters!B:B)+0.1&gt;=B813),1,0)</f>
        <v/>
      </c>
    </row>
    <row r="814" spans="1:10">
      <c r="A814" s="4" t="s">
        <v>60</v>
      </c>
      <c r="B814" s="7">
        <v>0.1</v>
      </c>
      <c r="C814" s="6">
        <f>IF(E814=1,1.0,0)</f>
        <v/>
      </c>
      <c r="D814" s="5" t="s">
        <v>15</v>
      </c>
      <c r="E814" s="8">
        <f>IF(OR(LOOKUP(A814,characters!A:A,characters!B:B)=-1, LOOKUP(A814,characters!A:A,characters!B:B)+0.1&gt;=B814),1,0)</f>
        <v/>
      </c>
    </row>
    <row r="815" spans="1:10">
      <c r="A815" s="4" t="s">
        <v>33</v>
      </c>
      <c r="B815" s="7">
        <v>0.1</v>
      </c>
      <c r="C815" s="6">
        <f>IF(E815=1,1.0,0)</f>
        <v/>
      </c>
      <c r="D815" s="5" t="s">
        <v>15</v>
      </c>
      <c r="E815" s="8">
        <f>IF(OR(LOOKUP(A815,characters!A:A,characters!B:B)=-1, LOOKUP(A815,characters!A:A,characters!B:B)+0.1&gt;=B815),1,0)</f>
        <v/>
      </c>
    </row>
  </sheetData>
  <mergeCells count="3">
    <mergeCell ref="B3:C3"/>
    <mergeCell ref="B4:G4"/>
    <mergeCell ref="A1:E1"/>
  </mergeCells>
  <conditionalFormatting sqref="C107">
    <cfRule type="expression" dxfId="0" priority="137">
      <formula>C108=0</formula>
    </cfRule>
  </conditionalFormatting>
  <conditionalFormatting sqref="C108">
    <cfRule type="cellIs" dxfId="1" priority="142" operator="equal">
      <formula>0</formula>
    </cfRule>
  </conditionalFormatting>
  <conditionalFormatting sqref="C109">
    <cfRule type="cellIs" dxfId="1" priority="147" operator="equal">
      <formula>0</formula>
    </cfRule>
  </conditionalFormatting>
  <conditionalFormatting sqref="C111">
    <cfRule type="expression" dxfId="0" priority="152">
      <formula>C112=0</formula>
    </cfRule>
  </conditionalFormatting>
  <conditionalFormatting sqref="C112">
    <cfRule type="cellIs" dxfId="1" priority="154" operator="equal">
      <formula>0</formula>
    </cfRule>
  </conditionalFormatting>
  <conditionalFormatting sqref="C113">
    <cfRule type="cellIs" dxfId="1" priority="156" operator="equal">
      <formula>0</formula>
    </cfRule>
  </conditionalFormatting>
  <conditionalFormatting sqref="C115">
    <cfRule type="expression" dxfId="0" priority="158">
      <formula>C116=0</formula>
    </cfRule>
  </conditionalFormatting>
  <conditionalFormatting sqref="C116">
    <cfRule type="cellIs" dxfId="1" priority="161" operator="equal">
      <formula>0</formula>
    </cfRule>
  </conditionalFormatting>
  <conditionalFormatting sqref="C117">
    <cfRule type="cellIs" dxfId="1" priority="164" operator="equal">
      <formula>0</formula>
    </cfRule>
  </conditionalFormatting>
  <conditionalFormatting sqref="C119">
    <cfRule type="expression" dxfId="0" priority="167">
      <formula>C120=0</formula>
    </cfRule>
  </conditionalFormatting>
  <conditionalFormatting sqref="C120">
    <cfRule type="cellIs" dxfId="1" priority="168" operator="equal">
      <formula>0</formula>
    </cfRule>
  </conditionalFormatting>
  <conditionalFormatting sqref="C121">
    <cfRule type="cellIs" dxfId="1" priority="169" operator="equal">
      <formula>0</formula>
    </cfRule>
  </conditionalFormatting>
  <conditionalFormatting sqref="C129">
    <cfRule type="expression" dxfId="0" priority="170">
      <formula>C130=0</formula>
    </cfRule>
  </conditionalFormatting>
  <conditionalFormatting sqref="C130">
    <cfRule type="cellIs" dxfId="1" priority="176" operator="equal">
      <formula>0</formula>
    </cfRule>
  </conditionalFormatting>
  <conditionalFormatting sqref="C131">
    <cfRule type="cellIs" dxfId="1" priority="182" operator="equal">
      <formula>0</formula>
    </cfRule>
  </conditionalFormatting>
  <conditionalFormatting sqref="C132">
    <cfRule type="cellIs" dxfId="1" priority="187" operator="equal">
      <formula>0</formula>
    </cfRule>
  </conditionalFormatting>
  <conditionalFormatting sqref="C133">
    <cfRule type="cellIs" dxfId="1" priority="191" operator="equal">
      <formula>0</formula>
    </cfRule>
  </conditionalFormatting>
  <conditionalFormatting sqref="C134">
    <cfRule type="cellIs" dxfId="1" priority="196" operator="equal">
      <formula>0</formula>
    </cfRule>
  </conditionalFormatting>
  <conditionalFormatting sqref="C135">
    <cfRule type="cellIs" dxfId="1" priority="200" operator="equal">
      <formula>0</formula>
    </cfRule>
  </conditionalFormatting>
  <conditionalFormatting sqref="C137">
    <cfRule type="expression" dxfId="0" priority="205">
      <formula>C138=0</formula>
    </cfRule>
  </conditionalFormatting>
  <conditionalFormatting sqref="C138">
    <cfRule type="cellIs" dxfId="1" priority="209" operator="equal">
      <formula>0</formula>
    </cfRule>
  </conditionalFormatting>
  <conditionalFormatting sqref="C139">
    <cfRule type="cellIs" dxfId="1" priority="213" operator="equal">
      <formula>0</formula>
    </cfRule>
  </conditionalFormatting>
  <conditionalFormatting sqref="C140">
    <cfRule type="cellIs" dxfId="1" priority="215" operator="equal">
      <formula>0</formula>
    </cfRule>
  </conditionalFormatting>
  <conditionalFormatting sqref="C142">
    <cfRule type="cellIs" dxfId="1" priority="218" operator="equal">
      <formula>0</formula>
    </cfRule>
  </conditionalFormatting>
  <conditionalFormatting sqref="C145">
    <cfRule type="expression" dxfId="0" priority="222">
      <formula>C146=0</formula>
    </cfRule>
  </conditionalFormatting>
  <conditionalFormatting sqref="C146">
    <cfRule type="cellIs" dxfId="1" priority="225" operator="equal">
      <formula>0</formula>
    </cfRule>
  </conditionalFormatting>
  <conditionalFormatting sqref="C147">
    <cfRule type="cellIs" dxfId="1" priority="228" operator="equal">
      <formula>0</formula>
    </cfRule>
  </conditionalFormatting>
  <conditionalFormatting sqref="C148">
    <cfRule type="cellIs" dxfId="1" priority="230" operator="equal">
      <formula>0</formula>
    </cfRule>
  </conditionalFormatting>
  <conditionalFormatting sqref="C149">
    <cfRule type="cellIs" dxfId="1" priority="232" operator="equal">
      <formula>0</formula>
    </cfRule>
  </conditionalFormatting>
  <conditionalFormatting sqref="C150">
    <cfRule type="cellIs" dxfId="1" priority="235" operator="equal">
      <formula>0</formula>
    </cfRule>
  </conditionalFormatting>
  <conditionalFormatting sqref="C151">
    <cfRule type="cellIs" dxfId="1" priority="237" operator="equal">
      <formula>0</formula>
    </cfRule>
  </conditionalFormatting>
  <conditionalFormatting sqref="C153">
    <cfRule type="expression" dxfId="0" priority="240">
      <formula>C154=0</formula>
    </cfRule>
  </conditionalFormatting>
  <conditionalFormatting sqref="C154">
    <cfRule type="cellIs" dxfId="1" priority="242" operator="equal">
      <formula>0</formula>
    </cfRule>
  </conditionalFormatting>
  <conditionalFormatting sqref="C155">
    <cfRule type="cellIs" dxfId="1" priority="244" operator="equal">
      <formula>0</formula>
    </cfRule>
  </conditionalFormatting>
  <conditionalFormatting sqref="C156">
    <cfRule type="cellIs" dxfId="1" priority="245" operator="equal">
      <formula>0</formula>
    </cfRule>
  </conditionalFormatting>
  <conditionalFormatting sqref="C157">
    <cfRule type="cellIs" dxfId="1" priority="246" operator="equal">
      <formula>0</formula>
    </cfRule>
  </conditionalFormatting>
  <conditionalFormatting sqref="C158">
    <cfRule type="cellIs" dxfId="1" priority="248" operator="equal">
      <formula>0</formula>
    </cfRule>
  </conditionalFormatting>
  <conditionalFormatting sqref="C159">
    <cfRule type="cellIs" dxfId="1" priority="249" operator="equal">
      <formula>0</formula>
    </cfRule>
  </conditionalFormatting>
  <conditionalFormatting sqref="C167">
    <cfRule type="expression" dxfId="0" priority="251">
      <formula>C168=0</formula>
    </cfRule>
  </conditionalFormatting>
  <conditionalFormatting sqref="C168">
    <cfRule type="cellIs" dxfId="1" priority="259" operator="equal">
      <formula>0</formula>
    </cfRule>
  </conditionalFormatting>
  <conditionalFormatting sqref="C169">
    <cfRule type="cellIs" dxfId="1" priority="267" operator="equal">
      <formula>0</formula>
    </cfRule>
  </conditionalFormatting>
  <conditionalFormatting sqref="C170">
    <cfRule type="cellIs" dxfId="1" priority="271" operator="equal">
      <formula>0</formula>
    </cfRule>
  </conditionalFormatting>
  <conditionalFormatting sqref="C171">
    <cfRule type="cellIs" dxfId="1" priority="275" operator="equal">
      <formula>0</formula>
    </cfRule>
  </conditionalFormatting>
  <conditionalFormatting sqref="C172">
    <cfRule type="cellIs" dxfId="1" priority="279" operator="equal">
      <formula>0</formula>
    </cfRule>
  </conditionalFormatting>
  <conditionalFormatting sqref="C173">
    <cfRule type="cellIs" dxfId="1" priority="283" operator="equal">
      <formula>0</formula>
    </cfRule>
  </conditionalFormatting>
  <conditionalFormatting sqref="C174">
    <cfRule type="cellIs" dxfId="1" priority="287" operator="equal">
      <formula>0</formula>
    </cfRule>
  </conditionalFormatting>
  <conditionalFormatting sqref="C175">
    <cfRule type="cellIs" dxfId="1" priority="292" operator="equal">
      <formula>0</formula>
    </cfRule>
  </conditionalFormatting>
  <conditionalFormatting sqref="C176">
    <cfRule type="cellIs" dxfId="1" priority="296" operator="equal">
      <formula>0</formula>
    </cfRule>
  </conditionalFormatting>
  <conditionalFormatting sqref="C177">
    <cfRule type="cellIs" dxfId="1" priority="301" operator="equal">
      <formula>0</formula>
    </cfRule>
  </conditionalFormatting>
  <conditionalFormatting sqref="C178">
    <cfRule type="cellIs" dxfId="1" priority="306" operator="equal">
      <formula>0</formula>
    </cfRule>
  </conditionalFormatting>
  <conditionalFormatting sqref="C179">
    <cfRule type="cellIs" dxfId="1" priority="311" operator="equal">
      <formula>0</formula>
    </cfRule>
  </conditionalFormatting>
  <conditionalFormatting sqref="C180">
    <cfRule type="cellIs" dxfId="1" priority="315" operator="equal">
      <formula>0</formula>
    </cfRule>
  </conditionalFormatting>
  <conditionalFormatting sqref="C181">
    <cfRule type="cellIs" dxfId="1" priority="320" operator="equal">
      <formula>0</formula>
    </cfRule>
  </conditionalFormatting>
  <conditionalFormatting sqref="C182">
    <cfRule type="cellIs" dxfId="1" priority="326" operator="equal">
      <formula>0</formula>
    </cfRule>
  </conditionalFormatting>
  <conditionalFormatting sqref="C183">
    <cfRule type="cellIs" dxfId="1" priority="332" operator="equal">
      <formula>0</formula>
    </cfRule>
  </conditionalFormatting>
  <conditionalFormatting sqref="C186">
    <cfRule type="expression" dxfId="0" priority="341">
      <formula>C187=0</formula>
    </cfRule>
  </conditionalFormatting>
  <conditionalFormatting sqref="C187">
    <cfRule type="cellIs" dxfId="1" priority="346" operator="equal">
      <formula>0</formula>
    </cfRule>
  </conditionalFormatting>
  <conditionalFormatting sqref="C188">
    <cfRule type="cellIs" dxfId="1" priority="351" operator="equal">
      <formula>0</formula>
    </cfRule>
  </conditionalFormatting>
  <conditionalFormatting sqref="C191">
    <cfRule type="cellIs" dxfId="1" priority="356" operator="equal">
      <formula>0</formula>
    </cfRule>
  </conditionalFormatting>
  <conditionalFormatting sqref="C194">
    <cfRule type="cellIs" dxfId="1" priority="361" operator="equal">
      <formula>0</formula>
    </cfRule>
  </conditionalFormatting>
  <conditionalFormatting sqref="C195">
    <cfRule type="cellIs" dxfId="1" priority="363" operator="equal">
      <formula>0</formula>
    </cfRule>
  </conditionalFormatting>
  <conditionalFormatting sqref="C196">
    <cfRule type="cellIs" dxfId="1" priority="366" operator="equal">
      <formula>0</formula>
    </cfRule>
  </conditionalFormatting>
  <conditionalFormatting sqref="C197">
    <cfRule type="cellIs" dxfId="1" priority="368" operator="equal">
      <formula>0</formula>
    </cfRule>
  </conditionalFormatting>
  <conditionalFormatting sqref="C202">
    <cfRule type="cellIs" dxfId="1" priority="378" operator="equal">
      <formula>0</formula>
    </cfRule>
  </conditionalFormatting>
  <conditionalFormatting sqref="C205">
    <cfRule type="expression" dxfId="0" priority="381">
      <formula>C206=0</formula>
    </cfRule>
  </conditionalFormatting>
  <conditionalFormatting sqref="C206">
    <cfRule type="cellIs" dxfId="1" priority="389" operator="equal">
      <formula>0</formula>
    </cfRule>
  </conditionalFormatting>
  <conditionalFormatting sqref="C207">
    <cfRule type="cellIs" dxfId="1" priority="397" operator="equal">
      <formula>0</formula>
    </cfRule>
  </conditionalFormatting>
  <conditionalFormatting sqref="C211">
    <cfRule type="cellIs" dxfId="1" priority="405" operator="equal">
      <formula>0</formula>
    </cfRule>
  </conditionalFormatting>
  <conditionalFormatting sqref="C220">
    <cfRule type="cellIs" dxfId="1" priority="423" operator="equal">
      <formula>0</formula>
    </cfRule>
  </conditionalFormatting>
  <conditionalFormatting sqref="C222">
    <cfRule type="cellIs" dxfId="1" priority="427" operator="equal">
      <formula>0</formula>
    </cfRule>
  </conditionalFormatting>
  <conditionalFormatting sqref="C224">
    <cfRule type="expression" dxfId="0" priority="429">
      <formula>C225=0</formula>
    </cfRule>
  </conditionalFormatting>
  <conditionalFormatting sqref="C225">
    <cfRule type="cellIs" dxfId="1" priority="434" operator="equal">
      <formula>0</formula>
    </cfRule>
  </conditionalFormatting>
  <conditionalFormatting sqref="C226">
    <cfRule type="cellIs" dxfId="1" priority="439" operator="equal">
      <formula>0</formula>
    </cfRule>
  </conditionalFormatting>
  <conditionalFormatting sqref="C229">
    <cfRule type="cellIs" dxfId="1" priority="444" operator="equal">
      <formula>0</formula>
    </cfRule>
  </conditionalFormatting>
  <conditionalFormatting sqref="C232">
    <cfRule type="cellIs" dxfId="1" priority="449" operator="equal">
      <formula>0</formula>
    </cfRule>
  </conditionalFormatting>
  <conditionalFormatting sqref="C233">
    <cfRule type="cellIs" dxfId="1" priority="450" operator="equal">
      <formula>0</formula>
    </cfRule>
  </conditionalFormatting>
  <conditionalFormatting sqref="C235">
    <cfRule type="cellIs" dxfId="1" priority="453" operator="equal">
      <formula>0</formula>
    </cfRule>
  </conditionalFormatting>
  <conditionalFormatting sqref="C249">
    <cfRule type="expression" dxfId="0" priority="466">
      <formula>C250=0</formula>
    </cfRule>
  </conditionalFormatting>
  <conditionalFormatting sqref="C250">
    <cfRule type="cellIs" dxfId="1" priority="474" operator="equal">
      <formula>0</formula>
    </cfRule>
  </conditionalFormatting>
  <conditionalFormatting sqref="C251">
    <cfRule type="cellIs" dxfId="1" priority="482" operator="equal">
      <formula>0</formula>
    </cfRule>
  </conditionalFormatting>
  <conditionalFormatting sqref="C252">
    <cfRule type="cellIs" dxfId="1" priority="487" operator="equal">
      <formula>0</formula>
    </cfRule>
  </conditionalFormatting>
  <conditionalFormatting sqref="C253">
    <cfRule type="cellIs" dxfId="1" priority="492" operator="equal">
      <formula>0</formula>
    </cfRule>
  </conditionalFormatting>
  <conditionalFormatting sqref="C254">
    <cfRule type="cellIs" dxfId="1" priority="497" operator="equal">
      <formula>0</formula>
    </cfRule>
  </conditionalFormatting>
  <conditionalFormatting sqref="C255">
    <cfRule type="cellIs" dxfId="1" priority="502" operator="equal">
      <formula>0</formula>
    </cfRule>
  </conditionalFormatting>
  <conditionalFormatting sqref="C256">
    <cfRule type="cellIs" dxfId="1" priority="507" operator="equal">
      <formula>0</formula>
    </cfRule>
  </conditionalFormatting>
  <conditionalFormatting sqref="C257">
    <cfRule type="cellIs" dxfId="1" priority="512" operator="equal">
      <formula>0</formula>
    </cfRule>
  </conditionalFormatting>
  <conditionalFormatting sqref="C258">
    <cfRule type="cellIs" dxfId="1" priority="516" operator="equal">
      <formula>0</formula>
    </cfRule>
  </conditionalFormatting>
  <conditionalFormatting sqref="C259">
    <cfRule type="cellIs" dxfId="1" priority="520" operator="equal">
      <formula>0</formula>
    </cfRule>
  </conditionalFormatting>
  <conditionalFormatting sqref="C260">
    <cfRule type="cellIs" dxfId="1" priority="525" operator="equal">
      <formula>0</formula>
    </cfRule>
  </conditionalFormatting>
  <conditionalFormatting sqref="C261">
    <cfRule type="cellIs" dxfId="1" priority="529" operator="equal">
      <formula>0</formula>
    </cfRule>
  </conditionalFormatting>
  <conditionalFormatting sqref="C262">
    <cfRule type="cellIs" dxfId="1" priority="533" operator="equal">
      <formula>0</formula>
    </cfRule>
  </conditionalFormatting>
  <conditionalFormatting sqref="C263">
    <cfRule type="cellIs" dxfId="1" priority="538" operator="equal">
      <formula>0</formula>
    </cfRule>
  </conditionalFormatting>
  <conditionalFormatting sqref="C264">
    <cfRule type="cellIs" dxfId="1" priority="543" operator="equal">
      <formula>0</formula>
    </cfRule>
  </conditionalFormatting>
  <conditionalFormatting sqref="C265">
    <cfRule type="cellIs" dxfId="1" priority="547" operator="equal">
      <formula>0</formula>
    </cfRule>
  </conditionalFormatting>
  <conditionalFormatting sqref="C266">
    <cfRule type="cellIs" dxfId="1" priority="551" operator="equal">
      <formula>0</formula>
    </cfRule>
  </conditionalFormatting>
  <conditionalFormatting sqref="C267">
    <cfRule type="cellIs" dxfId="1" priority="557" operator="equal">
      <formula>0</formula>
    </cfRule>
  </conditionalFormatting>
  <conditionalFormatting sqref="C268">
    <cfRule type="cellIs" dxfId="1" priority="561" operator="equal">
      <formula>0</formula>
    </cfRule>
  </conditionalFormatting>
  <conditionalFormatting sqref="C269">
    <cfRule type="cellIs" dxfId="1" priority="566" operator="equal">
      <formula>0</formula>
    </cfRule>
  </conditionalFormatting>
  <conditionalFormatting sqref="C270">
    <cfRule type="cellIs" dxfId="1" priority="571" operator="equal">
      <formula>0</formula>
    </cfRule>
  </conditionalFormatting>
  <conditionalFormatting sqref="C271">
    <cfRule type="cellIs" dxfId="1" priority="576" operator="equal">
      <formula>0</formula>
    </cfRule>
  </conditionalFormatting>
  <conditionalFormatting sqref="C274">
    <cfRule type="expression" dxfId="0" priority="585">
      <formula>C275=0</formula>
    </cfRule>
  </conditionalFormatting>
  <conditionalFormatting sqref="C275">
    <cfRule type="cellIs" dxfId="1" priority="590" operator="equal">
      <formula>0</formula>
    </cfRule>
  </conditionalFormatting>
  <conditionalFormatting sqref="C276">
    <cfRule type="cellIs" dxfId="1" priority="595" operator="equal">
      <formula>0</formula>
    </cfRule>
  </conditionalFormatting>
  <conditionalFormatting sqref="C277">
    <cfRule type="cellIs" dxfId="1" priority="597" operator="equal">
      <formula>0</formula>
    </cfRule>
  </conditionalFormatting>
  <conditionalFormatting sqref="C279">
    <cfRule type="cellIs" dxfId="1" priority="601" operator="equal">
      <formula>0</formula>
    </cfRule>
  </conditionalFormatting>
  <conditionalFormatting sqref="C281">
    <cfRule type="cellIs" dxfId="1" priority="604" operator="equal">
      <formula>0</formula>
    </cfRule>
  </conditionalFormatting>
  <conditionalFormatting sqref="C282">
    <cfRule type="cellIs" dxfId="1" priority="606" operator="equal">
      <formula>0</formula>
    </cfRule>
  </conditionalFormatting>
  <conditionalFormatting sqref="C285">
    <cfRule type="cellIs" dxfId="1" priority="611" operator="equal">
      <formula>0</formula>
    </cfRule>
  </conditionalFormatting>
  <conditionalFormatting sqref="C286">
    <cfRule type="cellIs" dxfId="1" priority="613" operator="equal">
      <formula>0</formula>
    </cfRule>
  </conditionalFormatting>
  <conditionalFormatting sqref="C287">
    <cfRule type="cellIs" dxfId="1" priority="616" operator="equal">
      <formula>0</formula>
    </cfRule>
  </conditionalFormatting>
  <conditionalFormatting sqref="C288">
    <cfRule type="cellIs" dxfId="1" priority="618" operator="equal">
      <formula>0</formula>
    </cfRule>
  </conditionalFormatting>
  <conditionalFormatting sqref="C289">
    <cfRule type="cellIs" dxfId="1" priority="620" operator="equal">
      <formula>0</formula>
    </cfRule>
  </conditionalFormatting>
  <conditionalFormatting sqref="C29">
    <cfRule type="expression" dxfId="0" priority="1">
      <formula>C30=0</formula>
    </cfRule>
  </conditionalFormatting>
  <conditionalFormatting sqref="C294">
    <cfRule type="cellIs" dxfId="1" priority="630" operator="equal">
      <formula>0</formula>
    </cfRule>
  </conditionalFormatting>
  <conditionalFormatting sqref="C295">
    <cfRule type="cellIs" dxfId="1" priority="632" operator="equal">
      <formula>0</formula>
    </cfRule>
  </conditionalFormatting>
  <conditionalFormatting sqref="C297">
    <cfRule type="cellIs" dxfId="1" priority="635" operator="equal">
      <formula>0</formula>
    </cfRule>
  </conditionalFormatting>
  <conditionalFormatting sqref="C299">
    <cfRule type="expression" dxfId="0" priority="637">
      <formula>C300=0</formula>
    </cfRule>
  </conditionalFormatting>
  <conditionalFormatting sqref="C30">
    <cfRule type="cellIs" dxfId="1" priority="5" operator="equal">
      <formula>0</formula>
    </cfRule>
  </conditionalFormatting>
  <conditionalFormatting sqref="C300">
    <cfRule type="cellIs" dxfId="1" priority="645" operator="equal">
      <formula>0</formula>
    </cfRule>
  </conditionalFormatting>
  <conditionalFormatting sqref="C301">
    <cfRule type="cellIs" dxfId="1" priority="653" operator="equal">
      <formula>0</formula>
    </cfRule>
  </conditionalFormatting>
  <conditionalFormatting sqref="C302">
    <cfRule type="cellIs" dxfId="1" priority="654" operator="equal">
      <formula>0</formula>
    </cfRule>
  </conditionalFormatting>
  <conditionalFormatting sqref="C308">
    <cfRule type="cellIs" dxfId="1" priority="665" operator="equal">
      <formula>0</formula>
    </cfRule>
  </conditionalFormatting>
  <conditionalFormatting sqref="C31">
    <cfRule type="cellIs" dxfId="1" priority="9" operator="equal">
      <formula>0</formula>
    </cfRule>
  </conditionalFormatting>
  <conditionalFormatting sqref="C318">
    <cfRule type="cellIs" dxfId="1" priority="685" operator="equal">
      <formula>0</formula>
    </cfRule>
  </conditionalFormatting>
  <conditionalFormatting sqref="C321">
    <cfRule type="cellIs" dxfId="1" priority="691" operator="equal">
      <formula>0</formula>
    </cfRule>
  </conditionalFormatting>
  <conditionalFormatting sqref="C324">
    <cfRule type="expression" dxfId="0" priority="696">
      <formula>C325=0</formula>
    </cfRule>
  </conditionalFormatting>
  <conditionalFormatting sqref="C325">
    <cfRule type="cellIs" dxfId="1" priority="701" operator="equal">
      <formula>0</formula>
    </cfRule>
  </conditionalFormatting>
  <conditionalFormatting sqref="C326">
    <cfRule type="cellIs" dxfId="1" priority="706" operator="equal">
      <formula>0</formula>
    </cfRule>
  </conditionalFormatting>
  <conditionalFormatting sqref="C33">
    <cfRule type="expression" dxfId="0" priority="13">
      <formula>C34=0</formula>
    </cfRule>
  </conditionalFormatting>
  <conditionalFormatting sqref="C335">
    <cfRule type="cellIs" dxfId="1" priority="719" operator="equal">
      <formula>0</formula>
    </cfRule>
  </conditionalFormatting>
  <conditionalFormatting sqref="C336">
    <cfRule type="cellIs" dxfId="1" priority="720" operator="equal">
      <formula>0</formula>
    </cfRule>
  </conditionalFormatting>
  <conditionalFormatting sqref="C338">
    <cfRule type="cellIs" dxfId="1" priority="723" operator="equal">
      <formula>0</formula>
    </cfRule>
  </conditionalFormatting>
  <conditionalFormatting sqref="C34">
    <cfRule type="cellIs" dxfId="1" priority="15" operator="equal">
      <formula>0</formula>
    </cfRule>
  </conditionalFormatting>
  <conditionalFormatting sqref="C35">
    <cfRule type="cellIs" dxfId="1" priority="17" operator="equal">
      <formula>0</formula>
    </cfRule>
  </conditionalFormatting>
  <conditionalFormatting sqref="C355">
    <cfRule type="expression" dxfId="0" priority="739">
      <formula>C356=0</formula>
    </cfRule>
  </conditionalFormatting>
  <conditionalFormatting sqref="C356">
    <cfRule type="cellIs" dxfId="1" priority="743" operator="equal">
      <formula>0</formula>
    </cfRule>
  </conditionalFormatting>
  <conditionalFormatting sqref="C357">
    <cfRule type="cellIs" dxfId="1" priority="747" operator="equal">
      <formula>0</formula>
    </cfRule>
  </conditionalFormatting>
  <conditionalFormatting sqref="C359">
    <cfRule type="expression" dxfId="0" priority="751">
      <formula>C360=0</formula>
    </cfRule>
  </conditionalFormatting>
  <conditionalFormatting sqref="C360">
    <cfRule type="cellIs" dxfId="1" priority="753" operator="equal">
      <formula>0</formula>
    </cfRule>
  </conditionalFormatting>
  <conditionalFormatting sqref="C361">
    <cfRule type="cellIs" dxfId="1" priority="755" operator="equal">
      <formula>0</formula>
    </cfRule>
  </conditionalFormatting>
  <conditionalFormatting sqref="C363">
    <cfRule type="expression" dxfId="0" priority="757">
      <formula>C364=0</formula>
    </cfRule>
  </conditionalFormatting>
  <conditionalFormatting sqref="C364">
    <cfRule type="cellIs" dxfId="1" priority="759" operator="equal">
      <formula>0</formula>
    </cfRule>
  </conditionalFormatting>
  <conditionalFormatting sqref="C365">
    <cfRule type="cellIs" dxfId="1" priority="761" operator="equal">
      <formula>0</formula>
    </cfRule>
  </conditionalFormatting>
  <conditionalFormatting sqref="C367">
    <cfRule type="expression" dxfId="0" priority="763">
      <formula>C368=0</formula>
    </cfRule>
  </conditionalFormatting>
  <conditionalFormatting sqref="C368">
    <cfRule type="cellIs" dxfId="1" priority="765" operator="equal">
      <formula>0</formula>
    </cfRule>
  </conditionalFormatting>
  <conditionalFormatting sqref="C369">
    <cfRule type="cellIs" dxfId="1" priority="767" operator="equal">
      <formula>0</formula>
    </cfRule>
  </conditionalFormatting>
  <conditionalFormatting sqref="C37">
    <cfRule type="expression" dxfId="0" priority="19">
      <formula>C38=0</formula>
    </cfRule>
  </conditionalFormatting>
  <conditionalFormatting sqref="C377">
    <cfRule type="expression" dxfId="0" priority="769">
      <formula>C378=0</formula>
    </cfRule>
  </conditionalFormatting>
  <conditionalFormatting sqref="C378">
    <cfRule type="cellIs" dxfId="1" priority="777" operator="equal">
      <formula>0</formula>
    </cfRule>
  </conditionalFormatting>
  <conditionalFormatting sqref="C379">
    <cfRule type="cellIs" dxfId="1" priority="785" operator="equal">
      <formula>0</formula>
    </cfRule>
  </conditionalFormatting>
  <conditionalFormatting sqref="C38">
    <cfRule type="cellIs" dxfId="1" priority="22" operator="equal">
      <formula>0</formula>
    </cfRule>
  </conditionalFormatting>
  <conditionalFormatting sqref="C380">
    <cfRule type="cellIs" dxfId="1" priority="790" operator="equal">
      <formula>0</formula>
    </cfRule>
  </conditionalFormatting>
  <conditionalFormatting sqref="C381">
    <cfRule type="cellIs" dxfId="1" priority="794" operator="equal">
      <formula>0</formula>
    </cfRule>
  </conditionalFormatting>
  <conditionalFormatting sqref="C382">
    <cfRule type="cellIs" dxfId="1" priority="800" operator="equal">
      <formula>0</formula>
    </cfRule>
  </conditionalFormatting>
  <conditionalFormatting sqref="C384">
    <cfRule type="expression" dxfId="0" priority="805">
      <formula>C385=0</formula>
    </cfRule>
  </conditionalFormatting>
  <conditionalFormatting sqref="C385">
    <cfRule type="cellIs" dxfId="1" priority="809" operator="equal">
      <formula>0</formula>
    </cfRule>
  </conditionalFormatting>
  <conditionalFormatting sqref="C386">
    <cfRule type="cellIs" dxfId="1" priority="813" operator="equal">
      <formula>0</formula>
    </cfRule>
  </conditionalFormatting>
  <conditionalFormatting sqref="C39">
    <cfRule type="cellIs" dxfId="1" priority="25" operator="equal">
      <formula>0</formula>
    </cfRule>
  </conditionalFormatting>
  <conditionalFormatting sqref="C391">
    <cfRule type="expression" dxfId="0" priority="821">
      <formula>C392=0</formula>
    </cfRule>
  </conditionalFormatting>
  <conditionalFormatting sqref="C392">
    <cfRule type="cellIs" dxfId="1" priority="825" operator="equal">
      <formula>0</formula>
    </cfRule>
  </conditionalFormatting>
  <conditionalFormatting sqref="C393">
    <cfRule type="cellIs" dxfId="1" priority="829" operator="equal">
      <formula>0</formula>
    </cfRule>
  </conditionalFormatting>
  <conditionalFormatting sqref="C398">
    <cfRule type="expression" dxfId="0" priority="838">
      <formula>C399=0</formula>
    </cfRule>
  </conditionalFormatting>
  <conditionalFormatting sqref="C399">
    <cfRule type="cellIs" dxfId="1" priority="843" operator="equal">
      <formula>0</formula>
    </cfRule>
  </conditionalFormatting>
  <conditionalFormatting sqref="C400">
    <cfRule type="cellIs" dxfId="1" priority="848" operator="equal">
      <formula>0</formula>
    </cfRule>
  </conditionalFormatting>
  <conditionalFormatting sqref="C41">
    <cfRule type="expression" dxfId="0" priority="28">
      <formula>C42=0</formula>
    </cfRule>
  </conditionalFormatting>
  <conditionalFormatting sqref="C411">
    <cfRule type="expression" dxfId="0" priority="854">
      <formula>C412=0</formula>
    </cfRule>
  </conditionalFormatting>
  <conditionalFormatting sqref="C412">
    <cfRule type="cellIs" dxfId="1" priority="859" operator="equal">
      <formula>0</formula>
    </cfRule>
  </conditionalFormatting>
  <conditionalFormatting sqref="C413">
    <cfRule type="cellIs" dxfId="1" priority="864" operator="equal">
      <formula>0</formula>
    </cfRule>
  </conditionalFormatting>
  <conditionalFormatting sqref="C414">
    <cfRule type="cellIs" dxfId="1" priority="869" operator="equal">
      <formula>0</formula>
    </cfRule>
  </conditionalFormatting>
  <conditionalFormatting sqref="C415">
    <cfRule type="cellIs" dxfId="1" priority="874" operator="equal">
      <formula>0</formula>
    </cfRule>
  </conditionalFormatting>
  <conditionalFormatting sqref="C417">
    <cfRule type="expression" dxfId="0" priority="879">
      <formula>C418=0</formula>
    </cfRule>
  </conditionalFormatting>
  <conditionalFormatting sqref="C418">
    <cfRule type="cellIs" dxfId="1" priority="882" operator="equal">
      <formula>0</formula>
    </cfRule>
  </conditionalFormatting>
  <conditionalFormatting sqref="C419">
    <cfRule type="cellIs" dxfId="1" priority="885" operator="equal">
      <formula>0</formula>
    </cfRule>
  </conditionalFormatting>
  <conditionalFormatting sqref="C42">
    <cfRule type="cellIs" dxfId="1" priority="30" operator="equal">
      <formula>0</formula>
    </cfRule>
  </conditionalFormatting>
  <conditionalFormatting sqref="C420">
    <cfRule type="cellIs" dxfId="1" priority="887" operator="equal">
      <formula>0</formula>
    </cfRule>
  </conditionalFormatting>
  <conditionalFormatting sqref="C423">
    <cfRule type="expression" dxfId="0" priority="891">
      <formula>C424=0</formula>
    </cfRule>
  </conditionalFormatting>
  <conditionalFormatting sqref="C424">
    <cfRule type="cellIs" dxfId="1" priority="893" operator="equal">
      <formula>0</formula>
    </cfRule>
  </conditionalFormatting>
  <conditionalFormatting sqref="C425">
    <cfRule type="cellIs" dxfId="1" priority="895" operator="equal">
      <formula>0</formula>
    </cfRule>
  </conditionalFormatting>
  <conditionalFormatting sqref="C426">
    <cfRule type="cellIs" dxfId="1" priority="897" operator="equal">
      <formula>0</formula>
    </cfRule>
  </conditionalFormatting>
  <conditionalFormatting sqref="C427">
    <cfRule type="cellIs" dxfId="1" priority="898" operator="equal">
      <formula>0</formula>
    </cfRule>
  </conditionalFormatting>
  <conditionalFormatting sqref="C429">
    <cfRule type="expression" dxfId="0" priority="900">
      <formula>C430=0</formula>
    </cfRule>
  </conditionalFormatting>
  <conditionalFormatting sqref="C43">
    <cfRule type="cellIs" dxfId="1" priority="32" operator="equal">
      <formula>0</formula>
    </cfRule>
  </conditionalFormatting>
  <conditionalFormatting sqref="C430">
    <cfRule type="cellIs" dxfId="1" priority="903" operator="equal">
      <formula>0</formula>
    </cfRule>
  </conditionalFormatting>
  <conditionalFormatting sqref="C431">
    <cfRule type="cellIs" dxfId="1" priority="906" operator="equal">
      <formula>0</formula>
    </cfRule>
  </conditionalFormatting>
  <conditionalFormatting sqref="C433">
    <cfRule type="cellIs" dxfId="1" priority="908" operator="equal">
      <formula>0</formula>
    </cfRule>
  </conditionalFormatting>
  <conditionalFormatting sqref="C441">
    <cfRule type="expression" dxfId="0" priority="910">
      <formula>C442=0</formula>
    </cfRule>
  </conditionalFormatting>
  <conditionalFormatting sqref="C442">
    <cfRule type="cellIs" dxfId="1" priority="918" operator="equal">
      <formula>0</formula>
    </cfRule>
  </conditionalFormatting>
  <conditionalFormatting sqref="C443">
    <cfRule type="cellIs" dxfId="1" priority="926" operator="equal">
      <formula>0</formula>
    </cfRule>
  </conditionalFormatting>
  <conditionalFormatting sqref="C444">
    <cfRule type="cellIs" dxfId="1" priority="932" operator="equal">
      <formula>0</formula>
    </cfRule>
  </conditionalFormatting>
  <conditionalFormatting sqref="C445">
    <cfRule type="cellIs" dxfId="1" priority="937" operator="equal">
      <formula>0</formula>
    </cfRule>
  </conditionalFormatting>
  <conditionalFormatting sqref="C446">
    <cfRule type="cellIs" dxfId="1" priority="943" operator="equal">
      <formula>0</formula>
    </cfRule>
  </conditionalFormatting>
  <conditionalFormatting sqref="C448">
    <cfRule type="expression" dxfId="0" priority="947">
      <formula>C449=0</formula>
    </cfRule>
  </conditionalFormatting>
  <conditionalFormatting sqref="C449">
    <cfRule type="cellIs" dxfId="1" priority="952" operator="equal">
      <formula>0</formula>
    </cfRule>
  </conditionalFormatting>
  <conditionalFormatting sqref="C450">
    <cfRule type="cellIs" dxfId="1" priority="957" operator="equal">
      <formula>0</formula>
    </cfRule>
  </conditionalFormatting>
  <conditionalFormatting sqref="C455">
    <cfRule type="expression" dxfId="0" priority="966">
      <formula>C456=0</formula>
    </cfRule>
  </conditionalFormatting>
  <conditionalFormatting sqref="C456">
    <cfRule type="cellIs" dxfId="1" priority="972" operator="equal">
      <formula>0</formula>
    </cfRule>
  </conditionalFormatting>
  <conditionalFormatting sqref="C457">
    <cfRule type="cellIs" dxfId="1" priority="978" operator="equal">
      <formula>0</formula>
    </cfRule>
  </conditionalFormatting>
  <conditionalFormatting sqref="C462">
    <cfRule type="expression" dxfId="0" priority="988">
      <formula>C463=0</formula>
    </cfRule>
  </conditionalFormatting>
  <conditionalFormatting sqref="C463">
    <cfRule type="cellIs" dxfId="1" priority="992" operator="equal">
      <formula>0</formula>
    </cfRule>
  </conditionalFormatting>
  <conditionalFormatting sqref="C464">
    <cfRule type="cellIs" dxfId="1" priority="996" operator="equal">
      <formula>0</formula>
    </cfRule>
  </conditionalFormatting>
  <conditionalFormatting sqref="C475">
    <cfRule type="expression" dxfId="0" priority="1002">
      <formula>C476=0</formula>
    </cfRule>
  </conditionalFormatting>
  <conditionalFormatting sqref="C476">
    <cfRule type="cellIs" dxfId="1" priority="1010" operator="equal">
      <formula>0</formula>
    </cfRule>
  </conditionalFormatting>
  <conditionalFormatting sqref="C477">
    <cfRule type="cellIs" dxfId="1" priority="1018" operator="equal">
      <formula>0</formula>
    </cfRule>
  </conditionalFormatting>
  <conditionalFormatting sqref="C478">
    <cfRule type="cellIs" dxfId="1" priority="1023" operator="equal">
      <formula>0</formula>
    </cfRule>
  </conditionalFormatting>
  <conditionalFormatting sqref="C479">
    <cfRule type="cellIs" dxfId="1" priority="1028" operator="equal">
      <formula>0</formula>
    </cfRule>
  </conditionalFormatting>
  <conditionalFormatting sqref="C481">
    <cfRule type="cellIs" dxfId="1" priority="1037" operator="equal">
      <formula>0</formula>
    </cfRule>
  </conditionalFormatting>
  <conditionalFormatting sqref="C482">
    <cfRule type="cellIs" dxfId="1" priority="1042" operator="equal">
      <formula>0</formula>
    </cfRule>
  </conditionalFormatting>
  <conditionalFormatting sqref="C483">
    <cfRule type="cellIs" dxfId="1" priority="1047" operator="equal">
      <formula>0</formula>
    </cfRule>
  </conditionalFormatting>
  <conditionalFormatting sqref="C484">
    <cfRule type="cellIs" dxfId="1" priority="1051" operator="equal">
      <formula>0</formula>
    </cfRule>
  </conditionalFormatting>
  <conditionalFormatting sqref="C485">
    <cfRule type="cellIs" dxfId="1" priority="1055" operator="equal">
      <formula>0</formula>
    </cfRule>
  </conditionalFormatting>
  <conditionalFormatting sqref="C486">
    <cfRule type="cellIs" dxfId="1" priority="1061" operator="equal">
      <formula>0</formula>
    </cfRule>
  </conditionalFormatting>
  <conditionalFormatting sqref="C487">
    <cfRule type="cellIs" dxfId="1" priority="1066" operator="equal">
      <formula>0</formula>
    </cfRule>
  </conditionalFormatting>
  <conditionalFormatting sqref="C488">
    <cfRule type="cellIs" dxfId="1" priority="1071" operator="equal">
      <formula>0</formula>
    </cfRule>
  </conditionalFormatting>
  <conditionalFormatting sqref="C489">
    <cfRule type="cellIs" dxfId="1" priority="1075" operator="equal">
      <formula>0</formula>
    </cfRule>
  </conditionalFormatting>
  <conditionalFormatting sqref="C490">
    <cfRule type="cellIs" dxfId="1" priority="1079" operator="equal">
      <formula>0</formula>
    </cfRule>
  </conditionalFormatting>
  <conditionalFormatting sqref="C491">
    <cfRule type="cellIs" dxfId="1" priority="1084" operator="equal">
      <formula>0</formula>
    </cfRule>
  </conditionalFormatting>
  <conditionalFormatting sqref="C492">
    <cfRule type="cellIs" dxfId="1" priority="1089" operator="equal">
      <formula>0</formula>
    </cfRule>
  </conditionalFormatting>
  <conditionalFormatting sqref="C493">
    <cfRule type="cellIs" dxfId="1" priority="1094" operator="equal">
      <formula>0</formula>
    </cfRule>
  </conditionalFormatting>
  <conditionalFormatting sqref="C494">
    <cfRule type="cellIs" dxfId="1" priority="1098" operator="equal">
      <formula>0</formula>
    </cfRule>
  </conditionalFormatting>
  <conditionalFormatting sqref="C495">
    <cfRule type="cellIs" dxfId="1" priority="1103" operator="equal">
      <formula>0</formula>
    </cfRule>
  </conditionalFormatting>
  <conditionalFormatting sqref="C496">
    <cfRule type="cellIs" dxfId="1" priority="1108" operator="equal">
      <formula>0</formula>
    </cfRule>
  </conditionalFormatting>
  <conditionalFormatting sqref="C497">
    <cfRule type="cellIs" dxfId="1" priority="1112" operator="equal">
      <formula>0</formula>
    </cfRule>
  </conditionalFormatting>
  <conditionalFormatting sqref="C498">
    <cfRule type="cellIs" dxfId="1" priority="1117" operator="equal">
      <formula>0</formula>
    </cfRule>
  </conditionalFormatting>
  <conditionalFormatting sqref="C500">
    <cfRule type="expression" dxfId="0" priority="1122">
      <formula>C501=0</formula>
    </cfRule>
  </conditionalFormatting>
  <conditionalFormatting sqref="C501">
    <cfRule type="cellIs" dxfId="1" priority="1127" operator="equal">
      <formula>0</formula>
    </cfRule>
  </conditionalFormatting>
  <conditionalFormatting sqref="C502">
    <cfRule type="cellIs" dxfId="1" priority="1132" operator="equal">
      <formula>0</formula>
    </cfRule>
  </conditionalFormatting>
  <conditionalFormatting sqref="C503">
    <cfRule type="cellIs" dxfId="1" priority="1134" operator="equal">
      <formula>0</formula>
    </cfRule>
  </conditionalFormatting>
  <conditionalFormatting sqref="C505">
    <cfRule type="cellIs" dxfId="1" priority="1138" operator="equal">
      <formula>0</formula>
    </cfRule>
  </conditionalFormatting>
  <conditionalFormatting sqref="C507">
    <cfRule type="cellIs" dxfId="1" priority="1141" operator="equal">
      <formula>0</formula>
    </cfRule>
  </conditionalFormatting>
  <conditionalFormatting sqref="C508">
    <cfRule type="cellIs" dxfId="1" priority="1143" operator="equal">
      <formula>0</formula>
    </cfRule>
  </conditionalFormatting>
  <conditionalFormatting sqref="C51">
    <cfRule type="expression" dxfId="0" priority="34">
      <formula>C52=0</formula>
    </cfRule>
  </conditionalFormatting>
  <conditionalFormatting sqref="C511">
    <cfRule type="cellIs" dxfId="1" priority="1148" operator="equal">
      <formula>0</formula>
    </cfRule>
  </conditionalFormatting>
  <conditionalFormatting sqref="C512">
    <cfRule type="cellIs" dxfId="1" priority="1150" operator="equal">
      <formula>0</formula>
    </cfRule>
  </conditionalFormatting>
  <conditionalFormatting sqref="C513">
    <cfRule type="cellIs" dxfId="1" priority="1153" operator="equal">
      <formula>0</formula>
    </cfRule>
  </conditionalFormatting>
  <conditionalFormatting sqref="C514">
    <cfRule type="cellIs" dxfId="1" priority="1155" operator="equal">
      <formula>0</formula>
    </cfRule>
  </conditionalFormatting>
  <conditionalFormatting sqref="C515">
    <cfRule type="cellIs" dxfId="1" priority="1157" operator="equal">
      <formula>0</formula>
    </cfRule>
  </conditionalFormatting>
  <conditionalFormatting sqref="C518">
    <cfRule type="cellIs" dxfId="1" priority="1163" operator="equal">
      <formula>0</formula>
    </cfRule>
  </conditionalFormatting>
  <conditionalFormatting sqref="C52">
    <cfRule type="cellIs" dxfId="1" priority="40" operator="equal">
      <formula>0</formula>
    </cfRule>
  </conditionalFormatting>
  <conditionalFormatting sqref="C520">
    <cfRule type="cellIs" dxfId="1" priority="1167" operator="equal">
      <formula>0</formula>
    </cfRule>
  </conditionalFormatting>
  <conditionalFormatting sqref="C521">
    <cfRule type="cellIs" dxfId="1" priority="1169" operator="equal">
      <formula>0</formula>
    </cfRule>
  </conditionalFormatting>
  <conditionalFormatting sqref="C523">
    <cfRule type="cellIs" dxfId="1" priority="1172" operator="equal">
      <formula>0</formula>
    </cfRule>
  </conditionalFormatting>
  <conditionalFormatting sqref="C525">
    <cfRule type="expression" dxfId="0" priority="1174">
      <formula>C526=0</formula>
    </cfRule>
  </conditionalFormatting>
  <conditionalFormatting sqref="C526">
    <cfRule type="cellIs" dxfId="1" priority="1182" operator="equal">
      <formula>0</formula>
    </cfRule>
  </conditionalFormatting>
  <conditionalFormatting sqref="C527">
    <cfRule type="cellIs" dxfId="1" priority="1190" operator="equal">
      <formula>0</formula>
    </cfRule>
  </conditionalFormatting>
  <conditionalFormatting sqref="C528">
    <cfRule type="cellIs" dxfId="1" priority="1191" operator="equal">
      <formula>0</formula>
    </cfRule>
  </conditionalFormatting>
  <conditionalFormatting sqref="C53">
    <cfRule type="cellIs" dxfId="1" priority="46" operator="equal">
      <formula>0</formula>
    </cfRule>
  </conditionalFormatting>
  <conditionalFormatting sqref="C534">
    <cfRule type="cellIs" dxfId="1" priority="1202" operator="equal">
      <formula>0</formula>
    </cfRule>
  </conditionalFormatting>
  <conditionalFormatting sqref="C54">
    <cfRule type="cellIs" dxfId="1" priority="50" operator="equal">
      <formula>0</formula>
    </cfRule>
  </conditionalFormatting>
  <conditionalFormatting sqref="C543">
    <cfRule type="cellIs" dxfId="1" priority="1221" operator="equal">
      <formula>0</formula>
    </cfRule>
  </conditionalFormatting>
  <conditionalFormatting sqref="C547">
    <cfRule type="cellIs" dxfId="1" priority="1227" operator="equal">
      <formula>0</formula>
    </cfRule>
  </conditionalFormatting>
  <conditionalFormatting sqref="C55">
    <cfRule type="cellIs" dxfId="1" priority="54" operator="equal">
      <formula>0</formula>
    </cfRule>
  </conditionalFormatting>
  <conditionalFormatting sqref="C550">
    <cfRule type="expression" dxfId="0" priority="1232">
      <formula>C551=0</formula>
    </cfRule>
  </conditionalFormatting>
  <conditionalFormatting sqref="C551">
    <cfRule type="cellIs" dxfId="1" priority="1237" operator="equal">
      <formula>0</formula>
    </cfRule>
  </conditionalFormatting>
  <conditionalFormatting sqref="C552">
    <cfRule type="cellIs" dxfId="1" priority="1242" operator="equal">
      <formula>0</formula>
    </cfRule>
  </conditionalFormatting>
  <conditionalFormatting sqref="C56">
    <cfRule type="cellIs" dxfId="1" priority="60" operator="equal">
      <formula>0</formula>
    </cfRule>
  </conditionalFormatting>
  <conditionalFormatting sqref="C561">
    <cfRule type="cellIs" dxfId="1" priority="1255" operator="equal">
      <formula>0</formula>
    </cfRule>
  </conditionalFormatting>
  <conditionalFormatting sqref="C562">
    <cfRule type="cellIs" dxfId="1" priority="1256" operator="equal">
      <formula>0</formula>
    </cfRule>
  </conditionalFormatting>
  <conditionalFormatting sqref="C564">
    <cfRule type="cellIs" dxfId="1" priority="1259" operator="equal">
      <formula>0</formula>
    </cfRule>
  </conditionalFormatting>
  <conditionalFormatting sqref="C568">
    <cfRule type="cellIs" dxfId="1" priority="1265" operator="equal">
      <formula>0</formula>
    </cfRule>
  </conditionalFormatting>
  <conditionalFormatting sqref="C58">
    <cfRule type="expression" dxfId="0" priority="64">
      <formula>C59=0</formula>
    </cfRule>
  </conditionalFormatting>
  <conditionalFormatting sqref="C581">
    <cfRule type="expression" dxfId="0" priority="1274">
      <formula>C582=0</formula>
    </cfRule>
  </conditionalFormatting>
  <conditionalFormatting sqref="C582">
    <cfRule type="cellIs" dxfId="1" priority="1282" operator="equal">
      <formula>0</formula>
    </cfRule>
  </conditionalFormatting>
  <conditionalFormatting sqref="C583">
    <cfRule type="cellIs" dxfId="1" priority="1290" operator="equal">
      <formula>0</formula>
    </cfRule>
  </conditionalFormatting>
  <conditionalFormatting sqref="C584">
    <cfRule type="cellIs" dxfId="1" priority="1295" operator="equal">
      <formula>0</formula>
    </cfRule>
  </conditionalFormatting>
  <conditionalFormatting sqref="C585">
    <cfRule type="cellIs" dxfId="1" priority="1300" operator="equal">
      <formula>0</formula>
    </cfRule>
  </conditionalFormatting>
  <conditionalFormatting sqref="C586">
    <cfRule type="cellIs" dxfId="1" priority="1306" operator="equal">
      <formula>0</formula>
    </cfRule>
  </conditionalFormatting>
  <conditionalFormatting sqref="C587">
    <cfRule type="cellIs" dxfId="1" priority="1311" operator="equal">
      <formula>0</formula>
    </cfRule>
  </conditionalFormatting>
  <conditionalFormatting sqref="C588">
    <cfRule type="cellIs" dxfId="1" priority="1316" operator="equal">
      <formula>0</formula>
    </cfRule>
  </conditionalFormatting>
  <conditionalFormatting sqref="C59">
    <cfRule type="cellIs" dxfId="1" priority="68" operator="equal">
      <formula>0</formula>
    </cfRule>
  </conditionalFormatting>
  <conditionalFormatting sqref="C590">
    <cfRule type="cellIs" dxfId="1" priority="1326" operator="equal">
      <formula>0</formula>
    </cfRule>
  </conditionalFormatting>
  <conditionalFormatting sqref="C592">
    <cfRule type="expression" dxfId="0" priority="1331">
      <formula>C593=0</formula>
    </cfRule>
  </conditionalFormatting>
  <conditionalFormatting sqref="C593">
    <cfRule type="cellIs" dxfId="1" priority="1336" operator="equal">
      <formula>0</formula>
    </cfRule>
  </conditionalFormatting>
  <conditionalFormatting sqref="C594">
    <cfRule type="cellIs" dxfId="1" priority="1341" operator="equal">
      <formula>0</formula>
    </cfRule>
  </conditionalFormatting>
  <conditionalFormatting sqref="C596">
    <cfRule type="cellIs" dxfId="1" priority="1345" operator="equal">
      <formula>0</formula>
    </cfRule>
  </conditionalFormatting>
  <conditionalFormatting sqref="C597">
    <cfRule type="cellIs" dxfId="1" priority="1347" operator="equal">
      <formula>0</formula>
    </cfRule>
  </conditionalFormatting>
  <conditionalFormatting sqref="C598">
    <cfRule type="cellIs" dxfId="1" priority="1349" operator="equal">
      <formula>0</formula>
    </cfRule>
  </conditionalFormatting>
  <conditionalFormatting sqref="C599">
    <cfRule type="cellIs" dxfId="1" priority="1352" operator="equal">
      <formula>0</formula>
    </cfRule>
  </conditionalFormatting>
  <conditionalFormatting sqref="C60">
    <cfRule type="cellIs" dxfId="1" priority="72" operator="equal">
      <formula>0</formula>
    </cfRule>
  </conditionalFormatting>
  <conditionalFormatting sqref="C600">
    <cfRule type="cellIs" dxfId="1" priority="1354" operator="equal">
      <formula>0</formula>
    </cfRule>
  </conditionalFormatting>
  <conditionalFormatting sqref="C603">
    <cfRule type="expression" dxfId="0" priority="1358">
      <formula>C604=0</formula>
    </cfRule>
  </conditionalFormatting>
  <conditionalFormatting sqref="C604">
    <cfRule type="cellIs" dxfId="1" priority="1365" operator="equal">
      <formula>0</formula>
    </cfRule>
  </conditionalFormatting>
  <conditionalFormatting sqref="C605">
    <cfRule type="cellIs" dxfId="1" priority="1372" operator="equal">
      <formula>0</formula>
    </cfRule>
  </conditionalFormatting>
  <conditionalFormatting sqref="C61">
    <cfRule type="cellIs" dxfId="1" priority="73" operator="equal">
      <formula>0</formula>
    </cfRule>
  </conditionalFormatting>
  <conditionalFormatting sqref="C611">
    <cfRule type="cellIs" dxfId="1" priority="1383" operator="equal">
      <formula>0</formula>
    </cfRule>
  </conditionalFormatting>
  <conditionalFormatting sqref="C612">
    <cfRule type="cellIs" dxfId="1" priority="1384" operator="equal">
      <formula>0</formula>
    </cfRule>
  </conditionalFormatting>
  <conditionalFormatting sqref="C614">
    <cfRule type="expression" dxfId="0" priority="1386">
      <formula>C615=0</formula>
    </cfRule>
  </conditionalFormatting>
  <conditionalFormatting sqref="C615">
    <cfRule type="cellIs" dxfId="1" priority="1390" operator="equal">
      <formula>0</formula>
    </cfRule>
  </conditionalFormatting>
  <conditionalFormatting sqref="C616">
    <cfRule type="cellIs" dxfId="1" priority="1394" operator="equal">
      <formula>0</formula>
    </cfRule>
  </conditionalFormatting>
  <conditionalFormatting sqref="C618">
    <cfRule type="cellIs" dxfId="1" priority="1397" operator="equal">
      <formula>0</formula>
    </cfRule>
  </conditionalFormatting>
  <conditionalFormatting sqref="C619">
    <cfRule type="cellIs" dxfId="1" priority="1398" operator="equal">
      <formula>0</formula>
    </cfRule>
  </conditionalFormatting>
  <conditionalFormatting sqref="C62">
    <cfRule type="cellIs" dxfId="1" priority="75" operator="equal">
      <formula>0</formula>
    </cfRule>
  </conditionalFormatting>
  <conditionalFormatting sqref="C620">
    <cfRule type="cellIs" dxfId="1" priority="1399" operator="equal">
      <formula>0</formula>
    </cfRule>
  </conditionalFormatting>
  <conditionalFormatting sqref="C621">
    <cfRule type="cellIs" dxfId="1" priority="1400" operator="equal">
      <formula>0</formula>
    </cfRule>
  </conditionalFormatting>
  <conditionalFormatting sqref="C622">
    <cfRule type="cellIs" dxfId="1" priority="1401" operator="equal">
      <formula>0</formula>
    </cfRule>
  </conditionalFormatting>
  <conditionalFormatting sqref="C63">
    <cfRule type="cellIs" dxfId="1" priority="78" operator="equal">
      <formula>0</formula>
    </cfRule>
  </conditionalFormatting>
  <conditionalFormatting sqref="C631">
    <cfRule type="expression" dxfId="0" priority="1404">
      <formula>C632=0</formula>
    </cfRule>
  </conditionalFormatting>
  <conditionalFormatting sqref="C632">
    <cfRule type="cellIs" dxfId="1" priority="1409" operator="equal">
      <formula>0</formula>
    </cfRule>
  </conditionalFormatting>
  <conditionalFormatting sqref="C633">
    <cfRule type="cellIs" dxfId="1" priority="1414" operator="equal">
      <formula>0</formula>
    </cfRule>
  </conditionalFormatting>
  <conditionalFormatting sqref="C635">
    <cfRule type="expression" dxfId="0" priority="1419">
      <formula>C636=0</formula>
    </cfRule>
  </conditionalFormatting>
  <conditionalFormatting sqref="C636">
    <cfRule type="cellIs" dxfId="1" priority="1421" operator="equal">
      <formula>0</formula>
    </cfRule>
  </conditionalFormatting>
  <conditionalFormatting sqref="C637">
    <cfRule type="cellIs" dxfId="1" priority="1423" operator="equal">
      <formula>0</formula>
    </cfRule>
  </conditionalFormatting>
  <conditionalFormatting sqref="C639">
    <cfRule type="expression" dxfId="0" priority="1425">
      <formula>C640=0</formula>
    </cfRule>
  </conditionalFormatting>
  <conditionalFormatting sqref="C640">
    <cfRule type="cellIs" dxfId="1" priority="1427" operator="equal">
      <formula>0</formula>
    </cfRule>
  </conditionalFormatting>
  <conditionalFormatting sqref="C641">
    <cfRule type="cellIs" dxfId="1" priority="1429" operator="equal">
      <formula>0</formula>
    </cfRule>
  </conditionalFormatting>
  <conditionalFormatting sqref="C643">
    <cfRule type="expression" dxfId="0" priority="1431">
      <formula>C644=0</formula>
    </cfRule>
  </conditionalFormatting>
  <conditionalFormatting sqref="C644">
    <cfRule type="cellIs" dxfId="1" priority="1433" operator="equal">
      <formula>0</formula>
    </cfRule>
  </conditionalFormatting>
  <conditionalFormatting sqref="C645">
    <cfRule type="cellIs" dxfId="1" priority="1435" operator="equal">
      <formula>0</formula>
    </cfRule>
  </conditionalFormatting>
  <conditionalFormatting sqref="C65">
    <cfRule type="expression" dxfId="0" priority="79">
      <formula>C66=0</formula>
    </cfRule>
  </conditionalFormatting>
  <conditionalFormatting sqref="C653">
    <cfRule type="expression" dxfId="0" priority="1437">
      <formula>C654=0</formula>
    </cfRule>
  </conditionalFormatting>
  <conditionalFormatting sqref="C654">
    <cfRule type="cellIs" dxfId="1" priority="1445" operator="equal">
      <formula>0</formula>
    </cfRule>
  </conditionalFormatting>
  <conditionalFormatting sqref="C656">
    <cfRule type="cellIs" dxfId="1" priority="1458" operator="equal">
      <formula>0</formula>
    </cfRule>
  </conditionalFormatting>
  <conditionalFormatting sqref="C657">
    <cfRule type="cellIs" dxfId="1" priority="1463" operator="equal">
      <formula>0</formula>
    </cfRule>
  </conditionalFormatting>
  <conditionalFormatting sqref="C658">
    <cfRule type="cellIs" dxfId="1" priority="1467" operator="equal">
      <formula>0</formula>
    </cfRule>
  </conditionalFormatting>
  <conditionalFormatting sqref="C659">
    <cfRule type="cellIs" dxfId="1" priority="1471" operator="equal">
      <formula>0</formula>
    </cfRule>
  </conditionalFormatting>
  <conditionalFormatting sqref="C66">
    <cfRule type="cellIs" dxfId="1" priority="83" operator="equal">
      <formula>0</formula>
    </cfRule>
  </conditionalFormatting>
  <conditionalFormatting sqref="C660">
    <cfRule type="cellIs" dxfId="1" priority="1475" operator="equal">
      <formula>0</formula>
    </cfRule>
  </conditionalFormatting>
  <conditionalFormatting sqref="C661">
    <cfRule type="cellIs" dxfId="1" priority="1480" operator="equal">
      <formula>0</formula>
    </cfRule>
  </conditionalFormatting>
  <conditionalFormatting sqref="C662">
    <cfRule type="cellIs" dxfId="1" priority="1485" operator="equal">
      <formula>0</formula>
    </cfRule>
  </conditionalFormatting>
  <conditionalFormatting sqref="C663">
    <cfRule type="cellIs" dxfId="1" priority="1491" operator="equal">
      <formula>0</formula>
    </cfRule>
  </conditionalFormatting>
  <conditionalFormatting sqref="C664">
    <cfRule type="cellIs" dxfId="1" priority="1496" operator="equal">
      <formula>0</formula>
    </cfRule>
  </conditionalFormatting>
  <conditionalFormatting sqref="C665">
    <cfRule type="cellIs" dxfId="1" priority="1502" operator="equal">
      <formula>0</formula>
    </cfRule>
  </conditionalFormatting>
  <conditionalFormatting sqref="C666">
    <cfRule type="cellIs" dxfId="1" priority="1507" operator="equal">
      <formula>0</formula>
    </cfRule>
  </conditionalFormatting>
  <conditionalFormatting sqref="C667">
    <cfRule type="cellIs" dxfId="1" priority="1512" operator="equal">
      <formula>0</formula>
    </cfRule>
  </conditionalFormatting>
  <conditionalFormatting sqref="C669">
    <cfRule type="expression" dxfId="0" priority="1516">
      <formula>C670=0</formula>
    </cfRule>
  </conditionalFormatting>
  <conditionalFormatting sqref="C67">
    <cfRule type="cellIs" dxfId="1" priority="87" operator="equal">
      <formula>0</formula>
    </cfRule>
  </conditionalFormatting>
  <conditionalFormatting sqref="C670">
    <cfRule type="cellIs" dxfId="1" priority="1521" operator="equal">
      <formula>0</formula>
    </cfRule>
  </conditionalFormatting>
  <conditionalFormatting sqref="C671">
    <cfRule type="cellIs" dxfId="1" priority="1526" operator="equal">
      <formula>0</formula>
    </cfRule>
  </conditionalFormatting>
  <conditionalFormatting sqref="C674">
    <cfRule type="cellIs" dxfId="1" priority="1531" operator="equal">
      <formula>0</formula>
    </cfRule>
  </conditionalFormatting>
  <conditionalFormatting sqref="C675">
    <cfRule type="cellIs" dxfId="1" priority="1533" operator="equal">
      <formula>0</formula>
    </cfRule>
  </conditionalFormatting>
  <conditionalFormatting sqref="C676">
    <cfRule type="cellIs" dxfId="1" priority="1535" operator="equal">
      <formula>0</formula>
    </cfRule>
  </conditionalFormatting>
  <conditionalFormatting sqref="C677">
    <cfRule type="cellIs" dxfId="1" priority="1538" operator="equal">
      <formula>0</formula>
    </cfRule>
  </conditionalFormatting>
  <conditionalFormatting sqref="C678">
    <cfRule type="cellIs" dxfId="1" priority="1540" operator="equal">
      <formula>0</formula>
    </cfRule>
  </conditionalFormatting>
  <conditionalFormatting sqref="C680">
    <cfRule type="cellIs" dxfId="1" priority="1544" operator="equal">
      <formula>0</formula>
    </cfRule>
  </conditionalFormatting>
  <conditionalFormatting sqref="C683">
    <cfRule type="cellIs" dxfId="1" priority="1550" operator="equal">
      <formula>0</formula>
    </cfRule>
  </conditionalFormatting>
  <conditionalFormatting sqref="C685">
    <cfRule type="expression" dxfId="0" priority="1552">
      <formula>C686=0</formula>
    </cfRule>
  </conditionalFormatting>
  <conditionalFormatting sqref="C686">
    <cfRule type="cellIs" dxfId="1" priority="1560" operator="equal">
      <formula>0</formula>
    </cfRule>
  </conditionalFormatting>
  <conditionalFormatting sqref="C687">
    <cfRule type="cellIs" dxfId="1" priority="1568" operator="equal">
      <formula>0</formula>
    </cfRule>
  </conditionalFormatting>
  <conditionalFormatting sqref="C69">
    <cfRule type="cellIs" dxfId="1" priority="92" operator="equal">
      <formula>0</formula>
    </cfRule>
  </conditionalFormatting>
  <conditionalFormatting sqref="C696">
    <cfRule type="cellIs" dxfId="1" priority="1584" operator="equal">
      <formula>0</formula>
    </cfRule>
  </conditionalFormatting>
  <conditionalFormatting sqref="C698">
    <cfRule type="cellIs" dxfId="1" priority="1586" operator="equal">
      <formula>0</formula>
    </cfRule>
  </conditionalFormatting>
  <conditionalFormatting sqref="C701">
    <cfRule type="expression" dxfId="0" priority="1590">
      <formula>C702=0</formula>
    </cfRule>
  </conditionalFormatting>
  <conditionalFormatting sqref="C702">
    <cfRule type="cellIs" dxfId="1" priority="1595" operator="equal">
      <formula>0</formula>
    </cfRule>
  </conditionalFormatting>
  <conditionalFormatting sqref="C703">
    <cfRule type="cellIs" dxfId="1" priority="1600" operator="equal">
      <formula>0</formula>
    </cfRule>
  </conditionalFormatting>
  <conditionalFormatting sqref="C706">
    <cfRule type="cellIs" dxfId="1" priority="1605" operator="equal">
      <formula>0</formula>
    </cfRule>
  </conditionalFormatting>
  <conditionalFormatting sqref="C707">
    <cfRule type="cellIs" dxfId="1" priority="1606" operator="equal">
      <formula>0</formula>
    </cfRule>
  </conditionalFormatting>
  <conditionalFormatting sqref="C708">
    <cfRule type="cellIs" dxfId="1" priority="1607" operator="equal">
      <formula>0</formula>
    </cfRule>
  </conditionalFormatting>
  <conditionalFormatting sqref="C710">
    <cfRule type="cellIs" dxfId="1" priority="1610" operator="equal">
      <formula>0</formula>
    </cfRule>
  </conditionalFormatting>
  <conditionalFormatting sqref="C712">
    <cfRule type="cellIs" dxfId="1" priority="1613" operator="equal">
      <formula>0</formula>
    </cfRule>
  </conditionalFormatting>
  <conditionalFormatting sqref="C72">
    <cfRule type="expression" dxfId="0" priority="97">
      <formula>C73=0</formula>
    </cfRule>
  </conditionalFormatting>
  <conditionalFormatting sqref="C723">
    <cfRule type="expression" dxfId="0" priority="1620">
      <formula>C724=0</formula>
    </cfRule>
  </conditionalFormatting>
  <conditionalFormatting sqref="C724">
    <cfRule type="cellIs" dxfId="1" priority="1626" operator="equal">
      <formula>0</formula>
    </cfRule>
  </conditionalFormatting>
  <conditionalFormatting sqref="C725">
    <cfRule type="cellIs" dxfId="1" priority="1632" operator="equal">
      <formula>0</formula>
    </cfRule>
  </conditionalFormatting>
  <conditionalFormatting sqref="C726">
    <cfRule type="cellIs" dxfId="1" priority="1637" operator="equal">
      <formula>0</formula>
    </cfRule>
  </conditionalFormatting>
  <conditionalFormatting sqref="C727">
    <cfRule type="cellIs" dxfId="1" priority="1641" operator="equal">
      <formula>0</formula>
    </cfRule>
  </conditionalFormatting>
  <conditionalFormatting sqref="C728">
    <cfRule type="cellIs" dxfId="1" priority="1646" operator="equal">
      <formula>0</formula>
    </cfRule>
  </conditionalFormatting>
  <conditionalFormatting sqref="C729">
    <cfRule type="cellIs" dxfId="1" priority="1650" operator="equal">
      <formula>0</formula>
    </cfRule>
  </conditionalFormatting>
  <conditionalFormatting sqref="C73">
    <cfRule type="cellIs" dxfId="1" priority="100" operator="equal">
      <formula>0</formula>
    </cfRule>
  </conditionalFormatting>
  <conditionalFormatting sqref="C730">
    <cfRule type="cellIs" dxfId="1" priority="1655" operator="equal">
      <formula>0</formula>
    </cfRule>
  </conditionalFormatting>
  <conditionalFormatting sqref="C731">
    <cfRule type="cellIs" dxfId="1" priority="1660" operator="equal">
      <formula>0</formula>
    </cfRule>
  </conditionalFormatting>
  <conditionalFormatting sqref="C733">
    <cfRule type="expression" dxfId="0" priority="1664">
      <formula>C734=0</formula>
    </cfRule>
  </conditionalFormatting>
  <conditionalFormatting sqref="C734">
    <cfRule type="cellIs" dxfId="1" priority="1668" operator="equal">
      <formula>0</formula>
    </cfRule>
  </conditionalFormatting>
  <conditionalFormatting sqref="C735">
    <cfRule type="cellIs" dxfId="1" priority="1672" operator="equal">
      <formula>0</formula>
    </cfRule>
  </conditionalFormatting>
  <conditionalFormatting sqref="C736">
    <cfRule type="cellIs" dxfId="1" priority="1674" operator="equal">
      <formula>0</formula>
    </cfRule>
  </conditionalFormatting>
  <conditionalFormatting sqref="C738">
    <cfRule type="cellIs" dxfId="1" priority="1678" operator="equal">
      <formula>0</formula>
    </cfRule>
  </conditionalFormatting>
  <conditionalFormatting sqref="C739">
    <cfRule type="cellIs" dxfId="1" priority="1680" operator="equal">
      <formula>0</formula>
    </cfRule>
  </conditionalFormatting>
  <conditionalFormatting sqref="C74">
    <cfRule type="cellIs" dxfId="1" priority="103" operator="equal">
      <formula>0</formula>
    </cfRule>
  </conditionalFormatting>
  <conditionalFormatting sqref="C743">
    <cfRule type="expression" dxfId="0" priority="1685">
      <formula>C744=0</formula>
    </cfRule>
  </conditionalFormatting>
  <conditionalFormatting sqref="C744">
    <cfRule type="cellIs" dxfId="1" priority="1689" operator="equal">
      <formula>0</formula>
    </cfRule>
  </conditionalFormatting>
  <conditionalFormatting sqref="C745">
    <cfRule type="cellIs" dxfId="1" priority="1693" operator="equal">
      <formula>0</formula>
    </cfRule>
  </conditionalFormatting>
  <conditionalFormatting sqref="C746">
    <cfRule type="cellIs" dxfId="1" priority="1694" operator="equal">
      <formula>0</formula>
    </cfRule>
  </conditionalFormatting>
  <conditionalFormatting sqref="C747">
    <cfRule type="cellIs" dxfId="1" priority="1695" operator="equal">
      <formula>0</formula>
    </cfRule>
  </conditionalFormatting>
  <conditionalFormatting sqref="C749">
    <cfRule type="cellIs" dxfId="1" priority="1699" operator="equal">
      <formula>0</formula>
    </cfRule>
  </conditionalFormatting>
  <conditionalFormatting sqref="C75">
    <cfRule type="cellIs" dxfId="1" priority="105" operator="equal">
      <formula>0</formula>
    </cfRule>
  </conditionalFormatting>
  <conditionalFormatting sqref="C751">
    <cfRule type="cellIs" dxfId="1" priority="1701" operator="equal">
      <formula>0</formula>
    </cfRule>
  </conditionalFormatting>
  <conditionalFormatting sqref="C753">
    <cfRule type="expression" dxfId="0" priority="1703">
      <formula>C754=0</formula>
    </cfRule>
  </conditionalFormatting>
  <conditionalFormatting sqref="C754">
    <cfRule type="cellIs" dxfId="1" priority="1707" operator="equal">
      <formula>0</formula>
    </cfRule>
  </conditionalFormatting>
  <conditionalFormatting sqref="C755">
    <cfRule type="cellIs" dxfId="1" priority="1711" operator="equal">
      <formula>0</formula>
    </cfRule>
  </conditionalFormatting>
  <conditionalFormatting sqref="C758">
    <cfRule type="cellIs" dxfId="1" priority="1715" operator="equal">
      <formula>0</formula>
    </cfRule>
  </conditionalFormatting>
  <conditionalFormatting sqref="C759">
    <cfRule type="cellIs" dxfId="1" priority="1716" operator="equal">
      <formula>0</formula>
    </cfRule>
  </conditionalFormatting>
  <conditionalFormatting sqref="C769">
    <cfRule type="expression" dxfId="0" priority="1721">
      <formula>C770=0</formula>
    </cfRule>
  </conditionalFormatting>
  <conditionalFormatting sqref="C77">
    <cfRule type="cellIs" dxfId="1" priority="108" operator="equal">
      <formula>0</formula>
    </cfRule>
  </conditionalFormatting>
  <conditionalFormatting sqref="C770">
    <cfRule type="cellIs" dxfId="1" priority="1727" operator="equal">
      <formula>0</formula>
    </cfRule>
  </conditionalFormatting>
  <conditionalFormatting sqref="C771">
    <cfRule type="cellIs" dxfId="1" priority="1733" operator="equal">
      <formula>0</formula>
    </cfRule>
  </conditionalFormatting>
  <conditionalFormatting sqref="C772">
    <cfRule type="cellIs" dxfId="1" priority="1738" operator="equal">
      <formula>0</formula>
    </cfRule>
  </conditionalFormatting>
  <conditionalFormatting sqref="C773">
    <cfRule type="cellIs" dxfId="1" priority="1743" operator="equal">
      <formula>0</formula>
    </cfRule>
  </conditionalFormatting>
  <conditionalFormatting sqref="C774">
    <cfRule type="cellIs" dxfId="1" priority="1748" operator="equal">
      <formula>0</formula>
    </cfRule>
  </conditionalFormatting>
  <conditionalFormatting sqref="C775">
    <cfRule type="cellIs" dxfId="1" priority="1753" operator="equal">
      <formula>0</formula>
    </cfRule>
  </conditionalFormatting>
  <conditionalFormatting sqref="C776">
    <cfRule type="cellIs" dxfId="1" priority="1758" operator="equal">
      <formula>0</formula>
    </cfRule>
  </conditionalFormatting>
  <conditionalFormatting sqref="C777">
    <cfRule type="cellIs" dxfId="1" priority="1763" operator="equal">
      <formula>0</formula>
    </cfRule>
  </conditionalFormatting>
  <conditionalFormatting sqref="C778">
    <cfRule type="cellIs" dxfId="1" priority="1768" operator="equal">
      <formula>0</formula>
    </cfRule>
  </conditionalFormatting>
  <conditionalFormatting sqref="C779">
    <cfRule type="cellIs" dxfId="1" priority="1773" operator="equal">
      <formula>0</formula>
    </cfRule>
  </conditionalFormatting>
  <conditionalFormatting sqref="C781">
    <cfRule type="expression" dxfId="0" priority="1779">
      <formula>C782=0</formula>
    </cfRule>
  </conditionalFormatting>
  <conditionalFormatting sqref="C782">
    <cfRule type="cellIs" dxfId="1" priority="1782" operator="equal">
      <formula>0</formula>
    </cfRule>
  </conditionalFormatting>
  <conditionalFormatting sqref="C783">
    <cfRule type="cellIs" dxfId="1" priority="1785" operator="equal">
      <formula>0</formula>
    </cfRule>
  </conditionalFormatting>
  <conditionalFormatting sqref="C784">
    <cfRule type="cellIs" dxfId="1" priority="1787" operator="equal">
      <formula>0</formula>
    </cfRule>
  </conditionalFormatting>
  <conditionalFormatting sqref="C785">
    <cfRule type="cellIs" dxfId="1" priority="1789" operator="equal">
      <formula>0</formula>
    </cfRule>
  </conditionalFormatting>
  <conditionalFormatting sqref="C786">
    <cfRule type="cellIs" dxfId="1" priority="1791" operator="equal">
      <formula>0</formula>
    </cfRule>
  </conditionalFormatting>
  <conditionalFormatting sqref="C787">
    <cfRule type="cellIs" dxfId="1" priority="1793" operator="equal">
      <formula>0</formula>
    </cfRule>
  </conditionalFormatting>
  <conditionalFormatting sqref="C788">
    <cfRule type="cellIs" dxfId="1" priority="1796" operator="equal">
      <formula>0</formula>
    </cfRule>
  </conditionalFormatting>
  <conditionalFormatting sqref="C789">
    <cfRule type="cellIs" dxfId="1" priority="1798" operator="equal">
      <formula>0</formula>
    </cfRule>
  </conditionalFormatting>
  <conditionalFormatting sqref="C790">
    <cfRule type="cellIs" dxfId="1" priority="1800" operator="equal">
      <formula>0</formula>
    </cfRule>
  </conditionalFormatting>
  <conditionalFormatting sqref="C791">
    <cfRule type="cellIs" dxfId="1" priority="1802" operator="equal">
      <formula>0</formula>
    </cfRule>
  </conditionalFormatting>
  <conditionalFormatting sqref="C793">
    <cfRule type="expression" dxfId="0" priority="1804">
      <formula>C794=0</formula>
    </cfRule>
  </conditionalFormatting>
  <conditionalFormatting sqref="C794">
    <cfRule type="cellIs" dxfId="1" priority="1811" operator="equal">
      <formula>0</formula>
    </cfRule>
  </conditionalFormatting>
  <conditionalFormatting sqref="C795">
    <cfRule type="cellIs" dxfId="1" priority="1818" operator="equal">
      <formula>0</formula>
    </cfRule>
  </conditionalFormatting>
  <conditionalFormatting sqref="C801">
    <cfRule type="cellIs" dxfId="1" priority="1830" operator="equal">
      <formula>0</formula>
    </cfRule>
  </conditionalFormatting>
  <conditionalFormatting sqref="C805">
    <cfRule type="expression" dxfId="0" priority="1836">
      <formula>C806=0</formula>
    </cfRule>
  </conditionalFormatting>
  <conditionalFormatting sqref="C806">
    <cfRule type="cellIs" dxfId="1" priority="1838" operator="equal">
      <formula>0</formula>
    </cfRule>
  </conditionalFormatting>
  <conditionalFormatting sqref="C807">
    <cfRule type="cellIs" dxfId="1" priority="1840" operator="equal">
      <formula>0</formula>
    </cfRule>
  </conditionalFormatting>
  <conditionalFormatting sqref="C808">
    <cfRule type="cellIs" dxfId="1" priority="1841" operator="equal">
      <formula>0</formula>
    </cfRule>
  </conditionalFormatting>
  <conditionalFormatting sqref="C809">
    <cfRule type="cellIs" dxfId="1" priority="1842" operator="equal">
      <formula>0</formula>
    </cfRule>
  </conditionalFormatting>
  <conditionalFormatting sqref="C810">
    <cfRule type="cellIs" dxfId="1" priority="1843" operator="equal">
      <formula>0</formula>
    </cfRule>
  </conditionalFormatting>
  <conditionalFormatting sqref="C812">
    <cfRule type="cellIs" dxfId="1" priority="1845" operator="equal">
      <formula>0</formula>
    </cfRule>
  </conditionalFormatting>
  <conditionalFormatting sqref="C814">
    <cfRule type="cellIs" dxfId="1" priority="1847" operator="equal">
      <formula>0</formula>
    </cfRule>
  </conditionalFormatting>
  <conditionalFormatting sqref="C815">
    <cfRule type="cellIs" dxfId="1" priority="1848" operator="equal">
      <formula>0</formula>
    </cfRule>
  </conditionalFormatting>
  <conditionalFormatting sqref="C85">
    <cfRule type="expression" dxfId="0" priority="110">
      <formula>C86=0</formula>
    </cfRule>
  </conditionalFormatting>
  <conditionalFormatting sqref="C86">
    <cfRule type="cellIs" dxfId="1" priority="114" operator="equal">
      <formula>0</formula>
    </cfRule>
  </conditionalFormatting>
  <conditionalFormatting sqref="C87">
    <cfRule type="cellIs" dxfId="1" priority="118" operator="equal">
      <formula>0</formula>
    </cfRule>
  </conditionalFormatting>
  <conditionalFormatting sqref="C89">
    <cfRule type="expression" dxfId="0" priority="122">
      <formula>C90=0</formula>
    </cfRule>
  </conditionalFormatting>
  <conditionalFormatting sqref="C90">
    <cfRule type="cellIs" dxfId="1" priority="123" operator="equal">
      <formula>0</formula>
    </cfRule>
  </conditionalFormatting>
  <conditionalFormatting sqref="C91">
    <cfRule type="cellIs" dxfId="1" priority="124" operator="equal">
      <formula>0</formula>
    </cfRule>
  </conditionalFormatting>
  <conditionalFormatting sqref="C93">
    <cfRule type="expression" dxfId="0" priority="125">
      <formula>C94=0</formula>
    </cfRule>
  </conditionalFormatting>
  <conditionalFormatting sqref="C94">
    <cfRule type="cellIs" dxfId="1" priority="127" operator="equal">
      <formula>0</formula>
    </cfRule>
  </conditionalFormatting>
  <conditionalFormatting sqref="C95">
    <cfRule type="cellIs" dxfId="1" priority="129" operator="equal">
      <formula>0</formula>
    </cfRule>
  </conditionalFormatting>
  <conditionalFormatting sqref="C97">
    <cfRule type="expression" dxfId="0" priority="131">
      <formula>C98=0</formula>
    </cfRule>
  </conditionalFormatting>
  <conditionalFormatting sqref="C98">
    <cfRule type="cellIs" dxfId="1" priority="133" operator="equal">
      <formula>0</formula>
    </cfRule>
  </conditionalFormatting>
  <conditionalFormatting sqref="C99">
    <cfRule type="cellIs" dxfId="1" priority="135" operator="equal">
      <formula>0</formula>
    </cfRule>
  </conditionalFormatting>
  <conditionalFormatting sqref="D107">
    <cfRule type="expression" dxfId="0" priority="138">
      <formula>D108=0</formula>
    </cfRule>
  </conditionalFormatting>
  <conditionalFormatting sqref="D108">
    <cfRule type="cellIs" dxfId="1" priority="143" operator="equal">
      <formula>0</formula>
    </cfRule>
  </conditionalFormatting>
  <conditionalFormatting sqref="D109">
    <cfRule type="cellIs" dxfId="1" priority="148" operator="equal">
      <formula>0</formula>
    </cfRule>
  </conditionalFormatting>
  <conditionalFormatting sqref="D111">
    <cfRule type="expression" dxfId="0" priority="153">
      <formula>D112=0</formula>
    </cfRule>
  </conditionalFormatting>
  <conditionalFormatting sqref="D112">
    <cfRule type="cellIs" dxfId="1" priority="155" operator="equal">
      <formula>0</formula>
    </cfRule>
  </conditionalFormatting>
  <conditionalFormatting sqref="D113">
    <cfRule type="cellIs" dxfId="1" priority="157" operator="equal">
      <formula>0</formula>
    </cfRule>
  </conditionalFormatting>
  <conditionalFormatting sqref="D115">
    <cfRule type="expression" dxfId="0" priority="159">
      <formula>D116=0</formula>
    </cfRule>
  </conditionalFormatting>
  <conditionalFormatting sqref="D116">
    <cfRule type="cellIs" dxfId="1" priority="162" operator="equal">
      <formula>0</formula>
    </cfRule>
  </conditionalFormatting>
  <conditionalFormatting sqref="D117">
    <cfRule type="cellIs" dxfId="1" priority="165" operator="equal">
      <formula>0</formula>
    </cfRule>
  </conditionalFormatting>
  <conditionalFormatting sqref="D129">
    <cfRule type="expression" dxfId="0" priority="171">
      <formula>D130=0</formula>
    </cfRule>
  </conditionalFormatting>
  <conditionalFormatting sqref="D130">
    <cfRule type="cellIs" dxfId="1" priority="177" operator="equal">
      <formula>0</formula>
    </cfRule>
  </conditionalFormatting>
  <conditionalFormatting sqref="D131">
    <cfRule type="cellIs" dxfId="1" priority="183" operator="equal">
      <formula>0</formula>
    </cfRule>
  </conditionalFormatting>
  <conditionalFormatting sqref="D132">
    <cfRule type="cellIs" dxfId="1" priority="188" operator="equal">
      <formula>0</formula>
    </cfRule>
  </conditionalFormatting>
  <conditionalFormatting sqref="D133">
    <cfRule type="cellIs" dxfId="1" priority="192" operator="equal">
      <formula>0</formula>
    </cfRule>
  </conditionalFormatting>
  <conditionalFormatting sqref="D134">
    <cfRule type="cellIs" dxfId="1" priority="197" operator="equal">
      <formula>0</formula>
    </cfRule>
  </conditionalFormatting>
  <conditionalFormatting sqref="D135">
    <cfRule type="cellIs" dxfId="1" priority="201" operator="equal">
      <formula>0</formula>
    </cfRule>
  </conditionalFormatting>
  <conditionalFormatting sqref="D137">
    <cfRule type="expression" dxfId="0" priority="206">
      <formula>D138=0</formula>
    </cfRule>
  </conditionalFormatting>
  <conditionalFormatting sqref="D138">
    <cfRule type="cellIs" dxfId="1" priority="210" operator="equal">
      <formula>0</formula>
    </cfRule>
  </conditionalFormatting>
  <conditionalFormatting sqref="D139">
    <cfRule type="cellIs" dxfId="1" priority="214" operator="equal">
      <formula>0</formula>
    </cfRule>
  </conditionalFormatting>
  <conditionalFormatting sqref="D140">
    <cfRule type="cellIs" dxfId="1" priority="216" operator="equal">
      <formula>0</formula>
    </cfRule>
  </conditionalFormatting>
  <conditionalFormatting sqref="D142">
    <cfRule type="cellIs" dxfId="1" priority="219" operator="equal">
      <formula>0</formula>
    </cfRule>
  </conditionalFormatting>
  <conditionalFormatting sqref="D145">
    <cfRule type="expression" dxfId="0" priority="223">
      <formula>D146=0</formula>
    </cfRule>
  </conditionalFormatting>
  <conditionalFormatting sqref="D146">
    <cfRule type="cellIs" dxfId="1" priority="226" operator="equal">
      <formula>0</formula>
    </cfRule>
  </conditionalFormatting>
  <conditionalFormatting sqref="D147">
    <cfRule type="cellIs" dxfId="1" priority="229" operator="equal">
      <formula>0</formula>
    </cfRule>
  </conditionalFormatting>
  <conditionalFormatting sqref="D148">
    <cfRule type="cellIs" dxfId="1" priority="231" operator="equal">
      <formula>0</formula>
    </cfRule>
  </conditionalFormatting>
  <conditionalFormatting sqref="D149">
    <cfRule type="cellIs" dxfId="1" priority="233" operator="equal">
      <formula>0</formula>
    </cfRule>
  </conditionalFormatting>
  <conditionalFormatting sqref="D150">
    <cfRule type="cellIs" dxfId="1" priority="236" operator="equal">
      <formula>0</formula>
    </cfRule>
  </conditionalFormatting>
  <conditionalFormatting sqref="D151">
    <cfRule type="cellIs" dxfId="1" priority="238" operator="equal">
      <formula>0</formula>
    </cfRule>
  </conditionalFormatting>
  <conditionalFormatting sqref="D153">
    <cfRule type="expression" dxfId="0" priority="241">
      <formula>D154=0</formula>
    </cfRule>
  </conditionalFormatting>
  <conditionalFormatting sqref="D154">
    <cfRule type="cellIs" dxfId="1" priority="243" operator="equal">
      <formula>0</formula>
    </cfRule>
  </conditionalFormatting>
  <conditionalFormatting sqref="D157">
    <cfRule type="cellIs" dxfId="1" priority="247" operator="equal">
      <formula>0</formula>
    </cfRule>
  </conditionalFormatting>
  <conditionalFormatting sqref="D159">
    <cfRule type="cellIs" dxfId="1" priority="250" operator="equal">
      <formula>0</formula>
    </cfRule>
  </conditionalFormatting>
  <conditionalFormatting sqref="D167">
    <cfRule type="expression" dxfId="0" priority="252">
      <formula>D168=0</formula>
    </cfRule>
  </conditionalFormatting>
  <conditionalFormatting sqref="D168">
    <cfRule type="cellIs" dxfId="1" priority="260" operator="equal">
      <formula>0</formula>
    </cfRule>
  </conditionalFormatting>
  <conditionalFormatting sqref="D169">
    <cfRule type="cellIs" dxfId="1" priority="268" operator="equal">
      <formula>0</formula>
    </cfRule>
  </conditionalFormatting>
  <conditionalFormatting sqref="D170">
    <cfRule type="cellIs" dxfId="1" priority="272" operator="equal">
      <formula>0</formula>
    </cfRule>
  </conditionalFormatting>
  <conditionalFormatting sqref="D171">
    <cfRule type="cellIs" dxfId="1" priority="276" operator="equal">
      <formula>0</formula>
    </cfRule>
  </conditionalFormatting>
  <conditionalFormatting sqref="D172">
    <cfRule type="cellIs" dxfId="1" priority="280" operator="equal">
      <formula>0</formula>
    </cfRule>
  </conditionalFormatting>
  <conditionalFormatting sqref="D173">
    <cfRule type="cellIs" dxfId="1" priority="284" operator="equal">
      <formula>0</formula>
    </cfRule>
  </conditionalFormatting>
  <conditionalFormatting sqref="D174">
    <cfRule type="cellIs" dxfId="1" priority="288" operator="equal">
      <formula>0</formula>
    </cfRule>
  </conditionalFormatting>
  <conditionalFormatting sqref="D175">
    <cfRule type="cellIs" dxfId="1" priority="293" operator="equal">
      <formula>0</formula>
    </cfRule>
  </conditionalFormatting>
  <conditionalFormatting sqref="D176">
    <cfRule type="cellIs" dxfId="1" priority="297" operator="equal">
      <formula>0</formula>
    </cfRule>
  </conditionalFormatting>
  <conditionalFormatting sqref="D177">
    <cfRule type="cellIs" dxfId="1" priority="302" operator="equal">
      <formula>0</formula>
    </cfRule>
  </conditionalFormatting>
  <conditionalFormatting sqref="D178">
    <cfRule type="cellIs" dxfId="1" priority="307" operator="equal">
      <formula>0</formula>
    </cfRule>
  </conditionalFormatting>
  <conditionalFormatting sqref="D179">
    <cfRule type="cellIs" dxfId="1" priority="312" operator="equal">
      <formula>0</formula>
    </cfRule>
  </conditionalFormatting>
  <conditionalFormatting sqref="D180">
    <cfRule type="cellIs" dxfId="1" priority="316" operator="equal">
      <formula>0</formula>
    </cfRule>
  </conditionalFormatting>
  <conditionalFormatting sqref="D181">
    <cfRule type="cellIs" dxfId="1" priority="321" operator="equal">
      <formula>0</formula>
    </cfRule>
  </conditionalFormatting>
  <conditionalFormatting sqref="D182">
    <cfRule type="cellIs" dxfId="1" priority="327" operator="equal">
      <formula>0</formula>
    </cfRule>
  </conditionalFormatting>
  <conditionalFormatting sqref="D183">
    <cfRule type="cellIs" dxfId="1" priority="333" operator="equal">
      <formula>0</formula>
    </cfRule>
  </conditionalFormatting>
  <conditionalFormatting sqref="D184">
    <cfRule type="cellIs" dxfId="1" priority="336" operator="equal">
      <formula>0</formula>
    </cfRule>
  </conditionalFormatting>
  <conditionalFormatting sqref="D186">
    <cfRule type="expression" dxfId="0" priority="342">
      <formula>D187=0</formula>
    </cfRule>
  </conditionalFormatting>
  <conditionalFormatting sqref="D187">
    <cfRule type="cellIs" dxfId="1" priority="347" operator="equal">
      <formula>0</formula>
    </cfRule>
  </conditionalFormatting>
  <conditionalFormatting sqref="D188">
    <cfRule type="cellIs" dxfId="1" priority="352" operator="equal">
      <formula>0</formula>
    </cfRule>
  </conditionalFormatting>
  <conditionalFormatting sqref="D189">
    <cfRule type="cellIs" dxfId="1" priority="353" operator="equal">
      <formula>0</formula>
    </cfRule>
  </conditionalFormatting>
  <conditionalFormatting sqref="D194">
    <cfRule type="cellIs" dxfId="1" priority="362" operator="equal">
      <formula>0</formula>
    </cfRule>
  </conditionalFormatting>
  <conditionalFormatting sqref="D195">
    <cfRule type="cellIs" dxfId="1" priority="364" operator="equal">
      <formula>0</formula>
    </cfRule>
  </conditionalFormatting>
  <conditionalFormatting sqref="D197">
    <cfRule type="cellIs" dxfId="1" priority="369" operator="equal">
      <formula>0</formula>
    </cfRule>
  </conditionalFormatting>
  <conditionalFormatting sqref="D205">
    <cfRule type="expression" dxfId="0" priority="382">
      <formula>D206=0</formula>
    </cfRule>
  </conditionalFormatting>
  <conditionalFormatting sqref="D206">
    <cfRule type="cellIs" dxfId="1" priority="390" operator="equal">
      <formula>0</formula>
    </cfRule>
  </conditionalFormatting>
  <conditionalFormatting sqref="D208">
    <cfRule type="cellIs" dxfId="1" priority="398" operator="equal">
      <formula>0</formula>
    </cfRule>
  </conditionalFormatting>
  <conditionalFormatting sqref="D224">
    <cfRule type="expression" dxfId="0" priority="430">
      <formula>D225=0</formula>
    </cfRule>
  </conditionalFormatting>
  <conditionalFormatting sqref="D225">
    <cfRule type="cellIs" dxfId="1" priority="435" operator="equal">
      <formula>0</formula>
    </cfRule>
  </conditionalFormatting>
  <conditionalFormatting sqref="D227">
    <cfRule type="cellIs" dxfId="1" priority="440" operator="equal">
      <formula>0</formula>
    </cfRule>
  </conditionalFormatting>
  <conditionalFormatting sqref="D249">
    <cfRule type="expression" dxfId="0" priority="467">
      <formula>D250=0</formula>
    </cfRule>
  </conditionalFormatting>
  <conditionalFormatting sqref="D250">
    <cfRule type="cellIs" dxfId="1" priority="475" operator="equal">
      <formula>0</formula>
    </cfRule>
  </conditionalFormatting>
  <conditionalFormatting sqref="D251">
    <cfRule type="cellIs" dxfId="1" priority="483" operator="equal">
      <formula>0</formula>
    </cfRule>
  </conditionalFormatting>
  <conditionalFormatting sqref="D252">
    <cfRule type="cellIs" dxfId="1" priority="488" operator="equal">
      <formula>0</formula>
    </cfRule>
  </conditionalFormatting>
  <conditionalFormatting sqref="D253">
    <cfRule type="cellIs" dxfId="1" priority="493" operator="equal">
      <formula>0</formula>
    </cfRule>
  </conditionalFormatting>
  <conditionalFormatting sqref="D254">
    <cfRule type="cellIs" dxfId="1" priority="498" operator="equal">
      <formula>0</formula>
    </cfRule>
  </conditionalFormatting>
  <conditionalFormatting sqref="D255">
    <cfRule type="cellIs" dxfId="1" priority="503" operator="equal">
      <formula>0</formula>
    </cfRule>
  </conditionalFormatting>
  <conditionalFormatting sqref="D256">
    <cfRule type="cellIs" dxfId="1" priority="508" operator="equal">
      <formula>0</formula>
    </cfRule>
  </conditionalFormatting>
  <conditionalFormatting sqref="D257">
    <cfRule type="cellIs" dxfId="1" priority="513" operator="equal">
      <formula>0</formula>
    </cfRule>
  </conditionalFormatting>
  <conditionalFormatting sqref="D258">
    <cfRule type="cellIs" dxfId="1" priority="517" operator="equal">
      <formula>0</formula>
    </cfRule>
  </conditionalFormatting>
  <conditionalFormatting sqref="D259">
    <cfRule type="cellIs" dxfId="1" priority="521" operator="equal">
      <formula>0</formula>
    </cfRule>
  </conditionalFormatting>
  <conditionalFormatting sqref="D260">
    <cfRule type="cellIs" dxfId="1" priority="526" operator="equal">
      <formula>0</formula>
    </cfRule>
  </conditionalFormatting>
  <conditionalFormatting sqref="D261">
    <cfRule type="cellIs" dxfId="1" priority="530" operator="equal">
      <formula>0</formula>
    </cfRule>
  </conditionalFormatting>
  <conditionalFormatting sqref="D262">
    <cfRule type="cellIs" dxfId="1" priority="534" operator="equal">
      <formula>0</formula>
    </cfRule>
  </conditionalFormatting>
  <conditionalFormatting sqref="D263">
    <cfRule type="cellIs" dxfId="1" priority="539" operator="equal">
      <formula>0</formula>
    </cfRule>
  </conditionalFormatting>
  <conditionalFormatting sqref="D264">
    <cfRule type="cellIs" dxfId="1" priority="544" operator="equal">
      <formula>0</formula>
    </cfRule>
  </conditionalFormatting>
  <conditionalFormatting sqref="D265">
    <cfRule type="cellIs" dxfId="1" priority="548" operator="equal">
      <formula>0</formula>
    </cfRule>
  </conditionalFormatting>
  <conditionalFormatting sqref="D266">
    <cfRule type="cellIs" dxfId="1" priority="552" operator="equal">
      <formula>0</formula>
    </cfRule>
  </conditionalFormatting>
  <conditionalFormatting sqref="D267">
    <cfRule type="cellIs" dxfId="1" priority="558" operator="equal">
      <formula>0</formula>
    </cfRule>
  </conditionalFormatting>
  <conditionalFormatting sqref="D268">
    <cfRule type="cellIs" dxfId="1" priority="562" operator="equal">
      <formula>0</formula>
    </cfRule>
  </conditionalFormatting>
  <conditionalFormatting sqref="D269">
    <cfRule type="cellIs" dxfId="1" priority="567" operator="equal">
      <formula>0</formula>
    </cfRule>
  </conditionalFormatting>
  <conditionalFormatting sqref="D270">
    <cfRule type="cellIs" dxfId="1" priority="572" operator="equal">
      <formula>0</formula>
    </cfRule>
  </conditionalFormatting>
  <conditionalFormatting sqref="D271">
    <cfRule type="cellIs" dxfId="1" priority="577" operator="equal">
      <formula>0</formula>
    </cfRule>
  </conditionalFormatting>
  <conditionalFormatting sqref="D272">
    <cfRule type="cellIs" dxfId="1" priority="580" operator="equal">
      <formula>0</formula>
    </cfRule>
  </conditionalFormatting>
  <conditionalFormatting sqref="D274">
    <cfRule type="expression" dxfId="0" priority="586">
      <formula>D275=0</formula>
    </cfRule>
  </conditionalFormatting>
  <conditionalFormatting sqref="D275">
    <cfRule type="cellIs" dxfId="1" priority="591" operator="equal">
      <formula>0</formula>
    </cfRule>
  </conditionalFormatting>
  <conditionalFormatting sqref="D276">
    <cfRule type="cellIs" dxfId="1" priority="596" operator="equal">
      <formula>0</formula>
    </cfRule>
  </conditionalFormatting>
  <conditionalFormatting sqref="D277">
    <cfRule type="cellIs" dxfId="1" priority="598" operator="equal">
      <formula>0</formula>
    </cfRule>
  </conditionalFormatting>
  <conditionalFormatting sqref="D278">
    <cfRule type="cellIs" dxfId="1" priority="599" operator="equal">
      <formula>0</formula>
    </cfRule>
  </conditionalFormatting>
  <conditionalFormatting sqref="D279">
    <cfRule type="cellIs" dxfId="1" priority="602" operator="equal">
      <formula>0</formula>
    </cfRule>
  </conditionalFormatting>
  <conditionalFormatting sqref="D281">
    <cfRule type="cellIs" dxfId="1" priority="605" operator="equal">
      <formula>0</formula>
    </cfRule>
  </conditionalFormatting>
  <conditionalFormatting sqref="D282">
    <cfRule type="cellIs" dxfId="1" priority="607" operator="equal">
      <formula>0</formula>
    </cfRule>
  </conditionalFormatting>
  <conditionalFormatting sqref="D285">
    <cfRule type="cellIs" dxfId="1" priority="612" operator="equal">
      <formula>0</formula>
    </cfRule>
  </conditionalFormatting>
  <conditionalFormatting sqref="D286">
    <cfRule type="cellIs" dxfId="1" priority="614" operator="equal">
      <formula>0</formula>
    </cfRule>
  </conditionalFormatting>
  <conditionalFormatting sqref="D288">
    <cfRule type="cellIs" dxfId="1" priority="619" operator="equal">
      <formula>0</formula>
    </cfRule>
  </conditionalFormatting>
  <conditionalFormatting sqref="D289">
    <cfRule type="cellIs" dxfId="1" priority="621" operator="equal">
      <formula>0</formula>
    </cfRule>
  </conditionalFormatting>
  <conditionalFormatting sqref="D29">
    <cfRule type="expression" dxfId="0" priority="2">
      <formula>D30=0</formula>
    </cfRule>
  </conditionalFormatting>
  <conditionalFormatting sqref="D294">
    <cfRule type="cellIs" dxfId="1" priority="631" operator="equal">
      <formula>0</formula>
    </cfRule>
  </conditionalFormatting>
  <conditionalFormatting sqref="D297">
    <cfRule type="cellIs" dxfId="1" priority="636" operator="equal">
      <formula>0</formula>
    </cfRule>
  </conditionalFormatting>
  <conditionalFormatting sqref="D299">
    <cfRule type="expression" dxfId="0" priority="638">
      <formula>D300=0</formula>
    </cfRule>
  </conditionalFormatting>
  <conditionalFormatting sqref="D30">
    <cfRule type="cellIs" dxfId="1" priority="6" operator="equal">
      <formula>0</formula>
    </cfRule>
  </conditionalFormatting>
  <conditionalFormatting sqref="D300">
    <cfRule type="cellIs" dxfId="1" priority="646" operator="equal">
      <formula>0</formula>
    </cfRule>
  </conditionalFormatting>
  <conditionalFormatting sqref="D303">
    <cfRule type="cellIs" dxfId="1" priority="655" operator="equal">
      <formula>0</formula>
    </cfRule>
  </conditionalFormatting>
  <conditionalFormatting sqref="D31">
    <cfRule type="cellIs" dxfId="1" priority="10" operator="equal">
      <formula>0</formula>
    </cfRule>
  </conditionalFormatting>
  <conditionalFormatting sqref="D324">
    <cfRule type="expression" dxfId="0" priority="697">
      <formula>D325=0</formula>
    </cfRule>
  </conditionalFormatting>
  <conditionalFormatting sqref="D325">
    <cfRule type="cellIs" dxfId="1" priority="702" operator="equal">
      <formula>0</formula>
    </cfRule>
  </conditionalFormatting>
  <conditionalFormatting sqref="D327">
    <cfRule type="cellIs" dxfId="1" priority="707" operator="equal">
      <formula>0</formula>
    </cfRule>
  </conditionalFormatting>
  <conditionalFormatting sqref="D329">
    <cfRule type="cellIs" dxfId="1" priority="710" operator="equal">
      <formula>0</formula>
    </cfRule>
  </conditionalFormatting>
  <conditionalFormatting sqref="D33">
    <cfRule type="expression" dxfId="0" priority="14">
      <formula>D34=0</formula>
    </cfRule>
  </conditionalFormatting>
  <conditionalFormatting sqref="D330">
    <cfRule type="cellIs" dxfId="1" priority="711" operator="equal">
      <formula>0</formula>
    </cfRule>
  </conditionalFormatting>
  <conditionalFormatting sqref="D331">
    <cfRule type="cellIs" dxfId="1" priority="713" operator="equal">
      <formula>0</formula>
    </cfRule>
  </conditionalFormatting>
  <conditionalFormatting sqref="D332">
    <cfRule type="cellIs" dxfId="1" priority="714" operator="equal">
      <formula>0</formula>
    </cfRule>
  </conditionalFormatting>
  <conditionalFormatting sqref="D333">
    <cfRule type="cellIs" dxfId="1" priority="715" operator="equal">
      <formula>0</formula>
    </cfRule>
  </conditionalFormatting>
  <conditionalFormatting sqref="D334">
    <cfRule type="cellIs" dxfId="1" priority="717" operator="equal">
      <formula>0</formula>
    </cfRule>
  </conditionalFormatting>
  <conditionalFormatting sqref="D337">
    <cfRule type="cellIs" dxfId="1" priority="721" operator="equal">
      <formula>0</formula>
    </cfRule>
  </conditionalFormatting>
  <conditionalFormatting sqref="D339">
    <cfRule type="cellIs" dxfId="1" priority="724" operator="equal">
      <formula>0</formula>
    </cfRule>
  </conditionalFormatting>
  <conditionalFormatting sqref="D34">
    <cfRule type="cellIs" dxfId="1" priority="16" operator="equal">
      <formula>0</formula>
    </cfRule>
  </conditionalFormatting>
  <conditionalFormatting sqref="D340">
    <cfRule type="cellIs" dxfId="1" priority="725" operator="equal">
      <formula>0</formula>
    </cfRule>
  </conditionalFormatting>
  <conditionalFormatting sqref="D341">
    <cfRule type="cellIs" dxfId="1" priority="727" operator="equal">
      <formula>0</formula>
    </cfRule>
  </conditionalFormatting>
  <conditionalFormatting sqref="D342">
    <cfRule type="cellIs" dxfId="1" priority="729" operator="equal">
      <formula>0</formula>
    </cfRule>
  </conditionalFormatting>
  <conditionalFormatting sqref="D344">
    <cfRule type="cellIs" dxfId="1" priority="733" operator="equal">
      <formula>0</formula>
    </cfRule>
  </conditionalFormatting>
  <conditionalFormatting sqref="D345">
    <cfRule type="cellIs" dxfId="1" priority="734" operator="equal">
      <formula>0</formula>
    </cfRule>
  </conditionalFormatting>
  <conditionalFormatting sqref="D346">
    <cfRule type="cellIs" dxfId="1" priority="736" operator="equal">
      <formula>0</formula>
    </cfRule>
  </conditionalFormatting>
  <conditionalFormatting sqref="D347">
    <cfRule type="cellIs" dxfId="1" priority="738" operator="equal">
      <formula>0</formula>
    </cfRule>
  </conditionalFormatting>
  <conditionalFormatting sqref="D35">
    <cfRule type="cellIs" dxfId="1" priority="18" operator="equal">
      <formula>0</formula>
    </cfRule>
  </conditionalFormatting>
  <conditionalFormatting sqref="D355">
    <cfRule type="expression" dxfId="0" priority="740">
      <formula>D356=0</formula>
    </cfRule>
  </conditionalFormatting>
  <conditionalFormatting sqref="D356">
    <cfRule type="cellIs" dxfId="1" priority="744" operator="equal">
      <formula>0</formula>
    </cfRule>
  </conditionalFormatting>
  <conditionalFormatting sqref="D357">
    <cfRule type="cellIs" dxfId="1" priority="748" operator="equal">
      <formula>0</formula>
    </cfRule>
  </conditionalFormatting>
  <conditionalFormatting sqref="D359">
    <cfRule type="expression" dxfId="0" priority="752">
      <formula>D360=0</formula>
    </cfRule>
  </conditionalFormatting>
  <conditionalFormatting sqref="D360">
    <cfRule type="cellIs" dxfId="1" priority="754" operator="equal">
      <formula>0</formula>
    </cfRule>
  </conditionalFormatting>
  <conditionalFormatting sqref="D361">
    <cfRule type="cellIs" dxfId="1" priority="756" operator="equal">
      <formula>0</formula>
    </cfRule>
  </conditionalFormatting>
  <conditionalFormatting sqref="D363">
    <cfRule type="expression" dxfId="0" priority="758">
      <formula>D364=0</formula>
    </cfRule>
  </conditionalFormatting>
  <conditionalFormatting sqref="D364">
    <cfRule type="cellIs" dxfId="1" priority="760" operator="equal">
      <formula>0</formula>
    </cfRule>
  </conditionalFormatting>
  <conditionalFormatting sqref="D365">
    <cfRule type="cellIs" dxfId="1" priority="762" operator="equal">
      <formula>0</formula>
    </cfRule>
  </conditionalFormatting>
  <conditionalFormatting sqref="D367">
    <cfRule type="expression" dxfId="0" priority="764">
      <formula>D368=0</formula>
    </cfRule>
  </conditionalFormatting>
  <conditionalFormatting sqref="D368">
    <cfRule type="cellIs" dxfId="1" priority="766" operator="equal">
      <formula>0</formula>
    </cfRule>
  </conditionalFormatting>
  <conditionalFormatting sqref="D369">
    <cfRule type="cellIs" dxfId="1" priority="768" operator="equal">
      <formula>0</formula>
    </cfRule>
  </conditionalFormatting>
  <conditionalFormatting sqref="D37">
    <cfRule type="expression" dxfId="0" priority="20">
      <formula>D38=0</formula>
    </cfRule>
  </conditionalFormatting>
  <conditionalFormatting sqref="D377">
    <cfRule type="expression" dxfId="0" priority="770">
      <formula>D378=0</formula>
    </cfRule>
  </conditionalFormatting>
  <conditionalFormatting sqref="D378">
    <cfRule type="cellIs" dxfId="1" priority="778" operator="equal">
      <formula>0</formula>
    </cfRule>
  </conditionalFormatting>
  <conditionalFormatting sqref="D379">
    <cfRule type="cellIs" dxfId="1" priority="786" operator="equal">
      <formula>0</formula>
    </cfRule>
  </conditionalFormatting>
  <conditionalFormatting sqref="D38">
    <cfRule type="cellIs" dxfId="1" priority="23" operator="equal">
      <formula>0</formula>
    </cfRule>
  </conditionalFormatting>
  <conditionalFormatting sqref="D381">
    <cfRule type="cellIs" dxfId="1" priority="795" operator="equal">
      <formula>0</formula>
    </cfRule>
  </conditionalFormatting>
  <conditionalFormatting sqref="D382">
    <cfRule type="cellIs" dxfId="1" priority="801" operator="equal">
      <formula>0</formula>
    </cfRule>
  </conditionalFormatting>
  <conditionalFormatting sqref="D384">
    <cfRule type="expression" dxfId="0" priority="806">
      <formula>D385=0</formula>
    </cfRule>
  </conditionalFormatting>
  <conditionalFormatting sqref="D385">
    <cfRule type="cellIs" dxfId="1" priority="810" operator="equal">
      <formula>0</formula>
    </cfRule>
  </conditionalFormatting>
  <conditionalFormatting sqref="D386">
    <cfRule type="cellIs" dxfId="1" priority="814" operator="equal">
      <formula>0</formula>
    </cfRule>
  </conditionalFormatting>
  <conditionalFormatting sqref="D388">
    <cfRule type="cellIs" dxfId="1" priority="816" operator="equal">
      <formula>0</formula>
    </cfRule>
  </conditionalFormatting>
  <conditionalFormatting sqref="D389">
    <cfRule type="cellIs" dxfId="1" priority="819" operator="equal">
      <formula>0</formula>
    </cfRule>
  </conditionalFormatting>
  <conditionalFormatting sqref="D39">
    <cfRule type="cellIs" dxfId="1" priority="26" operator="equal">
      <formula>0</formula>
    </cfRule>
  </conditionalFormatting>
  <conditionalFormatting sqref="D391">
    <cfRule type="expression" dxfId="0" priority="822">
      <formula>D392=0</formula>
    </cfRule>
  </conditionalFormatting>
  <conditionalFormatting sqref="D392">
    <cfRule type="cellIs" dxfId="1" priority="826" operator="equal">
      <formula>0</formula>
    </cfRule>
  </conditionalFormatting>
  <conditionalFormatting sqref="D393">
    <cfRule type="cellIs" dxfId="1" priority="830" operator="equal">
      <formula>0</formula>
    </cfRule>
  </conditionalFormatting>
  <conditionalFormatting sqref="D394">
    <cfRule type="cellIs" dxfId="1" priority="831" operator="equal">
      <formula>0</formula>
    </cfRule>
  </conditionalFormatting>
  <conditionalFormatting sqref="D395">
    <cfRule type="cellIs" dxfId="1" priority="833" operator="equal">
      <formula>0</formula>
    </cfRule>
  </conditionalFormatting>
  <conditionalFormatting sqref="D396">
    <cfRule type="cellIs" dxfId="1" priority="836" operator="equal">
      <formula>0</formula>
    </cfRule>
  </conditionalFormatting>
  <conditionalFormatting sqref="D398">
    <cfRule type="expression" dxfId="0" priority="839">
      <formula>D399=0</formula>
    </cfRule>
  </conditionalFormatting>
  <conditionalFormatting sqref="D399">
    <cfRule type="cellIs" dxfId="1" priority="844" operator="equal">
      <formula>0</formula>
    </cfRule>
  </conditionalFormatting>
  <conditionalFormatting sqref="D400">
    <cfRule type="cellIs" dxfId="1" priority="849" operator="equal">
      <formula>0</formula>
    </cfRule>
  </conditionalFormatting>
  <conditionalFormatting sqref="D41">
    <cfRule type="expression" dxfId="0" priority="29">
      <formula>D42=0</formula>
    </cfRule>
  </conditionalFormatting>
  <conditionalFormatting sqref="D411">
    <cfRule type="expression" dxfId="0" priority="855">
      <formula>D412=0</formula>
    </cfRule>
  </conditionalFormatting>
  <conditionalFormatting sqref="D412">
    <cfRule type="cellIs" dxfId="1" priority="860" operator="equal">
      <formula>0</formula>
    </cfRule>
  </conditionalFormatting>
  <conditionalFormatting sqref="D413">
    <cfRule type="cellIs" dxfId="1" priority="865" operator="equal">
      <formula>0</formula>
    </cfRule>
  </conditionalFormatting>
  <conditionalFormatting sqref="D414">
    <cfRule type="cellIs" dxfId="1" priority="870" operator="equal">
      <formula>0</formula>
    </cfRule>
  </conditionalFormatting>
  <conditionalFormatting sqref="D415">
    <cfRule type="cellIs" dxfId="1" priority="875" operator="equal">
      <formula>0</formula>
    </cfRule>
  </conditionalFormatting>
  <conditionalFormatting sqref="D417">
    <cfRule type="expression" dxfId="0" priority="880">
      <formula>D418=0</formula>
    </cfRule>
  </conditionalFormatting>
  <conditionalFormatting sqref="D418">
    <cfRule type="cellIs" dxfId="1" priority="883" operator="equal">
      <formula>0</formula>
    </cfRule>
  </conditionalFormatting>
  <conditionalFormatting sqref="D419">
    <cfRule type="cellIs" dxfId="1" priority="886" operator="equal">
      <formula>0</formula>
    </cfRule>
  </conditionalFormatting>
  <conditionalFormatting sqref="D42">
    <cfRule type="cellIs" dxfId="1" priority="31" operator="equal">
      <formula>0</formula>
    </cfRule>
  </conditionalFormatting>
  <conditionalFormatting sqref="D420">
    <cfRule type="cellIs" dxfId="1" priority="888" operator="equal">
      <formula>0</formula>
    </cfRule>
  </conditionalFormatting>
  <conditionalFormatting sqref="D421">
    <cfRule type="cellIs" dxfId="1" priority="889" operator="equal">
      <formula>0</formula>
    </cfRule>
  </conditionalFormatting>
  <conditionalFormatting sqref="D423">
    <cfRule type="expression" dxfId="0" priority="892">
      <formula>D424=0</formula>
    </cfRule>
  </conditionalFormatting>
  <conditionalFormatting sqref="D424">
    <cfRule type="cellIs" dxfId="1" priority="894" operator="equal">
      <formula>0</formula>
    </cfRule>
  </conditionalFormatting>
  <conditionalFormatting sqref="D425">
    <cfRule type="cellIs" dxfId="1" priority="896" operator="equal">
      <formula>0</formula>
    </cfRule>
  </conditionalFormatting>
  <conditionalFormatting sqref="D427">
    <cfRule type="cellIs" dxfId="1" priority="899" operator="equal">
      <formula>0</formula>
    </cfRule>
  </conditionalFormatting>
  <conditionalFormatting sqref="D429">
    <cfRule type="expression" dxfId="0" priority="901">
      <formula>D430=0</formula>
    </cfRule>
  </conditionalFormatting>
  <conditionalFormatting sqref="D43">
    <cfRule type="cellIs" dxfId="1" priority="33" operator="equal">
      <formula>0</formula>
    </cfRule>
  </conditionalFormatting>
  <conditionalFormatting sqref="D430">
    <cfRule type="cellIs" dxfId="1" priority="904" operator="equal">
      <formula>0</formula>
    </cfRule>
  </conditionalFormatting>
  <conditionalFormatting sqref="D432">
    <cfRule type="cellIs" dxfId="1" priority="907" operator="equal">
      <formula>0</formula>
    </cfRule>
  </conditionalFormatting>
  <conditionalFormatting sqref="D441">
    <cfRule type="expression" dxfId="0" priority="911">
      <formula>D442=0</formula>
    </cfRule>
  </conditionalFormatting>
  <conditionalFormatting sqref="D442">
    <cfRule type="cellIs" dxfId="1" priority="919" operator="equal">
      <formula>0</formula>
    </cfRule>
  </conditionalFormatting>
  <conditionalFormatting sqref="D443">
    <cfRule type="cellIs" dxfId="1" priority="927" operator="equal">
      <formula>0</formula>
    </cfRule>
  </conditionalFormatting>
  <conditionalFormatting sqref="D444">
    <cfRule type="cellIs" dxfId="1" priority="933" operator="equal">
      <formula>0</formula>
    </cfRule>
  </conditionalFormatting>
  <conditionalFormatting sqref="D445">
    <cfRule type="cellIs" dxfId="1" priority="938" operator="equal">
      <formula>0</formula>
    </cfRule>
  </conditionalFormatting>
  <conditionalFormatting sqref="D448">
    <cfRule type="expression" dxfId="0" priority="948">
      <formula>D449=0</formula>
    </cfRule>
  </conditionalFormatting>
  <conditionalFormatting sqref="D449">
    <cfRule type="cellIs" dxfId="1" priority="953" operator="equal">
      <formula>0</formula>
    </cfRule>
  </conditionalFormatting>
  <conditionalFormatting sqref="D450">
    <cfRule type="cellIs" dxfId="1" priority="958" operator="equal">
      <formula>0</formula>
    </cfRule>
  </conditionalFormatting>
  <conditionalFormatting sqref="D452">
    <cfRule type="cellIs" dxfId="1" priority="961" operator="equal">
      <formula>0</formula>
    </cfRule>
  </conditionalFormatting>
  <conditionalFormatting sqref="D455">
    <cfRule type="expression" dxfId="0" priority="967">
      <formula>D456=0</formula>
    </cfRule>
  </conditionalFormatting>
  <conditionalFormatting sqref="D456">
    <cfRule type="cellIs" dxfId="1" priority="973" operator="equal">
      <formula>0</formula>
    </cfRule>
  </conditionalFormatting>
  <conditionalFormatting sqref="D457">
    <cfRule type="cellIs" dxfId="1" priority="979" operator="equal">
      <formula>0</formula>
    </cfRule>
  </conditionalFormatting>
  <conditionalFormatting sqref="D459">
    <cfRule type="cellIs" dxfId="1" priority="983" operator="equal">
      <formula>0</formula>
    </cfRule>
  </conditionalFormatting>
  <conditionalFormatting sqref="D462">
    <cfRule type="expression" dxfId="0" priority="989">
      <formula>D463=0</formula>
    </cfRule>
  </conditionalFormatting>
  <conditionalFormatting sqref="D463">
    <cfRule type="cellIs" dxfId="1" priority="993" operator="equal">
      <formula>0</formula>
    </cfRule>
  </conditionalFormatting>
  <conditionalFormatting sqref="D464">
    <cfRule type="cellIs" dxfId="1" priority="997" operator="equal">
      <formula>0</formula>
    </cfRule>
  </conditionalFormatting>
  <conditionalFormatting sqref="D467">
    <cfRule type="cellIs" dxfId="1" priority="1000" operator="equal">
      <formula>0</formula>
    </cfRule>
  </conditionalFormatting>
  <conditionalFormatting sqref="D475">
    <cfRule type="expression" dxfId="0" priority="1003">
      <formula>D476=0</formula>
    </cfRule>
  </conditionalFormatting>
  <conditionalFormatting sqref="D476">
    <cfRule type="cellIs" dxfId="1" priority="1011" operator="equal">
      <formula>0</formula>
    </cfRule>
  </conditionalFormatting>
  <conditionalFormatting sqref="D477">
    <cfRule type="cellIs" dxfId="1" priority="1019" operator="equal">
      <formula>0</formula>
    </cfRule>
  </conditionalFormatting>
  <conditionalFormatting sqref="D478">
    <cfRule type="cellIs" dxfId="1" priority="1024" operator="equal">
      <formula>0</formula>
    </cfRule>
  </conditionalFormatting>
  <conditionalFormatting sqref="D479">
    <cfRule type="cellIs" dxfId="1" priority="1029" operator="equal">
      <formula>0</formula>
    </cfRule>
  </conditionalFormatting>
  <conditionalFormatting sqref="D480">
    <cfRule type="cellIs" dxfId="1" priority="1032" operator="equal">
      <formula>0</formula>
    </cfRule>
  </conditionalFormatting>
  <conditionalFormatting sqref="D481">
    <cfRule type="cellIs" dxfId="1" priority="1038" operator="equal">
      <formula>0</formula>
    </cfRule>
  </conditionalFormatting>
  <conditionalFormatting sqref="D482">
    <cfRule type="cellIs" dxfId="1" priority="1043" operator="equal">
      <formula>0</formula>
    </cfRule>
  </conditionalFormatting>
  <conditionalFormatting sqref="D483">
    <cfRule type="cellIs" dxfId="1" priority="1048" operator="equal">
      <formula>0</formula>
    </cfRule>
  </conditionalFormatting>
  <conditionalFormatting sqref="D484">
    <cfRule type="cellIs" dxfId="1" priority="1052" operator="equal">
      <formula>0</formula>
    </cfRule>
  </conditionalFormatting>
  <conditionalFormatting sqref="D485">
    <cfRule type="cellIs" dxfId="1" priority="1056" operator="equal">
      <formula>0</formula>
    </cfRule>
  </conditionalFormatting>
  <conditionalFormatting sqref="D486">
    <cfRule type="cellIs" dxfId="1" priority="1062" operator="equal">
      <formula>0</formula>
    </cfRule>
  </conditionalFormatting>
  <conditionalFormatting sqref="D487">
    <cfRule type="cellIs" dxfId="1" priority="1067" operator="equal">
      <formula>0</formula>
    </cfRule>
  </conditionalFormatting>
  <conditionalFormatting sqref="D488">
    <cfRule type="cellIs" dxfId="1" priority="1072" operator="equal">
      <formula>0</formula>
    </cfRule>
  </conditionalFormatting>
  <conditionalFormatting sqref="D489">
    <cfRule type="cellIs" dxfId="1" priority="1076" operator="equal">
      <formula>0</formula>
    </cfRule>
  </conditionalFormatting>
  <conditionalFormatting sqref="D490">
    <cfRule type="cellIs" dxfId="1" priority="1080" operator="equal">
      <formula>0</formula>
    </cfRule>
  </conditionalFormatting>
  <conditionalFormatting sqref="D491">
    <cfRule type="cellIs" dxfId="1" priority="1085" operator="equal">
      <formula>0</formula>
    </cfRule>
  </conditionalFormatting>
  <conditionalFormatting sqref="D492">
    <cfRule type="cellIs" dxfId="1" priority="1090" operator="equal">
      <formula>0</formula>
    </cfRule>
  </conditionalFormatting>
  <conditionalFormatting sqref="D493">
    <cfRule type="cellIs" dxfId="1" priority="1095" operator="equal">
      <formula>0</formula>
    </cfRule>
  </conditionalFormatting>
  <conditionalFormatting sqref="D494">
    <cfRule type="cellIs" dxfId="1" priority="1099" operator="equal">
      <formula>0</formula>
    </cfRule>
  </conditionalFormatting>
  <conditionalFormatting sqref="D495">
    <cfRule type="cellIs" dxfId="1" priority="1104" operator="equal">
      <formula>0</formula>
    </cfRule>
  </conditionalFormatting>
  <conditionalFormatting sqref="D496">
    <cfRule type="cellIs" dxfId="1" priority="1109" operator="equal">
      <formula>0</formula>
    </cfRule>
  </conditionalFormatting>
  <conditionalFormatting sqref="D497">
    <cfRule type="cellIs" dxfId="1" priority="1113" operator="equal">
      <formula>0</formula>
    </cfRule>
  </conditionalFormatting>
  <conditionalFormatting sqref="D498">
    <cfRule type="cellIs" dxfId="1" priority="1118" operator="equal">
      <formula>0</formula>
    </cfRule>
  </conditionalFormatting>
  <conditionalFormatting sqref="D500">
    <cfRule type="expression" dxfId="0" priority="1123">
      <formula>D501=0</formula>
    </cfRule>
  </conditionalFormatting>
  <conditionalFormatting sqref="D501">
    <cfRule type="cellIs" dxfId="1" priority="1128" operator="equal">
      <formula>0</formula>
    </cfRule>
  </conditionalFormatting>
  <conditionalFormatting sqref="D502">
    <cfRule type="cellIs" dxfId="1" priority="1133" operator="equal">
      <formula>0</formula>
    </cfRule>
  </conditionalFormatting>
  <conditionalFormatting sqref="D503">
    <cfRule type="cellIs" dxfId="1" priority="1135" operator="equal">
      <formula>0</formula>
    </cfRule>
  </conditionalFormatting>
  <conditionalFormatting sqref="D504">
    <cfRule type="cellIs" dxfId="1" priority="1136" operator="equal">
      <formula>0</formula>
    </cfRule>
  </conditionalFormatting>
  <conditionalFormatting sqref="D505">
    <cfRule type="cellIs" dxfId="1" priority="1139" operator="equal">
      <formula>0</formula>
    </cfRule>
  </conditionalFormatting>
  <conditionalFormatting sqref="D507">
    <cfRule type="cellIs" dxfId="1" priority="1142" operator="equal">
      <formula>0</formula>
    </cfRule>
  </conditionalFormatting>
  <conditionalFormatting sqref="D508">
    <cfRule type="cellIs" dxfId="1" priority="1144" operator="equal">
      <formula>0</formula>
    </cfRule>
  </conditionalFormatting>
  <conditionalFormatting sqref="D51">
    <cfRule type="expression" dxfId="0" priority="35">
      <formula>D52=0</formula>
    </cfRule>
  </conditionalFormatting>
  <conditionalFormatting sqref="D511">
    <cfRule type="cellIs" dxfId="1" priority="1149" operator="equal">
      <formula>0</formula>
    </cfRule>
  </conditionalFormatting>
  <conditionalFormatting sqref="D512">
    <cfRule type="cellIs" dxfId="1" priority="1151" operator="equal">
      <formula>0</formula>
    </cfRule>
  </conditionalFormatting>
  <conditionalFormatting sqref="D514">
    <cfRule type="cellIs" dxfId="1" priority="1156" operator="equal">
      <formula>0</formula>
    </cfRule>
  </conditionalFormatting>
  <conditionalFormatting sqref="D515">
    <cfRule type="cellIs" dxfId="1" priority="1158" operator="equal">
      <formula>0</formula>
    </cfRule>
  </conditionalFormatting>
  <conditionalFormatting sqref="D518">
    <cfRule type="cellIs" dxfId="1" priority="1164" operator="equal">
      <formula>0</formula>
    </cfRule>
  </conditionalFormatting>
  <conditionalFormatting sqref="D52">
    <cfRule type="cellIs" dxfId="1" priority="41" operator="equal">
      <formula>0</formula>
    </cfRule>
  </conditionalFormatting>
  <conditionalFormatting sqref="D520">
    <cfRule type="cellIs" dxfId="1" priority="1168" operator="equal">
      <formula>0</formula>
    </cfRule>
  </conditionalFormatting>
  <conditionalFormatting sqref="D523">
    <cfRule type="cellIs" dxfId="1" priority="1173" operator="equal">
      <formula>0</formula>
    </cfRule>
  </conditionalFormatting>
  <conditionalFormatting sqref="D525">
    <cfRule type="expression" dxfId="0" priority="1175">
      <formula>D526=0</formula>
    </cfRule>
  </conditionalFormatting>
  <conditionalFormatting sqref="D526">
    <cfRule type="cellIs" dxfId="1" priority="1183" operator="equal">
      <formula>0</formula>
    </cfRule>
  </conditionalFormatting>
  <conditionalFormatting sqref="D529">
    <cfRule type="cellIs" dxfId="1" priority="1192" operator="equal">
      <formula>0</formula>
    </cfRule>
  </conditionalFormatting>
  <conditionalFormatting sqref="D53">
    <cfRule type="cellIs" dxfId="1" priority="47" operator="equal">
      <formula>0</formula>
    </cfRule>
  </conditionalFormatting>
  <conditionalFormatting sqref="D54">
    <cfRule type="cellIs" dxfId="1" priority="51" operator="equal">
      <formula>0</formula>
    </cfRule>
  </conditionalFormatting>
  <conditionalFormatting sqref="D55">
    <cfRule type="cellIs" dxfId="1" priority="55" operator="equal">
      <formula>0</formula>
    </cfRule>
  </conditionalFormatting>
  <conditionalFormatting sqref="D550">
    <cfRule type="expression" dxfId="0" priority="1233">
      <formula>D551=0</formula>
    </cfRule>
  </conditionalFormatting>
  <conditionalFormatting sqref="D551">
    <cfRule type="cellIs" dxfId="1" priority="1238" operator="equal">
      <formula>0</formula>
    </cfRule>
  </conditionalFormatting>
  <conditionalFormatting sqref="D553">
    <cfRule type="cellIs" dxfId="1" priority="1243" operator="equal">
      <formula>0</formula>
    </cfRule>
  </conditionalFormatting>
  <conditionalFormatting sqref="D555">
    <cfRule type="cellIs" dxfId="1" priority="1246" operator="equal">
      <formula>0</formula>
    </cfRule>
  </conditionalFormatting>
  <conditionalFormatting sqref="D556">
    <cfRule type="cellIs" dxfId="1" priority="1247" operator="equal">
      <formula>0</formula>
    </cfRule>
  </conditionalFormatting>
  <conditionalFormatting sqref="D557">
    <cfRule type="cellIs" dxfId="1" priority="1249" operator="equal">
      <formula>0</formula>
    </cfRule>
  </conditionalFormatting>
  <conditionalFormatting sqref="D558">
    <cfRule type="cellIs" dxfId="1" priority="1250" operator="equal">
      <formula>0</formula>
    </cfRule>
  </conditionalFormatting>
  <conditionalFormatting sqref="D559">
    <cfRule type="cellIs" dxfId="1" priority="1251" operator="equal">
      <formula>0</formula>
    </cfRule>
  </conditionalFormatting>
  <conditionalFormatting sqref="D56">
    <cfRule type="cellIs" dxfId="1" priority="61" operator="equal">
      <formula>0</formula>
    </cfRule>
  </conditionalFormatting>
  <conditionalFormatting sqref="D560">
    <cfRule type="cellIs" dxfId="1" priority="1253" operator="equal">
      <formula>0</formula>
    </cfRule>
  </conditionalFormatting>
  <conditionalFormatting sqref="D563">
    <cfRule type="cellIs" dxfId="1" priority="1257" operator="equal">
      <formula>0</formula>
    </cfRule>
  </conditionalFormatting>
  <conditionalFormatting sqref="D565">
    <cfRule type="cellIs" dxfId="1" priority="1260" operator="equal">
      <formula>0</formula>
    </cfRule>
  </conditionalFormatting>
  <conditionalFormatting sqref="D566">
    <cfRule type="cellIs" dxfId="1" priority="1261" operator="equal">
      <formula>0</formula>
    </cfRule>
  </conditionalFormatting>
  <conditionalFormatting sqref="D567">
    <cfRule type="cellIs" dxfId="1" priority="1263" operator="equal">
      <formula>0</formula>
    </cfRule>
  </conditionalFormatting>
  <conditionalFormatting sqref="D569">
    <cfRule type="cellIs" dxfId="1" priority="1266" operator="equal">
      <formula>0</formula>
    </cfRule>
  </conditionalFormatting>
  <conditionalFormatting sqref="D570">
    <cfRule type="cellIs" dxfId="1" priority="1268" operator="equal">
      <formula>0</formula>
    </cfRule>
  </conditionalFormatting>
  <conditionalFormatting sqref="D571">
    <cfRule type="cellIs" dxfId="1" priority="1269" operator="equal">
      <formula>0</formula>
    </cfRule>
  </conditionalFormatting>
  <conditionalFormatting sqref="D572">
    <cfRule type="cellIs" dxfId="1" priority="1271" operator="equal">
      <formula>0</formula>
    </cfRule>
  </conditionalFormatting>
  <conditionalFormatting sqref="D573">
    <cfRule type="cellIs" dxfId="1" priority="1273" operator="equal">
      <formula>0</formula>
    </cfRule>
  </conditionalFormatting>
  <conditionalFormatting sqref="D58">
    <cfRule type="expression" dxfId="0" priority="65">
      <formula>D59=0</formula>
    </cfRule>
  </conditionalFormatting>
  <conditionalFormatting sqref="D581">
    <cfRule type="expression" dxfId="0" priority="1275">
      <formula>D582=0</formula>
    </cfRule>
  </conditionalFormatting>
  <conditionalFormatting sqref="D582">
    <cfRule type="cellIs" dxfId="1" priority="1283" operator="equal">
      <formula>0</formula>
    </cfRule>
  </conditionalFormatting>
  <conditionalFormatting sqref="D583">
    <cfRule type="cellIs" dxfId="1" priority="1291" operator="equal">
      <formula>0</formula>
    </cfRule>
  </conditionalFormatting>
  <conditionalFormatting sqref="D584">
    <cfRule type="cellIs" dxfId="1" priority="1296" operator="equal">
      <formula>0</formula>
    </cfRule>
  </conditionalFormatting>
  <conditionalFormatting sqref="D585">
    <cfRule type="cellIs" dxfId="1" priority="1301" operator="equal">
      <formula>0</formula>
    </cfRule>
  </conditionalFormatting>
  <conditionalFormatting sqref="D586">
    <cfRule type="cellIs" dxfId="1" priority="1307" operator="equal">
      <formula>0</formula>
    </cfRule>
  </conditionalFormatting>
  <conditionalFormatting sqref="D587">
    <cfRule type="cellIs" dxfId="1" priority="1312" operator="equal">
      <formula>0</formula>
    </cfRule>
  </conditionalFormatting>
  <conditionalFormatting sqref="D588">
    <cfRule type="cellIs" dxfId="1" priority="1317" operator="equal">
      <formula>0</formula>
    </cfRule>
  </conditionalFormatting>
  <conditionalFormatting sqref="D59">
    <cfRule type="cellIs" dxfId="1" priority="69" operator="equal">
      <formula>0</formula>
    </cfRule>
  </conditionalFormatting>
  <conditionalFormatting sqref="D590">
    <cfRule type="cellIs" dxfId="1" priority="1327" operator="equal">
      <formula>0</formula>
    </cfRule>
  </conditionalFormatting>
  <conditionalFormatting sqref="D592">
    <cfRule type="expression" dxfId="0" priority="1332">
      <formula>D593=0</formula>
    </cfRule>
  </conditionalFormatting>
  <conditionalFormatting sqref="D593">
    <cfRule type="cellIs" dxfId="1" priority="1337" operator="equal">
      <formula>0</formula>
    </cfRule>
  </conditionalFormatting>
  <conditionalFormatting sqref="D594">
    <cfRule type="cellIs" dxfId="1" priority="1342" operator="equal">
      <formula>0</formula>
    </cfRule>
  </conditionalFormatting>
  <conditionalFormatting sqref="D595">
    <cfRule type="cellIs" dxfId="1" priority="1343" operator="equal">
      <formula>0</formula>
    </cfRule>
  </conditionalFormatting>
  <conditionalFormatting sqref="D597">
    <cfRule type="cellIs" dxfId="1" priority="1348" operator="equal">
      <formula>0</formula>
    </cfRule>
  </conditionalFormatting>
  <conditionalFormatting sqref="D598">
    <cfRule type="cellIs" dxfId="1" priority="1350" operator="equal">
      <formula>0</formula>
    </cfRule>
  </conditionalFormatting>
  <conditionalFormatting sqref="D599">
    <cfRule type="cellIs" dxfId="1" priority="1353" operator="equal">
      <formula>0</formula>
    </cfRule>
  </conditionalFormatting>
  <conditionalFormatting sqref="D600">
    <cfRule type="cellIs" dxfId="1" priority="1355" operator="equal">
      <formula>0</formula>
    </cfRule>
  </conditionalFormatting>
  <conditionalFormatting sqref="D603">
    <cfRule type="expression" dxfId="0" priority="1359">
      <formula>D604=0</formula>
    </cfRule>
  </conditionalFormatting>
  <conditionalFormatting sqref="D604">
    <cfRule type="cellIs" dxfId="1" priority="1366" operator="equal">
      <formula>0</formula>
    </cfRule>
  </conditionalFormatting>
  <conditionalFormatting sqref="D606">
    <cfRule type="cellIs" dxfId="1" priority="1373" operator="equal">
      <formula>0</formula>
    </cfRule>
  </conditionalFormatting>
  <conditionalFormatting sqref="D61">
    <cfRule type="cellIs" dxfId="1" priority="74" operator="equal">
      <formula>0</formula>
    </cfRule>
  </conditionalFormatting>
  <conditionalFormatting sqref="D614">
    <cfRule type="expression" dxfId="0" priority="1387">
      <formula>D615=0</formula>
    </cfRule>
  </conditionalFormatting>
  <conditionalFormatting sqref="D615">
    <cfRule type="cellIs" dxfId="1" priority="1391" operator="equal">
      <formula>0</formula>
    </cfRule>
  </conditionalFormatting>
  <conditionalFormatting sqref="D617">
    <cfRule type="cellIs" dxfId="1" priority="1395" operator="equal">
      <formula>0</formula>
    </cfRule>
  </conditionalFormatting>
  <conditionalFormatting sqref="D631">
    <cfRule type="expression" dxfId="0" priority="1405">
      <formula>D632=0</formula>
    </cfRule>
  </conditionalFormatting>
  <conditionalFormatting sqref="D632">
    <cfRule type="cellIs" dxfId="1" priority="1410" operator="equal">
      <formula>0</formula>
    </cfRule>
  </conditionalFormatting>
  <conditionalFormatting sqref="D633">
    <cfRule type="cellIs" dxfId="1" priority="1415" operator="equal">
      <formula>0</formula>
    </cfRule>
  </conditionalFormatting>
  <conditionalFormatting sqref="D635">
    <cfRule type="expression" dxfId="0" priority="1420">
      <formula>D636=0</formula>
    </cfRule>
  </conditionalFormatting>
  <conditionalFormatting sqref="D636">
    <cfRule type="cellIs" dxfId="1" priority="1422" operator="equal">
      <formula>0</formula>
    </cfRule>
  </conditionalFormatting>
  <conditionalFormatting sqref="D637">
    <cfRule type="cellIs" dxfId="1" priority="1424" operator="equal">
      <formula>0</formula>
    </cfRule>
  </conditionalFormatting>
  <conditionalFormatting sqref="D639">
    <cfRule type="expression" dxfId="0" priority="1426">
      <formula>D640=0</formula>
    </cfRule>
  </conditionalFormatting>
  <conditionalFormatting sqref="D640">
    <cfRule type="cellIs" dxfId="1" priority="1428" operator="equal">
      <formula>0</formula>
    </cfRule>
  </conditionalFormatting>
  <conditionalFormatting sqref="D641">
    <cfRule type="cellIs" dxfId="1" priority="1430" operator="equal">
      <formula>0</formula>
    </cfRule>
  </conditionalFormatting>
  <conditionalFormatting sqref="D643">
    <cfRule type="expression" dxfId="0" priority="1432">
      <formula>D644=0</formula>
    </cfRule>
  </conditionalFormatting>
  <conditionalFormatting sqref="D644">
    <cfRule type="cellIs" dxfId="1" priority="1434" operator="equal">
      <formula>0</formula>
    </cfRule>
  </conditionalFormatting>
  <conditionalFormatting sqref="D645">
    <cfRule type="cellIs" dxfId="1" priority="1436" operator="equal">
      <formula>0</formula>
    </cfRule>
  </conditionalFormatting>
  <conditionalFormatting sqref="D65">
    <cfRule type="expression" dxfId="0" priority="80">
      <formula>D66=0</formula>
    </cfRule>
  </conditionalFormatting>
  <conditionalFormatting sqref="D653">
    <cfRule type="expression" dxfId="0" priority="1438">
      <formula>D654=0</formula>
    </cfRule>
  </conditionalFormatting>
  <conditionalFormatting sqref="D654">
    <cfRule type="cellIs" dxfId="1" priority="1446" operator="equal">
      <formula>0</formula>
    </cfRule>
  </conditionalFormatting>
  <conditionalFormatting sqref="D655">
    <cfRule type="cellIs" dxfId="1" priority="1453" operator="equal">
      <formula>0</formula>
    </cfRule>
  </conditionalFormatting>
  <conditionalFormatting sqref="D656">
    <cfRule type="cellIs" dxfId="1" priority="1459" operator="equal">
      <formula>0</formula>
    </cfRule>
  </conditionalFormatting>
  <conditionalFormatting sqref="D657">
    <cfRule type="cellIs" dxfId="1" priority="1464" operator="equal">
      <formula>0</formula>
    </cfRule>
  </conditionalFormatting>
  <conditionalFormatting sqref="D658">
    <cfRule type="cellIs" dxfId="1" priority="1468" operator="equal">
      <formula>0</formula>
    </cfRule>
  </conditionalFormatting>
  <conditionalFormatting sqref="D659">
    <cfRule type="cellIs" dxfId="1" priority="1472" operator="equal">
      <formula>0</formula>
    </cfRule>
  </conditionalFormatting>
  <conditionalFormatting sqref="D66">
    <cfRule type="cellIs" dxfId="1" priority="84" operator="equal">
      <formula>0</formula>
    </cfRule>
  </conditionalFormatting>
  <conditionalFormatting sqref="D660">
    <cfRule type="cellIs" dxfId="1" priority="1476" operator="equal">
      <formula>0</formula>
    </cfRule>
  </conditionalFormatting>
  <conditionalFormatting sqref="D661">
    <cfRule type="cellIs" dxfId="1" priority="1481" operator="equal">
      <formula>0</formula>
    </cfRule>
  </conditionalFormatting>
  <conditionalFormatting sqref="D662">
    <cfRule type="cellIs" dxfId="1" priority="1486" operator="equal">
      <formula>0</formula>
    </cfRule>
  </conditionalFormatting>
  <conditionalFormatting sqref="D663">
    <cfRule type="cellIs" dxfId="1" priority="1492" operator="equal">
      <formula>0</formula>
    </cfRule>
  </conditionalFormatting>
  <conditionalFormatting sqref="D664">
    <cfRule type="cellIs" dxfId="1" priority="1497" operator="equal">
      <formula>0</formula>
    </cfRule>
  </conditionalFormatting>
  <conditionalFormatting sqref="D665">
    <cfRule type="cellIs" dxfId="1" priority="1503" operator="equal">
      <formula>0</formula>
    </cfRule>
  </conditionalFormatting>
  <conditionalFormatting sqref="D666">
    <cfRule type="cellIs" dxfId="1" priority="1508" operator="equal">
      <formula>0</formula>
    </cfRule>
  </conditionalFormatting>
  <conditionalFormatting sqref="D667">
    <cfRule type="cellIs" dxfId="1" priority="1513" operator="equal">
      <formula>0</formula>
    </cfRule>
  </conditionalFormatting>
  <conditionalFormatting sqref="D669">
    <cfRule type="expression" dxfId="0" priority="1517">
      <formula>D670=0</formula>
    </cfRule>
  </conditionalFormatting>
  <conditionalFormatting sqref="D67">
    <cfRule type="cellIs" dxfId="1" priority="88" operator="equal">
      <formula>0</formula>
    </cfRule>
  </conditionalFormatting>
  <conditionalFormatting sqref="D670">
    <cfRule type="cellIs" dxfId="1" priority="1522" operator="equal">
      <formula>0</formula>
    </cfRule>
  </conditionalFormatting>
  <conditionalFormatting sqref="D671">
    <cfRule type="cellIs" dxfId="1" priority="1527" operator="equal">
      <formula>0</formula>
    </cfRule>
  </conditionalFormatting>
  <conditionalFormatting sqref="D672">
    <cfRule type="cellIs" dxfId="1" priority="1528" operator="equal">
      <formula>0</formula>
    </cfRule>
  </conditionalFormatting>
  <conditionalFormatting sqref="D675">
    <cfRule type="cellIs" dxfId="1" priority="1534" operator="equal">
      <formula>0</formula>
    </cfRule>
  </conditionalFormatting>
  <conditionalFormatting sqref="D676">
    <cfRule type="cellIs" dxfId="1" priority="1536" operator="equal">
      <formula>0</formula>
    </cfRule>
  </conditionalFormatting>
  <conditionalFormatting sqref="D678">
    <cfRule type="cellIs" dxfId="1" priority="1541" operator="equal">
      <formula>0</formula>
    </cfRule>
  </conditionalFormatting>
  <conditionalFormatting sqref="D68">
    <cfRule type="cellIs" dxfId="1" priority="89" operator="equal">
      <formula>0</formula>
    </cfRule>
  </conditionalFormatting>
  <conditionalFormatting sqref="D680">
    <cfRule type="cellIs" dxfId="1" priority="1545" operator="equal">
      <formula>0</formula>
    </cfRule>
  </conditionalFormatting>
  <conditionalFormatting sqref="D685">
    <cfRule type="expression" dxfId="0" priority="1553">
      <formula>D686=0</formula>
    </cfRule>
  </conditionalFormatting>
  <conditionalFormatting sqref="D686">
    <cfRule type="cellIs" dxfId="1" priority="1561" operator="equal">
      <formula>0</formula>
    </cfRule>
  </conditionalFormatting>
  <conditionalFormatting sqref="D688">
    <cfRule type="cellIs" dxfId="1" priority="1569" operator="equal">
      <formula>0</formula>
    </cfRule>
  </conditionalFormatting>
  <conditionalFormatting sqref="D69">
    <cfRule type="cellIs" dxfId="1" priority="93" operator="equal">
      <formula>0</formula>
    </cfRule>
  </conditionalFormatting>
  <conditionalFormatting sqref="D70">
    <cfRule type="cellIs" dxfId="1" priority="95" operator="equal">
      <formula>0</formula>
    </cfRule>
  </conditionalFormatting>
  <conditionalFormatting sqref="D701">
    <cfRule type="expression" dxfId="0" priority="1591">
      <formula>D702=0</formula>
    </cfRule>
  </conditionalFormatting>
  <conditionalFormatting sqref="D702">
    <cfRule type="cellIs" dxfId="1" priority="1596" operator="equal">
      <formula>0</formula>
    </cfRule>
  </conditionalFormatting>
  <conditionalFormatting sqref="D704">
    <cfRule type="cellIs" dxfId="1" priority="1601" operator="equal">
      <formula>0</formula>
    </cfRule>
  </conditionalFormatting>
  <conditionalFormatting sqref="D72">
    <cfRule type="expression" dxfId="0" priority="98">
      <formula>D73=0</formula>
    </cfRule>
  </conditionalFormatting>
  <conditionalFormatting sqref="D723">
    <cfRule type="expression" dxfId="0" priority="1621">
      <formula>D724=0</formula>
    </cfRule>
  </conditionalFormatting>
  <conditionalFormatting sqref="D724">
    <cfRule type="cellIs" dxfId="1" priority="1627" operator="equal">
      <formula>0</formula>
    </cfRule>
  </conditionalFormatting>
  <conditionalFormatting sqref="D725">
    <cfRule type="cellIs" dxfId="1" priority="1633" operator="equal">
      <formula>0</formula>
    </cfRule>
  </conditionalFormatting>
  <conditionalFormatting sqref="D726">
    <cfRule type="cellIs" dxfId="1" priority="1638" operator="equal">
      <formula>0</formula>
    </cfRule>
  </conditionalFormatting>
  <conditionalFormatting sqref="D727">
    <cfRule type="cellIs" dxfId="1" priority="1642" operator="equal">
      <formula>0</formula>
    </cfRule>
  </conditionalFormatting>
  <conditionalFormatting sqref="D728">
    <cfRule type="cellIs" dxfId="1" priority="1647" operator="equal">
      <formula>0</formula>
    </cfRule>
  </conditionalFormatting>
  <conditionalFormatting sqref="D729">
    <cfRule type="cellIs" dxfId="1" priority="1651" operator="equal">
      <formula>0</formula>
    </cfRule>
  </conditionalFormatting>
  <conditionalFormatting sqref="D73">
    <cfRule type="cellIs" dxfId="1" priority="101" operator="equal">
      <formula>0</formula>
    </cfRule>
  </conditionalFormatting>
  <conditionalFormatting sqref="D730">
    <cfRule type="cellIs" dxfId="1" priority="1656" operator="equal">
      <formula>0</formula>
    </cfRule>
  </conditionalFormatting>
  <conditionalFormatting sqref="D731">
    <cfRule type="cellIs" dxfId="1" priority="1661" operator="equal">
      <formula>0</formula>
    </cfRule>
  </conditionalFormatting>
  <conditionalFormatting sqref="D733">
    <cfRule type="expression" dxfId="0" priority="1665">
      <formula>D734=0</formula>
    </cfRule>
  </conditionalFormatting>
  <conditionalFormatting sqref="D734">
    <cfRule type="cellIs" dxfId="1" priority="1669" operator="equal">
      <formula>0</formula>
    </cfRule>
  </conditionalFormatting>
  <conditionalFormatting sqref="D735">
    <cfRule type="cellIs" dxfId="1" priority="1673" operator="equal">
      <formula>0</formula>
    </cfRule>
  </conditionalFormatting>
  <conditionalFormatting sqref="D736">
    <cfRule type="cellIs" dxfId="1" priority="1675" operator="equal">
      <formula>0</formula>
    </cfRule>
  </conditionalFormatting>
  <conditionalFormatting sqref="D738">
    <cfRule type="cellIs" dxfId="1" priority="1679" operator="equal">
      <formula>0</formula>
    </cfRule>
  </conditionalFormatting>
  <conditionalFormatting sqref="D739">
    <cfRule type="cellIs" dxfId="1" priority="1681" operator="equal">
      <formula>0</formula>
    </cfRule>
  </conditionalFormatting>
  <conditionalFormatting sqref="D74">
    <cfRule type="cellIs" dxfId="1" priority="104" operator="equal">
      <formula>0</formula>
    </cfRule>
  </conditionalFormatting>
  <conditionalFormatting sqref="D743">
    <cfRule type="expression" dxfId="0" priority="1686">
      <formula>D744=0</formula>
    </cfRule>
  </conditionalFormatting>
  <conditionalFormatting sqref="D744">
    <cfRule type="cellIs" dxfId="1" priority="1690" operator="equal">
      <formula>0</formula>
    </cfRule>
  </conditionalFormatting>
  <conditionalFormatting sqref="D747">
    <cfRule type="cellIs" dxfId="1" priority="1696" operator="equal">
      <formula>0</formula>
    </cfRule>
  </conditionalFormatting>
  <conditionalFormatting sqref="D75">
    <cfRule type="cellIs" dxfId="1" priority="106" operator="equal">
      <formula>0</formula>
    </cfRule>
  </conditionalFormatting>
  <conditionalFormatting sqref="D750">
    <cfRule type="cellIs" dxfId="1" priority="1700" operator="equal">
      <formula>0</formula>
    </cfRule>
  </conditionalFormatting>
  <conditionalFormatting sqref="D751">
    <cfRule type="cellIs" dxfId="1" priority="1702" operator="equal">
      <formula>0</formula>
    </cfRule>
  </conditionalFormatting>
  <conditionalFormatting sqref="D753">
    <cfRule type="expression" dxfId="0" priority="1704">
      <formula>D754=0</formula>
    </cfRule>
  </conditionalFormatting>
  <conditionalFormatting sqref="D754">
    <cfRule type="cellIs" dxfId="1" priority="1708" operator="equal">
      <formula>0</formula>
    </cfRule>
  </conditionalFormatting>
  <conditionalFormatting sqref="D756">
    <cfRule type="cellIs" dxfId="1" priority="1712" operator="equal">
      <formula>0</formula>
    </cfRule>
  </conditionalFormatting>
  <conditionalFormatting sqref="D757">
    <cfRule type="cellIs" dxfId="1" priority="1713" operator="equal">
      <formula>0</formula>
    </cfRule>
  </conditionalFormatting>
  <conditionalFormatting sqref="D760">
    <cfRule type="cellIs" dxfId="1" priority="1717" operator="equal">
      <formula>0</formula>
    </cfRule>
  </conditionalFormatting>
  <conditionalFormatting sqref="D761">
    <cfRule type="cellIs" dxfId="1" priority="1719" operator="equal">
      <formula>0</formula>
    </cfRule>
  </conditionalFormatting>
  <conditionalFormatting sqref="D769">
    <cfRule type="expression" dxfId="0" priority="1722">
      <formula>D770=0</formula>
    </cfRule>
  </conditionalFormatting>
  <conditionalFormatting sqref="D77">
    <cfRule type="cellIs" dxfId="1" priority="109" operator="equal">
      <formula>0</formula>
    </cfRule>
  </conditionalFormatting>
  <conditionalFormatting sqref="D770">
    <cfRule type="cellIs" dxfId="1" priority="1728" operator="equal">
      <formula>0</formula>
    </cfRule>
  </conditionalFormatting>
  <conditionalFormatting sqref="D771">
    <cfRule type="cellIs" dxfId="1" priority="1734" operator="equal">
      <formula>0</formula>
    </cfRule>
  </conditionalFormatting>
  <conditionalFormatting sqref="D772">
    <cfRule type="cellIs" dxfId="1" priority="1739" operator="equal">
      <formula>0</formula>
    </cfRule>
  </conditionalFormatting>
  <conditionalFormatting sqref="D773">
    <cfRule type="cellIs" dxfId="1" priority="1744" operator="equal">
      <formula>0</formula>
    </cfRule>
  </conditionalFormatting>
  <conditionalFormatting sqref="D774">
    <cfRule type="cellIs" dxfId="1" priority="1749" operator="equal">
      <formula>0</formula>
    </cfRule>
  </conditionalFormatting>
  <conditionalFormatting sqref="D775">
    <cfRule type="cellIs" dxfId="1" priority="1754" operator="equal">
      <formula>0</formula>
    </cfRule>
  </conditionalFormatting>
  <conditionalFormatting sqref="D776">
    <cfRule type="cellIs" dxfId="1" priority="1759" operator="equal">
      <formula>0</formula>
    </cfRule>
  </conditionalFormatting>
  <conditionalFormatting sqref="D777">
    <cfRule type="cellIs" dxfId="1" priority="1764" operator="equal">
      <formula>0</formula>
    </cfRule>
  </conditionalFormatting>
  <conditionalFormatting sqref="D778">
    <cfRule type="cellIs" dxfId="1" priority="1769" operator="equal">
      <formula>0</formula>
    </cfRule>
  </conditionalFormatting>
  <conditionalFormatting sqref="D779">
    <cfRule type="cellIs" dxfId="1" priority="1774" operator="equal">
      <formula>0</formula>
    </cfRule>
  </conditionalFormatting>
  <conditionalFormatting sqref="D781">
    <cfRule type="expression" dxfId="0" priority="1780">
      <formula>D782=0</formula>
    </cfRule>
  </conditionalFormatting>
  <conditionalFormatting sqref="D782">
    <cfRule type="cellIs" dxfId="1" priority="1783" operator="equal">
      <formula>0</formula>
    </cfRule>
  </conditionalFormatting>
  <conditionalFormatting sqref="D783">
    <cfRule type="cellIs" dxfId="1" priority="1786" operator="equal">
      <formula>0</formula>
    </cfRule>
  </conditionalFormatting>
  <conditionalFormatting sqref="D784">
    <cfRule type="cellIs" dxfId="1" priority="1788" operator="equal">
      <formula>0</formula>
    </cfRule>
  </conditionalFormatting>
  <conditionalFormatting sqref="D785">
    <cfRule type="cellIs" dxfId="1" priority="1790" operator="equal">
      <formula>0</formula>
    </cfRule>
  </conditionalFormatting>
  <conditionalFormatting sqref="D786">
    <cfRule type="cellIs" dxfId="1" priority="1792" operator="equal">
      <formula>0</formula>
    </cfRule>
  </conditionalFormatting>
  <conditionalFormatting sqref="D787">
    <cfRule type="cellIs" dxfId="1" priority="1794" operator="equal">
      <formula>0</formula>
    </cfRule>
  </conditionalFormatting>
  <conditionalFormatting sqref="D788">
    <cfRule type="cellIs" dxfId="1" priority="1797" operator="equal">
      <formula>0</formula>
    </cfRule>
  </conditionalFormatting>
  <conditionalFormatting sqref="D789">
    <cfRule type="cellIs" dxfId="1" priority="1799" operator="equal">
      <formula>0</formula>
    </cfRule>
  </conditionalFormatting>
  <conditionalFormatting sqref="D790">
    <cfRule type="cellIs" dxfId="1" priority="1801" operator="equal">
      <formula>0</formula>
    </cfRule>
  </conditionalFormatting>
  <conditionalFormatting sqref="D791">
    <cfRule type="cellIs" dxfId="1" priority="1803" operator="equal">
      <formula>0</formula>
    </cfRule>
  </conditionalFormatting>
  <conditionalFormatting sqref="D793">
    <cfRule type="expression" dxfId="0" priority="1805">
      <formula>D794=0</formula>
    </cfRule>
  </conditionalFormatting>
  <conditionalFormatting sqref="D794">
    <cfRule type="cellIs" dxfId="1" priority="1812" operator="equal">
      <formula>0</formula>
    </cfRule>
  </conditionalFormatting>
  <conditionalFormatting sqref="D796">
    <cfRule type="cellIs" dxfId="1" priority="1819" operator="equal">
      <formula>0</formula>
    </cfRule>
  </conditionalFormatting>
  <conditionalFormatting sqref="D797">
    <cfRule type="cellIs" dxfId="1" priority="1821" operator="equal">
      <formula>0</formula>
    </cfRule>
  </conditionalFormatting>
  <conditionalFormatting sqref="D800">
    <cfRule type="cellIs" dxfId="1" priority="1828" operator="equal">
      <formula>0</formula>
    </cfRule>
  </conditionalFormatting>
  <conditionalFormatting sqref="D805">
    <cfRule type="expression" dxfId="0" priority="1837">
      <formula>D806=0</formula>
    </cfRule>
  </conditionalFormatting>
  <conditionalFormatting sqref="D806">
    <cfRule type="cellIs" dxfId="1" priority="1839" operator="equal">
      <formula>0</formula>
    </cfRule>
  </conditionalFormatting>
  <conditionalFormatting sqref="D811">
    <cfRule type="cellIs" dxfId="1" priority="1844" operator="equal">
      <formula>0</formula>
    </cfRule>
  </conditionalFormatting>
  <conditionalFormatting sqref="D813">
    <cfRule type="cellIs" dxfId="1" priority="1846" operator="equal">
      <formula>0</formula>
    </cfRule>
  </conditionalFormatting>
  <conditionalFormatting sqref="D85">
    <cfRule type="expression" dxfId="0" priority="111">
      <formula>D86=0</formula>
    </cfRule>
  </conditionalFormatting>
  <conditionalFormatting sqref="D86">
    <cfRule type="cellIs" dxfId="1" priority="115" operator="equal">
      <formula>0</formula>
    </cfRule>
  </conditionalFormatting>
  <conditionalFormatting sqref="D87">
    <cfRule type="cellIs" dxfId="1" priority="119" operator="equal">
      <formula>0</formula>
    </cfRule>
  </conditionalFormatting>
  <conditionalFormatting sqref="D93">
    <cfRule type="expression" dxfId="0" priority="126">
      <formula>D94=0</formula>
    </cfRule>
  </conditionalFormatting>
  <conditionalFormatting sqref="D94">
    <cfRule type="cellIs" dxfId="1" priority="128" operator="equal">
      <formula>0</formula>
    </cfRule>
  </conditionalFormatting>
  <conditionalFormatting sqref="D95">
    <cfRule type="cellIs" dxfId="1" priority="130" operator="equal">
      <formula>0</formula>
    </cfRule>
  </conditionalFormatting>
  <conditionalFormatting sqref="D97">
    <cfRule type="expression" dxfId="0" priority="132">
      <formula>D98=0</formula>
    </cfRule>
  </conditionalFormatting>
  <conditionalFormatting sqref="D98">
    <cfRule type="cellIs" dxfId="1" priority="134" operator="equal">
      <formula>0</formula>
    </cfRule>
  </conditionalFormatting>
  <conditionalFormatting sqref="D99">
    <cfRule type="cellIs" dxfId="1" priority="136" operator="equal">
      <formula>0</formula>
    </cfRule>
  </conditionalFormatting>
  <conditionalFormatting sqref="E107">
    <cfRule type="expression" dxfId="0" priority="139">
      <formula>E108=0</formula>
    </cfRule>
  </conditionalFormatting>
  <conditionalFormatting sqref="E108">
    <cfRule type="cellIs" dxfId="1" priority="144" operator="equal">
      <formula>0</formula>
    </cfRule>
  </conditionalFormatting>
  <conditionalFormatting sqref="E109">
    <cfRule type="cellIs" dxfId="1" priority="149" operator="equal">
      <formula>0</formula>
    </cfRule>
  </conditionalFormatting>
  <conditionalFormatting sqref="E115">
    <cfRule type="expression" dxfId="0" priority="160">
      <formula>E116=0</formula>
    </cfRule>
  </conditionalFormatting>
  <conditionalFormatting sqref="E116">
    <cfRule type="cellIs" dxfId="1" priority="163" operator="equal">
      <formula>0</formula>
    </cfRule>
  </conditionalFormatting>
  <conditionalFormatting sqref="E117">
    <cfRule type="cellIs" dxfId="1" priority="166" operator="equal">
      <formula>0</formula>
    </cfRule>
  </conditionalFormatting>
  <conditionalFormatting sqref="E129">
    <cfRule type="expression" dxfId="0" priority="172">
      <formula>E130=0</formula>
    </cfRule>
  </conditionalFormatting>
  <conditionalFormatting sqref="E130">
    <cfRule type="cellIs" dxfId="1" priority="178" operator="equal">
      <formula>0</formula>
    </cfRule>
  </conditionalFormatting>
  <conditionalFormatting sqref="E131">
    <cfRule type="cellIs" dxfId="1" priority="184" operator="equal">
      <formula>0</formula>
    </cfRule>
  </conditionalFormatting>
  <conditionalFormatting sqref="E132">
    <cfRule type="cellIs" dxfId="1" priority="189" operator="equal">
      <formula>0</formula>
    </cfRule>
  </conditionalFormatting>
  <conditionalFormatting sqref="E133">
    <cfRule type="cellIs" dxfId="1" priority="193" operator="equal">
      <formula>0</formula>
    </cfRule>
  </conditionalFormatting>
  <conditionalFormatting sqref="E134">
    <cfRule type="cellIs" dxfId="1" priority="198" operator="equal">
      <formula>0</formula>
    </cfRule>
  </conditionalFormatting>
  <conditionalFormatting sqref="E135">
    <cfRule type="cellIs" dxfId="1" priority="202" operator="equal">
      <formula>0</formula>
    </cfRule>
  </conditionalFormatting>
  <conditionalFormatting sqref="E137">
    <cfRule type="expression" dxfId="0" priority="207">
      <formula>E138=0</formula>
    </cfRule>
  </conditionalFormatting>
  <conditionalFormatting sqref="E138">
    <cfRule type="cellIs" dxfId="1" priority="211" operator="equal">
      <formula>0</formula>
    </cfRule>
  </conditionalFormatting>
  <conditionalFormatting sqref="E141">
    <cfRule type="cellIs" dxfId="1" priority="217" operator="equal">
      <formula>0</formula>
    </cfRule>
  </conditionalFormatting>
  <conditionalFormatting sqref="E143">
    <cfRule type="cellIs" dxfId="1" priority="220" operator="equal">
      <formula>0</formula>
    </cfRule>
  </conditionalFormatting>
  <conditionalFormatting sqref="E145">
    <cfRule type="expression" dxfId="0" priority="224">
      <formula>E146=0</formula>
    </cfRule>
  </conditionalFormatting>
  <conditionalFormatting sqref="E146">
    <cfRule type="cellIs" dxfId="1" priority="227" operator="equal">
      <formula>0</formula>
    </cfRule>
  </conditionalFormatting>
  <conditionalFormatting sqref="E149">
    <cfRule type="cellIs" dxfId="1" priority="234" operator="equal">
      <formula>0</formula>
    </cfRule>
  </conditionalFormatting>
  <conditionalFormatting sqref="E151">
    <cfRule type="cellIs" dxfId="1" priority="239" operator="equal">
      <formula>0</formula>
    </cfRule>
  </conditionalFormatting>
  <conditionalFormatting sqref="E167">
    <cfRule type="expression" dxfId="0" priority="253">
      <formula>E168=0</formula>
    </cfRule>
  </conditionalFormatting>
  <conditionalFormatting sqref="E168">
    <cfRule type="cellIs" dxfId="1" priority="261" operator="equal">
      <formula>0</formula>
    </cfRule>
  </conditionalFormatting>
  <conditionalFormatting sqref="E169">
    <cfRule type="cellIs" dxfId="1" priority="269" operator="equal">
      <formula>0</formula>
    </cfRule>
  </conditionalFormatting>
  <conditionalFormatting sqref="E170">
    <cfRule type="cellIs" dxfId="1" priority="273" operator="equal">
      <formula>0</formula>
    </cfRule>
  </conditionalFormatting>
  <conditionalFormatting sqref="E171">
    <cfRule type="cellIs" dxfId="1" priority="277" operator="equal">
      <formula>0</formula>
    </cfRule>
  </conditionalFormatting>
  <conditionalFormatting sqref="E172">
    <cfRule type="cellIs" dxfId="1" priority="281" operator="equal">
      <formula>0</formula>
    </cfRule>
  </conditionalFormatting>
  <conditionalFormatting sqref="E173">
    <cfRule type="cellIs" dxfId="1" priority="285" operator="equal">
      <formula>0</formula>
    </cfRule>
  </conditionalFormatting>
  <conditionalFormatting sqref="E174">
    <cfRule type="cellIs" dxfId="1" priority="289" operator="equal">
      <formula>0</formula>
    </cfRule>
  </conditionalFormatting>
  <conditionalFormatting sqref="E175">
    <cfRule type="cellIs" dxfId="1" priority="294" operator="equal">
      <formula>0</formula>
    </cfRule>
  </conditionalFormatting>
  <conditionalFormatting sqref="E176">
    <cfRule type="cellIs" dxfId="1" priority="298" operator="equal">
      <formula>0</formula>
    </cfRule>
  </conditionalFormatting>
  <conditionalFormatting sqref="E177">
    <cfRule type="cellIs" dxfId="1" priority="303" operator="equal">
      <formula>0</formula>
    </cfRule>
  </conditionalFormatting>
  <conditionalFormatting sqref="E178">
    <cfRule type="cellIs" dxfId="1" priority="308" operator="equal">
      <formula>0</formula>
    </cfRule>
  </conditionalFormatting>
  <conditionalFormatting sqref="E179">
    <cfRule type="cellIs" dxfId="1" priority="313" operator="equal">
      <formula>0</formula>
    </cfRule>
  </conditionalFormatting>
  <conditionalFormatting sqref="E180">
    <cfRule type="cellIs" dxfId="1" priority="317" operator="equal">
      <formula>0</formula>
    </cfRule>
  </conditionalFormatting>
  <conditionalFormatting sqref="E181">
    <cfRule type="cellIs" dxfId="1" priority="322" operator="equal">
      <formula>0</formula>
    </cfRule>
  </conditionalFormatting>
  <conditionalFormatting sqref="E182">
    <cfRule type="cellIs" dxfId="1" priority="328" operator="equal">
      <formula>0</formula>
    </cfRule>
  </conditionalFormatting>
  <conditionalFormatting sqref="E183">
    <cfRule type="cellIs" dxfId="1" priority="334" operator="equal">
      <formula>0</formula>
    </cfRule>
  </conditionalFormatting>
  <conditionalFormatting sqref="E186">
    <cfRule type="expression" dxfId="0" priority="343">
      <formula>E187=0</formula>
    </cfRule>
  </conditionalFormatting>
  <conditionalFormatting sqref="E187">
    <cfRule type="cellIs" dxfId="1" priority="348" operator="equal">
      <formula>0</formula>
    </cfRule>
  </conditionalFormatting>
  <conditionalFormatting sqref="E189">
    <cfRule type="cellIs" dxfId="1" priority="354" operator="equal">
      <formula>0</formula>
    </cfRule>
  </conditionalFormatting>
  <conditionalFormatting sqref="E205">
    <cfRule type="expression" dxfId="0" priority="383">
      <formula>E206=0</formula>
    </cfRule>
  </conditionalFormatting>
  <conditionalFormatting sqref="E206">
    <cfRule type="cellIs" dxfId="1" priority="391" operator="equal">
      <formula>0</formula>
    </cfRule>
  </conditionalFormatting>
  <conditionalFormatting sqref="E208">
    <cfRule type="cellIs" dxfId="1" priority="399" operator="equal">
      <formula>0</formula>
    </cfRule>
  </conditionalFormatting>
  <conditionalFormatting sqref="E209">
    <cfRule type="cellIs" dxfId="1" priority="400" operator="equal">
      <formula>0</formula>
    </cfRule>
  </conditionalFormatting>
  <conditionalFormatting sqref="E213">
    <cfRule type="cellIs" dxfId="1" priority="411" operator="equal">
      <formula>0</formula>
    </cfRule>
  </conditionalFormatting>
  <conditionalFormatting sqref="E214">
    <cfRule type="cellIs" dxfId="1" priority="412" operator="equal">
      <formula>0</formula>
    </cfRule>
  </conditionalFormatting>
  <conditionalFormatting sqref="E224">
    <cfRule type="expression" dxfId="0" priority="431">
      <formula>E225=0</formula>
    </cfRule>
  </conditionalFormatting>
  <conditionalFormatting sqref="E225">
    <cfRule type="cellIs" dxfId="1" priority="436" operator="equal">
      <formula>0</formula>
    </cfRule>
  </conditionalFormatting>
  <conditionalFormatting sqref="E227">
    <cfRule type="cellIs" dxfId="1" priority="441" operator="equal">
      <formula>0</formula>
    </cfRule>
  </conditionalFormatting>
  <conditionalFormatting sqref="E234">
    <cfRule type="cellIs" dxfId="1" priority="451" operator="equal">
      <formula>0</formula>
    </cfRule>
  </conditionalFormatting>
  <conditionalFormatting sqref="E236">
    <cfRule type="cellIs" dxfId="1" priority="454" operator="equal">
      <formula>0</formula>
    </cfRule>
  </conditionalFormatting>
  <conditionalFormatting sqref="E238">
    <cfRule type="cellIs" dxfId="1" priority="458" operator="equal">
      <formula>0</formula>
    </cfRule>
  </conditionalFormatting>
  <conditionalFormatting sqref="E239">
    <cfRule type="cellIs" dxfId="1" priority="460" operator="equal">
      <formula>0</formula>
    </cfRule>
  </conditionalFormatting>
  <conditionalFormatting sqref="E240">
    <cfRule type="cellIs" dxfId="1" priority="462" operator="equal">
      <formula>0</formula>
    </cfRule>
  </conditionalFormatting>
  <conditionalFormatting sqref="E249">
    <cfRule type="expression" dxfId="0" priority="468">
      <formula>E250=0</formula>
    </cfRule>
  </conditionalFormatting>
  <conditionalFormatting sqref="E250">
    <cfRule type="cellIs" dxfId="1" priority="476" operator="equal">
      <formula>0</formula>
    </cfRule>
  </conditionalFormatting>
  <conditionalFormatting sqref="E251">
    <cfRule type="cellIs" dxfId="1" priority="484" operator="equal">
      <formula>0</formula>
    </cfRule>
  </conditionalFormatting>
  <conditionalFormatting sqref="E252">
    <cfRule type="cellIs" dxfId="1" priority="489" operator="equal">
      <formula>0</formula>
    </cfRule>
  </conditionalFormatting>
  <conditionalFormatting sqref="E253">
    <cfRule type="cellIs" dxfId="1" priority="494" operator="equal">
      <formula>0</formula>
    </cfRule>
  </conditionalFormatting>
  <conditionalFormatting sqref="E254">
    <cfRule type="cellIs" dxfId="1" priority="499" operator="equal">
      <formula>0</formula>
    </cfRule>
  </conditionalFormatting>
  <conditionalFormatting sqref="E255">
    <cfRule type="cellIs" dxfId="1" priority="504" operator="equal">
      <formula>0</formula>
    </cfRule>
  </conditionalFormatting>
  <conditionalFormatting sqref="E256">
    <cfRule type="cellIs" dxfId="1" priority="509" operator="equal">
      <formula>0</formula>
    </cfRule>
  </conditionalFormatting>
  <conditionalFormatting sqref="E257">
    <cfRule type="cellIs" dxfId="1" priority="514" operator="equal">
      <formula>0</formula>
    </cfRule>
  </conditionalFormatting>
  <conditionalFormatting sqref="E258">
    <cfRule type="cellIs" dxfId="1" priority="518" operator="equal">
      <formula>0</formula>
    </cfRule>
  </conditionalFormatting>
  <conditionalFormatting sqref="E259">
    <cfRule type="cellIs" dxfId="1" priority="522" operator="equal">
      <formula>0</formula>
    </cfRule>
  </conditionalFormatting>
  <conditionalFormatting sqref="E260">
    <cfRule type="cellIs" dxfId="1" priority="527" operator="equal">
      <formula>0</formula>
    </cfRule>
  </conditionalFormatting>
  <conditionalFormatting sqref="E261">
    <cfRule type="cellIs" dxfId="1" priority="531" operator="equal">
      <formula>0</formula>
    </cfRule>
  </conditionalFormatting>
  <conditionalFormatting sqref="E262">
    <cfRule type="cellIs" dxfId="1" priority="535" operator="equal">
      <formula>0</formula>
    </cfRule>
  </conditionalFormatting>
  <conditionalFormatting sqref="E263">
    <cfRule type="cellIs" dxfId="1" priority="540" operator="equal">
      <formula>0</formula>
    </cfRule>
  </conditionalFormatting>
  <conditionalFormatting sqref="E264">
    <cfRule type="cellIs" dxfId="1" priority="545" operator="equal">
      <formula>0</formula>
    </cfRule>
  </conditionalFormatting>
  <conditionalFormatting sqref="E265">
    <cfRule type="cellIs" dxfId="1" priority="549" operator="equal">
      <formula>0</formula>
    </cfRule>
  </conditionalFormatting>
  <conditionalFormatting sqref="E266">
    <cfRule type="cellIs" dxfId="1" priority="553" operator="equal">
      <formula>0</formula>
    </cfRule>
  </conditionalFormatting>
  <conditionalFormatting sqref="E267">
    <cfRule type="cellIs" dxfId="1" priority="559" operator="equal">
      <formula>0</formula>
    </cfRule>
  </conditionalFormatting>
  <conditionalFormatting sqref="E268">
    <cfRule type="cellIs" dxfId="1" priority="563" operator="equal">
      <formula>0</formula>
    </cfRule>
  </conditionalFormatting>
  <conditionalFormatting sqref="E269">
    <cfRule type="cellIs" dxfId="1" priority="568" operator="equal">
      <formula>0</formula>
    </cfRule>
  </conditionalFormatting>
  <conditionalFormatting sqref="E270">
    <cfRule type="cellIs" dxfId="1" priority="573" operator="equal">
      <formula>0</formula>
    </cfRule>
  </conditionalFormatting>
  <conditionalFormatting sqref="E271">
    <cfRule type="cellIs" dxfId="1" priority="578" operator="equal">
      <formula>0</formula>
    </cfRule>
  </conditionalFormatting>
  <conditionalFormatting sqref="E274">
    <cfRule type="expression" dxfId="0" priority="587">
      <formula>E275=0</formula>
    </cfRule>
  </conditionalFormatting>
  <conditionalFormatting sqref="E275">
    <cfRule type="cellIs" dxfId="1" priority="592" operator="equal">
      <formula>0</formula>
    </cfRule>
  </conditionalFormatting>
  <conditionalFormatting sqref="E278">
    <cfRule type="cellIs" dxfId="1" priority="600" operator="equal">
      <formula>0</formula>
    </cfRule>
  </conditionalFormatting>
  <conditionalFormatting sqref="E29">
    <cfRule type="expression" dxfId="0" priority="3">
      <formula>E30=0</formula>
    </cfRule>
  </conditionalFormatting>
  <conditionalFormatting sqref="E299">
    <cfRule type="expression" dxfId="0" priority="639">
      <formula>E300=0</formula>
    </cfRule>
  </conditionalFormatting>
  <conditionalFormatting sqref="E30">
    <cfRule type="cellIs" dxfId="1" priority="7" operator="equal">
      <formula>0</formula>
    </cfRule>
  </conditionalFormatting>
  <conditionalFormatting sqref="E300">
    <cfRule type="cellIs" dxfId="1" priority="647" operator="equal">
      <formula>0</formula>
    </cfRule>
  </conditionalFormatting>
  <conditionalFormatting sqref="E303">
    <cfRule type="cellIs" dxfId="1" priority="656" operator="equal">
      <formula>0</formula>
    </cfRule>
  </conditionalFormatting>
  <conditionalFormatting sqref="E305">
    <cfRule type="cellIs" dxfId="1" priority="659" operator="equal">
      <formula>0</formula>
    </cfRule>
  </conditionalFormatting>
  <conditionalFormatting sqref="E31">
    <cfRule type="cellIs" dxfId="1" priority="11" operator="equal">
      <formula>0</formula>
    </cfRule>
  </conditionalFormatting>
  <conditionalFormatting sqref="E310">
    <cfRule type="cellIs" dxfId="1" priority="671" operator="equal">
      <formula>0</formula>
    </cfRule>
  </conditionalFormatting>
  <conditionalFormatting sqref="E311">
    <cfRule type="cellIs" dxfId="1" priority="672" operator="equal">
      <formula>0</formula>
    </cfRule>
  </conditionalFormatting>
  <conditionalFormatting sqref="E319">
    <cfRule type="cellIs" dxfId="1" priority="687" operator="equal">
      <formula>0</formula>
    </cfRule>
  </conditionalFormatting>
  <conditionalFormatting sqref="E324">
    <cfRule type="expression" dxfId="0" priority="698">
      <formula>E325=0</formula>
    </cfRule>
  </conditionalFormatting>
  <conditionalFormatting sqref="E325">
    <cfRule type="cellIs" dxfId="1" priority="703" operator="equal">
      <formula>0</formula>
    </cfRule>
  </conditionalFormatting>
  <conditionalFormatting sqref="E328">
    <cfRule type="cellIs" dxfId="1" priority="708" operator="equal">
      <formula>0</formula>
    </cfRule>
  </conditionalFormatting>
  <conditionalFormatting sqref="E355">
    <cfRule type="expression" dxfId="0" priority="741">
      <formula>E356=0</formula>
    </cfRule>
  </conditionalFormatting>
  <conditionalFormatting sqref="E356">
    <cfRule type="cellIs" dxfId="1" priority="745" operator="equal">
      <formula>0</formula>
    </cfRule>
  </conditionalFormatting>
  <conditionalFormatting sqref="E357">
    <cfRule type="cellIs" dxfId="1" priority="749" operator="equal">
      <formula>0</formula>
    </cfRule>
  </conditionalFormatting>
  <conditionalFormatting sqref="E37">
    <cfRule type="expression" dxfId="0" priority="21">
      <formula>E38=0</formula>
    </cfRule>
  </conditionalFormatting>
  <conditionalFormatting sqref="E377">
    <cfRule type="expression" dxfId="0" priority="771">
      <formula>E378=0</formula>
    </cfRule>
  </conditionalFormatting>
  <conditionalFormatting sqref="E378">
    <cfRule type="cellIs" dxfId="1" priority="779" operator="equal">
      <formula>0</formula>
    </cfRule>
  </conditionalFormatting>
  <conditionalFormatting sqref="E379">
    <cfRule type="cellIs" dxfId="1" priority="787" operator="equal">
      <formula>0</formula>
    </cfRule>
  </conditionalFormatting>
  <conditionalFormatting sqref="E38">
    <cfRule type="cellIs" dxfId="1" priority="24" operator="equal">
      <formula>0</formula>
    </cfRule>
  </conditionalFormatting>
  <conditionalFormatting sqref="E381">
    <cfRule type="cellIs" dxfId="1" priority="796" operator="equal">
      <formula>0</formula>
    </cfRule>
  </conditionalFormatting>
  <conditionalFormatting sqref="E382">
    <cfRule type="cellIs" dxfId="1" priority="802" operator="equal">
      <formula>0</formula>
    </cfRule>
  </conditionalFormatting>
  <conditionalFormatting sqref="E384">
    <cfRule type="expression" dxfId="0" priority="807">
      <formula>E385=0</formula>
    </cfRule>
  </conditionalFormatting>
  <conditionalFormatting sqref="E385">
    <cfRule type="cellIs" dxfId="1" priority="811" operator="equal">
      <formula>0</formula>
    </cfRule>
  </conditionalFormatting>
  <conditionalFormatting sqref="E387">
    <cfRule type="cellIs" dxfId="1" priority="815" operator="equal">
      <formula>0</formula>
    </cfRule>
  </conditionalFormatting>
  <conditionalFormatting sqref="E388">
    <cfRule type="cellIs" dxfId="1" priority="817" operator="equal">
      <formula>0</formula>
    </cfRule>
  </conditionalFormatting>
  <conditionalFormatting sqref="E39">
    <cfRule type="cellIs" dxfId="1" priority="27" operator="equal">
      <formula>0</formula>
    </cfRule>
  </conditionalFormatting>
  <conditionalFormatting sqref="E391">
    <cfRule type="expression" dxfId="0" priority="823">
      <formula>E392=0</formula>
    </cfRule>
  </conditionalFormatting>
  <conditionalFormatting sqref="E392">
    <cfRule type="cellIs" dxfId="1" priority="827" operator="equal">
      <formula>0</formula>
    </cfRule>
  </conditionalFormatting>
  <conditionalFormatting sqref="E394">
    <cfRule type="cellIs" dxfId="1" priority="832" operator="equal">
      <formula>0</formula>
    </cfRule>
  </conditionalFormatting>
  <conditionalFormatting sqref="E395">
    <cfRule type="cellIs" dxfId="1" priority="834" operator="equal">
      <formula>0</formula>
    </cfRule>
  </conditionalFormatting>
  <conditionalFormatting sqref="E398">
    <cfRule type="expression" dxfId="0" priority="840">
      <formula>E399=0</formula>
    </cfRule>
  </conditionalFormatting>
  <conditionalFormatting sqref="E399">
    <cfRule type="cellIs" dxfId="1" priority="845" operator="equal">
      <formula>0</formula>
    </cfRule>
  </conditionalFormatting>
  <conditionalFormatting sqref="E401">
    <cfRule type="cellIs" dxfId="1" priority="850" operator="equal">
      <formula>0</formula>
    </cfRule>
  </conditionalFormatting>
  <conditionalFormatting sqref="E403">
    <cfRule type="cellIs" dxfId="1" priority="853" operator="equal">
      <formula>0</formula>
    </cfRule>
  </conditionalFormatting>
  <conditionalFormatting sqref="E411">
    <cfRule type="expression" dxfId="0" priority="856">
      <formula>E412=0</formula>
    </cfRule>
  </conditionalFormatting>
  <conditionalFormatting sqref="E412">
    <cfRule type="cellIs" dxfId="1" priority="861" operator="equal">
      <formula>0</formula>
    </cfRule>
  </conditionalFormatting>
  <conditionalFormatting sqref="E413">
    <cfRule type="cellIs" dxfId="1" priority="866" operator="equal">
      <formula>0</formula>
    </cfRule>
  </conditionalFormatting>
  <conditionalFormatting sqref="E414">
    <cfRule type="cellIs" dxfId="1" priority="871" operator="equal">
      <formula>0</formula>
    </cfRule>
  </conditionalFormatting>
  <conditionalFormatting sqref="E415">
    <cfRule type="cellIs" dxfId="1" priority="876" operator="equal">
      <formula>0</formula>
    </cfRule>
  </conditionalFormatting>
  <conditionalFormatting sqref="E417">
    <cfRule type="expression" dxfId="0" priority="881">
      <formula>E418=0</formula>
    </cfRule>
  </conditionalFormatting>
  <conditionalFormatting sqref="E418">
    <cfRule type="cellIs" dxfId="1" priority="884" operator="equal">
      <formula>0</formula>
    </cfRule>
  </conditionalFormatting>
  <conditionalFormatting sqref="E421">
    <cfRule type="cellIs" dxfId="1" priority="890" operator="equal">
      <formula>0</formula>
    </cfRule>
  </conditionalFormatting>
  <conditionalFormatting sqref="E429">
    <cfRule type="expression" dxfId="0" priority="902">
      <formula>E430=0</formula>
    </cfRule>
  </conditionalFormatting>
  <conditionalFormatting sqref="E430">
    <cfRule type="cellIs" dxfId="1" priority="905" operator="equal">
      <formula>0</formula>
    </cfRule>
  </conditionalFormatting>
  <conditionalFormatting sqref="E433">
    <cfRule type="cellIs" dxfId="1" priority="909" operator="equal">
      <formula>0</formula>
    </cfRule>
  </conditionalFormatting>
  <conditionalFormatting sqref="E441">
    <cfRule type="expression" dxfId="0" priority="912">
      <formula>E442=0</formula>
    </cfRule>
  </conditionalFormatting>
  <conditionalFormatting sqref="E442">
    <cfRule type="cellIs" dxfId="1" priority="920" operator="equal">
      <formula>0</formula>
    </cfRule>
  </conditionalFormatting>
  <conditionalFormatting sqref="E443">
    <cfRule type="cellIs" dxfId="1" priority="928" operator="equal">
      <formula>0</formula>
    </cfRule>
  </conditionalFormatting>
  <conditionalFormatting sqref="E444">
    <cfRule type="cellIs" dxfId="1" priority="934" operator="equal">
      <formula>0</formula>
    </cfRule>
  </conditionalFormatting>
  <conditionalFormatting sqref="E445">
    <cfRule type="cellIs" dxfId="1" priority="939" operator="equal">
      <formula>0</formula>
    </cfRule>
  </conditionalFormatting>
  <conditionalFormatting sqref="E448">
    <cfRule type="expression" dxfId="0" priority="949">
      <formula>E449=0</formula>
    </cfRule>
  </conditionalFormatting>
  <conditionalFormatting sqref="E449">
    <cfRule type="cellIs" dxfId="1" priority="954" operator="equal">
      <formula>0</formula>
    </cfRule>
  </conditionalFormatting>
  <conditionalFormatting sqref="E451">
    <cfRule type="cellIs" dxfId="1" priority="959" operator="equal">
      <formula>0</formula>
    </cfRule>
  </conditionalFormatting>
  <conditionalFormatting sqref="E452">
    <cfRule type="cellIs" dxfId="1" priority="962" operator="equal">
      <formula>0</formula>
    </cfRule>
  </conditionalFormatting>
  <conditionalFormatting sqref="E455">
    <cfRule type="expression" dxfId="0" priority="968">
      <formula>E456=0</formula>
    </cfRule>
  </conditionalFormatting>
  <conditionalFormatting sqref="E456">
    <cfRule type="cellIs" dxfId="1" priority="974" operator="equal">
      <formula>0</formula>
    </cfRule>
  </conditionalFormatting>
  <conditionalFormatting sqref="E458">
    <cfRule type="cellIs" dxfId="1" priority="980" operator="equal">
      <formula>0</formula>
    </cfRule>
  </conditionalFormatting>
  <conditionalFormatting sqref="E462">
    <cfRule type="expression" dxfId="0" priority="990">
      <formula>E463=0</formula>
    </cfRule>
  </conditionalFormatting>
  <conditionalFormatting sqref="E463">
    <cfRule type="cellIs" dxfId="1" priority="994" operator="equal">
      <formula>0</formula>
    </cfRule>
  </conditionalFormatting>
  <conditionalFormatting sqref="E465">
    <cfRule type="cellIs" dxfId="1" priority="998" operator="equal">
      <formula>0</formula>
    </cfRule>
  </conditionalFormatting>
  <conditionalFormatting sqref="E466">
    <cfRule type="cellIs" dxfId="1" priority="999" operator="equal">
      <formula>0</formula>
    </cfRule>
  </conditionalFormatting>
  <conditionalFormatting sqref="E475">
    <cfRule type="expression" dxfId="0" priority="1004">
      <formula>E476=0</formula>
    </cfRule>
  </conditionalFormatting>
  <conditionalFormatting sqref="E476">
    <cfRule type="cellIs" dxfId="1" priority="1012" operator="equal">
      <formula>0</formula>
    </cfRule>
  </conditionalFormatting>
  <conditionalFormatting sqref="E477">
    <cfRule type="cellIs" dxfId="1" priority="1020" operator="equal">
      <formula>0</formula>
    </cfRule>
  </conditionalFormatting>
  <conditionalFormatting sqref="E478">
    <cfRule type="cellIs" dxfId="1" priority="1025" operator="equal">
      <formula>0</formula>
    </cfRule>
  </conditionalFormatting>
  <conditionalFormatting sqref="E479">
    <cfRule type="cellIs" dxfId="1" priority="1030" operator="equal">
      <formula>0</formula>
    </cfRule>
  </conditionalFormatting>
  <conditionalFormatting sqref="E481">
    <cfRule type="cellIs" dxfId="1" priority="1039" operator="equal">
      <formula>0</formula>
    </cfRule>
  </conditionalFormatting>
  <conditionalFormatting sqref="E482">
    <cfRule type="cellIs" dxfId="1" priority="1044" operator="equal">
      <formula>0</formula>
    </cfRule>
  </conditionalFormatting>
  <conditionalFormatting sqref="E483">
    <cfRule type="cellIs" dxfId="1" priority="1049" operator="equal">
      <formula>0</formula>
    </cfRule>
  </conditionalFormatting>
  <conditionalFormatting sqref="E484">
    <cfRule type="cellIs" dxfId="1" priority="1053" operator="equal">
      <formula>0</formula>
    </cfRule>
  </conditionalFormatting>
  <conditionalFormatting sqref="E485">
    <cfRule type="cellIs" dxfId="1" priority="1057" operator="equal">
      <formula>0</formula>
    </cfRule>
  </conditionalFormatting>
  <conditionalFormatting sqref="E486">
    <cfRule type="cellIs" dxfId="1" priority="1063" operator="equal">
      <formula>0</formula>
    </cfRule>
  </conditionalFormatting>
  <conditionalFormatting sqref="E487">
    <cfRule type="cellIs" dxfId="1" priority="1068" operator="equal">
      <formula>0</formula>
    </cfRule>
  </conditionalFormatting>
  <conditionalFormatting sqref="E488">
    <cfRule type="cellIs" dxfId="1" priority="1073" operator="equal">
      <formula>0</formula>
    </cfRule>
  </conditionalFormatting>
  <conditionalFormatting sqref="E489">
    <cfRule type="cellIs" dxfId="1" priority="1077" operator="equal">
      <formula>0</formula>
    </cfRule>
  </conditionalFormatting>
  <conditionalFormatting sqref="E490">
    <cfRule type="cellIs" dxfId="1" priority="1081" operator="equal">
      <formula>0</formula>
    </cfRule>
  </conditionalFormatting>
  <conditionalFormatting sqref="E491">
    <cfRule type="cellIs" dxfId="1" priority="1086" operator="equal">
      <formula>0</formula>
    </cfRule>
  </conditionalFormatting>
  <conditionalFormatting sqref="E492">
    <cfRule type="cellIs" dxfId="1" priority="1091" operator="equal">
      <formula>0</formula>
    </cfRule>
  </conditionalFormatting>
  <conditionalFormatting sqref="E493">
    <cfRule type="cellIs" dxfId="1" priority="1096" operator="equal">
      <formula>0</formula>
    </cfRule>
  </conditionalFormatting>
  <conditionalFormatting sqref="E494">
    <cfRule type="cellIs" dxfId="1" priority="1100" operator="equal">
      <formula>0</formula>
    </cfRule>
  </conditionalFormatting>
  <conditionalFormatting sqref="E495">
    <cfRule type="cellIs" dxfId="1" priority="1105" operator="equal">
      <formula>0</formula>
    </cfRule>
  </conditionalFormatting>
  <conditionalFormatting sqref="E496">
    <cfRule type="cellIs" dxfId="1" priority="1110" operator="equal">
      <formula>0</formula>
    </cfRule>
  </conditionalFormatting>
  <conditionalFormatting sqref="E497">
    <cfRule type="cellIs" dxfId="1" priority="1114" operator="equal">
      <formula>0</formula>
    </cfRule>
  </conditionalFormatting>
  <conditionalFormatting sqref="E498">
    <cfRule type="cellIs" dxfId="1" priority="1119" operator="equal">
      <formula>0</formula>
    </cfRule>
  </conditionalFormatting>
  <conditionalFormatting sqref="E500">
    <cfRule type="expression" dxfId="0" priority="1124">
      <formula>E501=0</formula>
    </cfRule>
  </conditionalFormatting>
  <conditionalFormatting sqref="E501">
    <cfRule type="cellIs" dxfId="1" priority="1129" operator="equal">
      <formula>0</formula>
    </cfRule>
  </conditionalFormatting>
  <conditionalFormatting sqref="E504">
    <cfRule type="cellIs" dxfId="1" priority="1137" operator="equal">
      <formula>0</formula>
    </cfRule>
  </conditionalFormatting>
  <conditionalFormatting sqref="E51">
    <cfRule type="expression" dxfId="0" priority="36">
      <formula>E52=0</formula>
    </cfRule>
  </conditionalFormatting>
  <conditionalFormatting sqref="E52">
    <cfRule type="cellIs" dxfId="1" priority="42" operator="equal">
      <formula>0</formula>
    </cfRule>
  </conditionalFormatting>
  <conditionalFormatting sqref="E525">
    <cfRule type="expression" dxfId="0" priority="1176">
      <formula>E526=0</formula>
    </cfRule>
  </conditionalFormatting>
  <conditionalFormatting sqref="E526">
    <cfRule type="cellIs" dxfId="1" priority="1184" operator="equal">
      <formula>0</formula>
    </cfRule>
  </conditionalFormatting>
  <conditionalFormatting sqref="E529">
    <cfRule type="cellIs" dxfId="1" priority="1193" operator="equal">
      <formula>0</formula>
    </cfRule>
  </conditionalFormatting>
  <conditionalFormatting sqref="E53">
    <cfRule type="cellIs" dxfId="1" priority="48" operator="equal">
      <formula>0</formula>
    </cfRule>
  </conditionalFormatting>
  <conditionalFormatting sqref="E531">
    <cfRule type="cellIs" dxfId="1" priority="1196" operator="equal">
      <formula>0</formula>
    </cfRule>
  </conditionalFormatting>
  <conditionalFormatting sqref="E536">
    <cfRule type="cellIs" dxfId="1" priority="1208" operator="equal">
      <formula>0</formula>
    </cfRule>
  </conditionalFormatting>
  <conditionalFormatting sqref="E537">
    <cfRule type="cellIs" dxfId="1" priority="1209" operator="equal">
      <formula>0</formula>
    </cfRule>
  </conditionalFormatting>
  <conditionalFormatting sqref="E54">
    <cfRule type="cellIs" dxfId="1" priority="52" operator="equal">
      <formula>0</formula>
    </cfRule>
  </conditionalFormatting>
  <conditionalFormatting sqref="E545">
    <cfRule type="cellIs" dxfId="1" priority="1223" operator="equal">
      <formula>0</formula>
    </cfRule>
  </conditionalFormatting>
  <conditionalFormatting sqref="E55">
    <cfRule type="cellIs" dxfId="1" priority="56" operator="equal">
      <formula>0</formula>
    </cfRule>
  </conditionalFormatting>
  <conditionalFormatting sqref="E550">
    <cfRule type="expression" dxfId="0" priority="1234">
      <formula>E551=0</formula>
    </cfRule>
  </conditionalFormatting>
  <conditionalFormatting sqref="E551">
    <cfRule type="cellIs" dxfId="1" priority="1239" operator="equal">
      <formula>0</formula>
    </cfRule>
  </conditionalFormatting>
  <conditionalFormatting sqref="E554">
    <cfRule type="cellIs" dxfId="1" priority="1244" operator="equal">
      <formula>0</formula>
    </cfRule>
  </conditionalFormatting>
  <conditionalFormatting sqref="E56">
    <cfRule type="cellIs" dxfId="1" priority="62" operator="equal">
      <formula>0</formula>
    </cfRule>
  </conditionalFormatting>
  <conditionalFormatting sqref="E58">
    <cfRule type="expression" dxfId="0" priority="66">
      <formula>E59=0</formula>
    </cfRule>
  </conditionalFormatting>
  <conditionalFormatting sqref="E581">
    <cfRule type="expression" dxfId="0" priority="1276">
      <formula>E582=0</formula>
    </cfRule>
  </conditionalFormatting>
  <conditionalFormatting sqref="E582">
    <cfRule type="cellIs" dxfId="1" priority="1284" operator="equal">
      <formula>0</formula>
    </cfRule>
  </conditionalFormatting>
  <conditionalFormatting sqref="E583">
    <cfRule type="cellIs" dxfId="1" priority="1292" operator="equal">
      <formula>0</formula>
    </cfRule>
  </conditionalFormatting>
  <conditionalFormatting sqref="E584">
    <cfRule type="cellIs" dxfId="1" priority="1297" operator="equal">
      <formula>0</formula>
    </cfRule>
  </conditionalFormatting>
  <conditionalFormatting sqref="E585">
    <cfRule type="cellIs" dxfId="1" priority="1302" operator="equal">
      <formula>0</formula>
    </cfRule>
  </conditionalFormatting>
  <conditionalFormatting sqref="E586">
    <cfRule type="cellIs" dxfId="1" priority="1308" operator="equal">
      <formula>0</formula>
    </cfRule>
  </conditionalFormatting>
  <conditionalFormatting sqref="E587">
    <cfRule type="cellIs" dxfId="1" priority="1313" operator="equal">
      <formula>0</formula>
    </cfRule>
  </conditionalFormatting>
  <conditionalFormatting sqref="E588">
    <cfRule type="cellIs" dxfId="1" priority="1318" operator="equal">
      <formula>0</formula>
    </cfRule>
  </conditionalFormatting>
  <conditionalFormatting sqref="E589">
    <cfRule type="cellIs" dxfId="1" priority="1322" operator="equal">
      <formula>0</formula>
    </cfRule>
  </conditionalFormatting>
  <conditionalFormatting sqref="E59">
    <cfRule type="cellIs" dxfId="1" priority="70" operator="equal">
      <formula>0</formula>
    </cfRule>
  </conditionalFormatting>
  <conditionalFormatting sqref="E592">
    <cfRule type="expression" dxfId="0" priority="1333">
      <formula>E593=0</formula>
    </cfRule>
  </conditionalFormatting>
  <conditionalFormatting sqref="E593">
    <cfRule type="cellIs" dxfId="1" priority="1338" operator="equal">
      <formula>0</formula>
    </cfRule>
  </conditionalFormatting>
  <conditionalFormatting sqref="E595">
    <cfRule type="cellIs" dxfId="1" priority="1344" operator="equal">
      <formula>0</formula>
    </cfRule>
  </conditionalFormatting>
  <conditionalFormatting sqref="E603">
    <cfRule type="expression" dxfId="0" priority="1360">
      <formula>E604=0</formula>
    </cfRule>
  </conditionalFormatting>
  <conditionalFormatting sqref="E604">
    <cfRule type="cellIs" dxfId="1" priority="1367" operator="equal">
      <formula>0</formula>
    </cfRule>
  </conditionalFormatting>
  <conditionalFormatting sqref="E606">
    <cfRule type="cellIs" dxfId="1" priority="1374" operator="equal">
      <formula>0</formula>
    </cfRule>
  </conditionalFormatting>
  <conditionalFormatting sqref="E608">
    <cfRule type="cellIs" dxfId="1" priority="1378" operator="equal">
      <formula>0</formula>
    </cfRule>
  </conditionalFormatting>
  <conditionalFormatting sqref="E609">
    <cfRule type="cellIs" dxfId="1" priority="1379" operator="equal">
      <formula>0</formula>
    </cfRule>
  </conditionalFormatting>
  <conditionalFormatting sqref="E614">
    <cfRule type="expression" dxfId="0" priority="1388">
      <formula>E615=0</formula>
    </cfRule>
  </conditionalFormatting>
  <conditionalFormatting sqref="E615">
    <cfRule type="cellIs" dxfId="1" priority="1392" operator="equal">
      <formula>0</formula>
    </cfRule>
  </conditionalFormatting>
  <conditionalFormatting sqref="E617">
    <cfRule type="cellIs" dxfId="1" priority="1396" operator="equal">
      <formula>0</formula>
    </cfRule>
  </conditionalFormatting>
  <conditionalFormatting sqref="E62">
    <cfRule type="cellIs" dxfId="1" priority="76" operator="equal">
      <formula>0</formula>
    </cfRule>
  </conditionalFormatting>
  <conditionalFormatting sqref="E623">
    <cfRule type="cellIs" dxfId="1" priority="1402" operator="equal">
      <formula>0</formula>
    </cfRule>
  </conditionalFormatting>
  <conditionalFormatting sqref="E631">
    <cfRule type="expression" dxfId="0" priority="1406">
      <formula>E632=0</formula>
    </cfRule>
  </conditionalFormatting>
  <conditionalFormatting sqref="E632">
    <cfRule type="cellIs" dxfId="1" priority="1411" operator="equal">
      <formula>0</formula>
    </cfRule>
  </conditionalFormatting>
  <conditionalFormatting sqref="E633">
    <cfRule type="cellIs" dxfId="1" priority="1416" operator="equal">
      <formula>0</formula>
    </cfRule>
  </conditionalFormatting>
  <conditionalFormatting sqref="E65">
    <cfRule type="expression" dxfId="0" priority="81">
      <formula>E66=0</formula>
    </cfRule>
  </conditionalFormatting>
  <conditionalFormatting sqref="E653">
    <cfRule type="expression" dxfId="0" priority="1439">
      <formula>E654=0</formula>
    </cfRule>
  </conditionalFormatting>
  <conditionalFormatting sqref="E654">
    <cfRule type="cellIs" dxfId="1" priority="1447" operator="equal">
      <formula>0</formula>
    </cfRule>
  </conditionalFormatting>
  <conditionalFormatting sqref="E656">
    <cfRule type="cellIs" dxfId="1" priority="1460" operator="equal">
      <formula>0</formula>
    </cfRule>
  </conditionalFormatting>
  <conditionalFormatting sqref="E657">
    <cfRule type="cellIs" dxfId="1" priority="1465" operator="equal">
      <formula>0</formula>
    </cfRule>
  </conditionalFormatting>
  <conditionalFormatting sqref="E658">
    <cfRule type="cellIs" dxfId="1" priority="1469" operator="equal">
      <formula>0</formula>
    </cfRule>
  </conditionalFormatting>
  <conditionalFormatting sqref="E659">
    <cfRule type="cellIs" dxfId="1" priority="1473" operator="equal">
      <formula>0</formula>
    </cfRule>
  </conditionalFormatting>
  <conditionalFormatting sqref="E66">
    <cfRule type="cellIs" dxfId="1" priority="85" operator="equal">
      <formula>0</formula>
    </cfRule>
  </conditionalFormatting>
  <conditionalFormatting sqref="E660">
    <cfRule type="cellIs" dxfId="1" priority="1477" operator="equal">
      <formula>0</formula>
    </cfRule>
  </conditionalFormatting>
  <conditionalFormatting sqref="E661">
    <cfRule type="cellIs" dxfId="1" priority="1482" operator="equal">
      <formula>0</formula>
    </cfRule>
  </conditionalFormatting>
  <conditionalFormatting sqref="E662">
    <cfRule type="cellIs" dxfId="1" priority="1487" operator="equal">
      <formula>0</formula>
    </cfRule>
  </conditionalFormatting>
  <conditionalFormatting sqref="E663">
    <cfRule type="cellIs" dxfId="1" priority="1493" operator="equal">
      <formula>0</formula>
    </cfRule>
  </conditionalFormatting>
  <conditionalFormatting sqref="E664">
    <cfRule type="cellIs" dxfId="1" priority="1498" operator="equal">
      <formula>0</formula>
    </cfRule>
  </conditionalFormatting>
  <conditionalFormatting sqref="E665">
    <cfRule type="cellIs" dxfId="1" priority="1504" operator="equal">
      <formula>0</formula>
    </cfRule>
  </conditionalFormatting>
  <conditionalFormatting sqref="E666">
    <cfRule type="cellIs" dxfId="1" priority="1509" operator="equal">
      <formula>0</formula>
    </cfRule>
  </conditionalFormatting>
  <conditionalFormatting sqref="E667">
    <cfRule type="cellIs" dxfId="1" priority="1514" operator="equal">
      <formula>0</formula>
    </cfRule>
  </conditionalFormatting>
  <conditionalFormatting sqref="E669">
    <cfRule type="expression" dxfId="0" priority="1518">
      <formula>E670=0</formula>
    </cfRule>
  </conditionalFormatting>
  <conditionalFormatting sqref="E670">
    <cfRule type="cellIs" dxfId="1" priority="1523" operator="equal">
      <formula>0</formula>
    </cfRule>
  </conditionalFormatting>
  <conditionalFormatting sqref="E672">
    <cfRule type="cellIs" dxfId="1" priority="1529" operator="equal">
      <formula>0</formula>
    </cfRule>
  </conditionalFormatting>
  <conditionalFormatting sqref="E68">
    <cfRule type="cellIs" dxfId="1" priority="90" operator="equal">
      <formula>0</formula>
    </cfRule>
  </conditionalFormatting>
  <conditionalFormatting sqref="E685">
    <cfRule type="expression" dxfId="0" priority="1554">
      <formula>E686=0</formula>
    </cfRule>
  </conditionalFormatting>
  <conditionalFormatting sqref="E686">
    <cfRule type="cellIs" dxfId="1" priority="1562" operator="equal">
      <formula>0</formula>
    </cfRule>
  </conditionalFormatting>
  <conditionalFormatting sqref="E688">
    <cfRule type="cellIs" dxfId="1" priority="1570" operator="equal">
      <formula>0</formula>
    </cfRule>
  </conditionalFormatting>
  <conditionalFormatting sqref="E689">
    <cfRule type="cellIs" dxfId="1" priority="1571" operator="equal">
      <formula>0</formula>
    </cfRule>
  </conditionalFormatting>
  <conditionalFormatting sqref="E691">
    <cfRule type="cellIs" dxfId="1" priority="1576" operator="equal">
      <formula>0</formula>
    </cfRule>
  </conditionalFormatting>
  <conditionalFormatting sqref="E692">
    <cfRule type="cellIs" dxfId="1" priority="1577" operator="equal">
      <formula>0</formula>
    </cfRule>
  </conditionalFormatting>
  <conditionalFormatting sqref="E70">
    <cfRule type="cellIs" dxfId="1" priority="96" operator="equal">
      <formula>0</formula>
    </cfRule>
  </conditionalFormatting>
  <conditionalFormatting sqref="E701">
    <cfRule type="expression" dxfId="0" priority="1592">
      <formula>E702=0</formula>
    </cfRule>
  </conditionalFormatting>
  <conditionalFormatting sqref="E702">
    <cfRule type="cellIs" dxfId="1" priority="1597" operator="equal">
      <formula>0</formula>
    </cfRule>
  </conditionalFormatting>
  <conditionalFormatting sqref="E704">
    <cfRule type="cellIs" dxfId="1" priority="1602" operator="equal">
      <formula>0</formula>
    </cfRule>
  </conditionalFormatting>
  <conditionalFormatting sqref="E709">
    <cfRule type="cellIs" dxfId="1" priority="1608" operator="equal">
      <formula>0</formula>
    </cfRule>
  </conditionalFormatting>
  <conditionalFormatting sqref="E711">
    <cfRule type="cellIs" dxfId="1" priority="1611" operator="equal">
      <formula>0</formula>
    </cfRule>
  </conditionalFormatting>
  <conditionalFormatting sqref="E713">
    <cfRule type="cellIs" dxfId="1" priority="1614" operator="equal">
      <formula>0</formula>
    </cfRule>
  </conditionalFormatting>
  <conditionalFormatting sqref="E714">
    <cfRule type="cellIs" dxfId="1" priority="1616" operator="equal">
      <formula>0</formula>
    </cfRule>
  </conditionalFormatting>
  <conditionalFormatting sqref="E715">
    <cfRule type="cellIs" dxfId="1" priority="1618" operator="equal">
      <formula>0</formula>
    </cfRule>
  </conditionalFormatting>
  <conditionalFormatting sqref="E72">
    <cfRule type="expression" dxfId="0" priority="99">
      <formula>E73=0</formula>
    </cfRule>
  </conditionalFormatting>
  <conditionalFormatting sqref="E723">
    <cfRule type="expression" dxfId="0" priority="1622">
      <formula>E724=0</formula>
    </cfRule>
  </conditionalFormatting>
  <conditionalFormatting sqref="E724">
    <cfRule type="cellIs" dxfId="1" priority="1628" operator="equal">
      <formula>0</formula>
    </cfRule>
  </conditionalFormatting>
  <conditionalFormatting sqref="E725">
    <cfRule type="cellIs" dxfId="1" priority="1634" operator="equal">
      <formula>0</formula>
    </cfRule>
  </conditionalFormatting>
  <conditionalFormatting sqref="E726">
    <cfRule type="cellIs" dxfId="1" priority="1639" operator="equal">
      <formula>0</formula>
    </cfRule>
  </conditionalFormatting>
  <conditionalFormatting sqref="E727">
    <cfRule type="cellIs" dxfId="1" priority="1643" operator="equal">
      <formula>0</formula>
    </cfRule>
  </conditionalFormatting>
  <conditionalFormatting sqref="E728">
    <cfRule type="cellIs" dxfId="1" priority="1648" operator="equal">
      <formula>0</formula>
    </cfRule>
  </conditionalFormatting>
  <conditionalFormatting sqref="E729">
    <cfRule type="cellIs" dxfId="1" priority="1652" operator="equal">
      <formula>0</formula>
    </cfRule>
  </conditionalFormatting>
  <conditionalFormatting sqref="E73">
    <cfRule type="cellIs" dxfId="1" priority="102" operator="equal">
      <formula>0</formula>
    </cfRule>
  </conditionalFormatting>
  <conditionalFormatting sqref="E730">
    <cfRule type="cellIs" dxfId="1" priority="1657" operator="equal">
      <formula>0</formula>
    </cfRule>
  </conditionalFormatting>
  <conditionalFormatting sqref="E731">
    <cfRule type="cellIs" dxfId="1" priority="1662" operator="equal">
      <formula>0</formula>
    </cfRule>
  </conditionalFormatting>
  <conditionalFormatting sqref="E733">
    <cfRule type="expression" dxfId="0" priority="1666">
      <formula>E734=0</formula>
    </cfRule>
  </conditionalFormatting>
  <conditionalFormatting sqref="E734">
    <cfRule type="cellIs" dxfId="1" priority="1670" operator="equal">
      <formula>0</formula>
    </cfRule>
  </conditionalFormatting>
  <conditionalFormatting sqref="E737">
    <cfRule type="cellIs" dxfId="1" priority="1676" operator="equal">
      <formula>0</formula>
    </cfRule>
  </conditionalFormatting>
  <conditionalFormatting sqref="E740">
    <cfRule type="cellIs" dxfId="1" priority="1682" operator="equal">
      <formula>0</formula>
    </cfRule>
  </conditionalFormatting>
  <conditionalFormatting sqref="E741">
    <cfRule type="cellIs" dxfId="1" priority="1684" operator="equal">
      <formula>0</formula>
    </cfRule>
  </conditionalFormatting>
  <conditionalFormatting sqref="E743">
    <cfRule type="expression" dxfId="0" priority="1687">
      <formula>E744=0</formula>
    </cfRule>
  </conditionalFormatting>
  <conditionalFormatting sqref="E744">
    <cfRule type="cellIs" dxfId="1" priority="1691" operator="equal">
      <formula>0</formula>
    </cfRule>
  </conditionalFormatting>
  <conditionalFormatting sqref="E747">
    <cfRule type="cellIs" dxfId="1" priority="1697" operator="equal">
      <formula>0</formula>
    </cfRule>
  </conditionalFormatting>
  <conditionalFormatting sqref="E753">
    <cfRule type="expression" dxfId="0" priority="1705">
      <formula>E754=0</formula>
    </cfRule>
  </conditionalFormatting>
  <conditionalFormatting sqref="E754">
    <cfRule type="cellIs" dxfId="1" priority="1709" operator="equal">
      <formula>0</formula>
    </cfRule>
  </conditionalFormatting>
  <conditionalFormatting sqref="E757">
    <cfRule type="cellIs" dxfId="1" priority="1714" operator="equal">
      <formula>0</formula>
    </cfRule>
  </conditionalFormatting>
  <conditionalFormatting sqref="E76">
    <cfRule type="cellIs" dxfId="1" priority="107" operator="equal">
      <formula>0</formula>
    </cfRule>
  </conditionalFormatting>
  <conditionalFormatting sqref="E761">
    <cfRule type="cellIs" dxfId="1" priority="1720" operator="equal">
      <formula>0</formula>
    </cfRule>
  </conditionalFormatting>
  <conditionalFormatting sqref="E769">
    <cfRule type="expression" dxfId="0" priority="1723">
      <formula>E770=0</formula>
    </cfRule>
  </conditionalFormatting>
  <conditionalFormatting sqref="E770">
    <cfRule type="cellIs" dxfId="1" priority="1729" operator="equal">
      <formula>0</formula>
    </cfRule>
  </conditionalFormatting>
  <conditionalFormatting sqref="E771">
    <cfRule type="cellIs" dxfId="1" priority="1735" operator="equal">
      <formula>0</formula>
    </cfRule>
  </conditionalFormatting>
  <conditionalFormatting sqref="E772">
    <cfRule type="cellIs" dxfId="1" priority="1740" operator="equal">
      <formula>0</formula>
    </cfRule>
  </conditionalFormatting>
  <conditionalFormatting sqref="E773">
    <cfRule type="cellIs" dxfId="1" priority="1745" operator="equal">
      <formula>0</formula>
    </cfRule>
  </conditionalFormatting>
  <conditionalFormatting sqref="E774">
    <cfRule type="cellIs" dxfId="1" priority="1750" operator="equal">
      <formula>0</formula>
    </cfRule>
  </conditionalFormatting>
  <conditionalFormatting sqref="E775">
    <cfRule type="cellIs" dxfId="1" priority="1755" operator="equal">
      <formula>0</formula>
    </cfRule>
  </conditionalFormatting>
  <conditionalFormatting sqref="E776">
    <cfRule type="cellIs" dxfId="1" priority="1760" operator="equal">
      <formula>0</formula>
    </cfRule>
  </conditionalFormatting>
  <conditionalFormatting sqref="E777">
    <cfRule type="cellIs" dxfId="1" priority="1765" operator="equal">
      <formula>0</formula>
    </cfRule>
  </conditionalFormatting>
  <conditionalFormatting sqref="E778">
    <cfRule type="cellIs" dxfId="1" priority="1770" operator="equal">
      <formula>0</formula>
    </cfRule>
  </conditionalFormatting>
  <conditionalFormatting sqref="E779">
    <cfRule type="cellIs" dxfId="1" priority="1775" operator="equal">
      <formula>0</formula>
    </cfRule>
  </conditionalFormatting>
  <conditionalFormatting sqref="E781">
    <cfRule type="expression" dxfId="0" priority="1781">
      <formula>E782=0</formula>
    </cfRule>
  </conditionalFormatting>
  <conditionalFormatting sqref="E782">
    <cfRule type="cellIs" dxfId="1" priority="1784" operator="equal">
      <formula>0</formula>
    </cfRule>
  </conditionalFormatting>
  <conditionalFormatting sqref="E787">
    <cfRule type="cellIs" dxfId="1" priority="1795" operator="equal">
      <formula>0</formula>
    </cfRule>
  </conditionalFormatting>
  <conditionalFormatting sqref="E793">
    <cfRule type="expression" dxfId="0" priority="1806">
      <formula>E794=0</formula>
    </cfRule>
  </conditionalFormatting>
  <conditionalFormatting sqref="E794">
    <cfRule type="cellIs" dxfId="1" priority="1813" operator="equal">
      <formula>0</formula>
    </cfRule>
  </conditionalFormatting>
  <conditionalFormatting sqref="E796">
    <cfRule type="cellIs" dxfId="1" priority="1820" operator="equal">
      <formula>0</formula>
    </cfRule>
  </conditionalFormatting>
  <conditionalFormatting sqref="E797">
    <cfRule type="cellIs" dxfId="1" priority="1822" operator="equal">
      <formula>0</formula>
    </cfRule>
  </conditionalFormatting>
  <conditionalFormatting sqref="E798">
    <cfRule type="cellIs" dxfId="1" priority="1823" operator="equal">
      <formula>0</formula>
    </cfRule>
  </conditionalFormatting>
  <conditionalFormatting sqref="E799">
    <cfRule type="cellIs" dxfId="1" priority="1825" operator="equal">
      <formula>0</formula>
    </cfRule>
  </conditionalFormatting>
  <conditionalFormatting sqref="E800">
    <cfRule type="cellIs" dxfId="1" priority="1829" operator="equal">
      <formula>0</formula>
    </cfRule>
  </conditionalFormatting>
  <conditionalFormatting sqref="E802">
    <cfRule type="cellIs" dxfId="1" priority="1831" operator="equal">
      <formula>0</formula>
    </cfRule>
  </conditionalFormatting>
  <conditionalFormatting sqref="E803">
    <cfRule type="cellIs" dxfId="1" priority="1833" operator="equal">
      <formula>0</formula>
    </cfRule>
  </conditionalFormatting>
  <conditionalFormatting sqref="E85">
    <cfRule type="expression" dxfId="0" priority="112">
      <formula>E86=0</formula>
    </cfRule>
  </conditionalFormatting>
  <conditionalFormatting sqref="E86">
    <cfRule type="cellIs" dxfId="1" priority="116" operator="equal">
      <formula>0</formula>
    </cfRule>
  </conditionalFormatting>
  <conditionalFormatting sqref="E87">
    <cfRule type="cellIs" dxfId="1" priority="120" operator="equal">
      <formula>0</formula>
    </cfRule>
  </conditionalFormatting>
  <conditionalFormatting sqref="F107">
    <cfRule type="expression" dxfId="0" priority="140">
      <formula>F108=0</formula>
    </cfRule>
  </conditionalFormatting>
  <conditionalFormatting sqref="F108">
    <cfRule type="cellIs" dxfId="1" priority="145" operator="equal">
      <formula>0</formula>
    </cfRule>
  </conditionalFormatting>
  <conditionalFormatting sqref="F109">
    <cfRule type="cellIs" dxfId="1" priority="150" operator="equal">
      <formula>0</formula>
    </cfRule>
  </conditionalFormatting>
  <conditionalFormatting sqref="F129">
    <cfRule type="expression" dxfId="0" priority="173">
      <formula>F130=0</formula>
    </cfRule>
  </conditionalFormatting>
  <conditionalFormatting sqref="F130">
    <cfRule type="cellIs" dxfId="1" priority="179" operator="equal">
      <formula>0</formula>
    </cfRule>
  </conditionalFormatting>
  <conditionalFormatting sqref="F131">
    <cfRule type="cellIs" dxfId="1" priority="185" operator="equal">
      <formula>0</formula>
    </cfRule>
  </conditionalFormatting>
  <conditionalFormatting sqref="F133">
    <cfRule type="cellIs" dxfId="1" priority="194" operator="equal">
      <formula>0</formula>
    </cfRule>
  </conditionalFormatting>
  <conditionalFormatting sqref="F135">
    <cfRule type="cellIs" dxfId="1" priority="203" operator="equal">
      <formula>0</formula>
    </cfRule>
  </conditionalFormatting>
  <conditionalFormatting sqref="F137">
    <cfRule type="expression" dxfId="0" priority="208">
      <formula>F138=0</formula>
    </cfRule>
  </conditionalFormatting>
  <conditionalFormatting sqref="F138">
    <cfRule type="cellIs" dxfId="1" priority="212" operator="equal">
      <formula>0</formula>
    </cfRule>
  </conditionalFormatting>
  <conditionalFormatting sqref="F143">
    <cfRule type="cellIs" dxfId="1" priority="221" operator="equal">
      <formula>0</formula>
    </cfRule>
  </conditionalFormatting>
  <conditionalFormatting sqref="F167">
    <cfRule type="expression" dxfId="0" priority="254">
      <formula>F168=0</formula>
    </cfRule>
  </conditionalFormatting>
  <conditionalFormatting sqref="F168">
    <cfRule type="cellIs" dxfId="1" priority="262" operator="equal">
      <formula>0</formula>
    </cfRule>
  </conditionalFormatting>
  <conditionalFormatting sqref="F169">
    <cfRule type="cellIs" dxfId="1" priority="270" operator="equal">
      <formula>0</formula>
    </cfRule>
  </conditionalFormatting>
  <conditionalFormatting sqref="F170">
    <cfRule type="cellIs" dxfId="1" priority="274" operator="equal">
      <formula>0</formula>
    </cfRule>
  </conditionalFormatting>
  <conditionalFormatting sqref="F171">
    <cfRule type="cellIs" dxfId="1" priority="278" operator="equal">
      <formula>0</formula>
    </cfRule>
  </conditionalFormatting>
  <conditionalFormatting sqref="F172">
    <cfRule type="cellIs" dxfId="1" priority="282" operator="equal">
      <formula>0</formula>
    </cfRule>
  </conditionalFormatting>
  <conditionalFormatting sqref="F173">
    <cfRule type="cellIs" dxfId="1" priority="286" operator="equal">
      <formula>0</formula>
    </cfRule>
  </conditionalFormatting>
  <conditionalFormatting sqref="F175">
    <cfRule type="cellIs" dxfId="1" priority="295" operator="equal">
      <formula>0</formula>
    </cfRule>
  </conditionalFormatting>
  <conditionalFormatting sqref="F179">
    <cfRule type="cellIs" dxfId="1" priority="314" operator="equal">
      <formula>0</formula>
    </cfRule>
  </conditionalFormatting>
  <conditionalFormatting sqref="F181">
    <cfRule type="cellIs" dxfId="1" priority="323" operator="equal">
      <formula>0</formula>
    </cfRule>
  </conditionalFormatting>
  <conditionalFormatting sqref="F182">
    <cfRule type="cellIs" dxfId="1" priority="329" operator="equal">
      <formula>0</formula>
    </cfRule>
  </conditionalFormatting>
  <conditionalFormatting sqref="F183">
    <cfRule type="cellIs" dxfId="1" priority="335" operator="equal">
      <formula>0</formula>
    </cfRule>
  </conditionalFormatting>
  <conditionalFormatting sqref="F186">
    <cfRule type="expression" dxfId="0" priority="344">
      <formula>F187=0</formula>
    </cfRule>
  </conditionalFormatting>
  <conditionalFormatting sqref="F187">
    <cfRule type="cellIs" dxfId="1" priority="349" operator="equal">
      <formula>0</formula>
    </cfRule>
  </conditionalFormatting>
  <conditionalFormatting sqref="F190">
    <cfRule type="cellIs" dxfId="1" priority="355" operator="equal">
      <formula>0</formula>
    </cfRule>
  </conditionalFormatting>
  <conditionalFormatting sqref="F191">
    <cfRule type="cellIs" dxfId="1" priority="357" operator="equal">
      <formula>0</formula>
    </cfRule>
  </conditionalFormatting>
  <conditionalFormatting sqref="F192">
    <cfRule type="cellIs" dxfId="1" priority="358" operator="equal">
      <formula>0</formula>
    </cfRule>
  </conditionalFormatting>
  <conditionalFormatting sqref="F193">
    <cfRule type="cellIs" dxfId="1" priority="360" operator="equal">
      <formula>0</formula>
    </cfRule>
  </conditionalFormatting>
  <conditionalFormatting sqref="F195">
    <cfRule type="cellIs" dxfId="1" priority="365" operator="equal">
      <formula>0</formula>
    </cfRule>
  </conditionalFormatting>
  <conditionalFormatting sqref="F198">
    <cfRule type="cellIs" dxfId="1" priority="370" operator="equal">
      <formula>0</formula>
    </cfRule>
  </conditionalFormatting>
  <conditionalFormatting sqref="F199">
    <cfRule type="cellIs" dxfId="1" priority="372" operator="equal">
      <formula>0</formula>
    </cfRule>
  </conditionalFormatting>
  <conditionalFormatting sqref="F200">
    <cfRule type="cellIs" dxfId="1" priority="374" operator="equal">
      <formula>0</formula>
    </cfRule>
  </conditionalFormatting>
  <conditionalFormatting sqref="F201">
    <cfRule type="cellIs" dxfId="1" priority="376" operator="equal">
      <formula>0</formula>
    </cfRule>
  </conditionalFormatting>
  <conditionalFormatting sqref="F203">
    <cfRule type="cellIs" dxfId="1" priority="380" operator="equal">
      <formula>0</formula>
    </cfRule>
  </conditionalFormatting>
  <conditionalFormatting sqref="F205">
    <cfRule type="expression" dxfId="0" priority="384">
      <formula>F206=0</formula>
    </cfRule>
  </conditionalFormatting>
  <conditionalFormatting sqref="F206">
    <cfRule type="cellIs" dxfId="1" priority="392" operator="equal">
      <formula>0</formula>
    </cfRule>
  </conditionalFormatting>
  <conditionalFormatting sqref="F209">
    <cfRule type="cellIs" dxfId="1" priority="401" operator="equal">
      <formula>0</formula>
    </cfRule>
  </conditionalFormatting>
  <conditionalFormatting sqref="F210">
    <cfRule type="cellIs" dxfId="1" priority="402" operator="equal">
      <formula>0</formula>
    </cfRule>
  </conditionalFormatting>
  <conditionalFormatting sqref="F211">
    <cfRule type="cellIs" dxfId="1" priority="406" operator="equal">
      <formula>0</formula>
    </cfRule>
  </conditionalFormatting>
  <conditionalFormatting sqref="F212">
    <cfRule type="cellIs" dxfId="1" priority="408" operator="equal">
      <formula>0</formula>
    </cfRule>
  </conditionalFormatting>
  <conditionalFormatting sqref="F214">
    <cfRule type="cellIs" dxfId="1" priority="413" operator="equal">
      <formula>0</formula>
    </cfRule>
  </conditionalFormatting>
  <conditionalFormatting sqref="F218">
    <cfRule type="cellIs" dxfId="1" priority="419" operator="equal">
      <formula>0</formula>
    </cfRule>
  </conditionalFormatting>
  <conditionalFormatting sqref="F219">
    <cfRule type="cellIs" dxfId="1" priority="422" operator="equal">
      <formula>0</formula>
    </cfRule>
  </conditionalFormatting>
  <conditionalFormatting sqref="F222">
    <cfRule type="cellIs" dxfId="1" priority="428" operator="equal">
      <formula>0</formula>
    </cfRule>
  </conditionalFormatting>
  <conditionalFormatting sqref="F224">
    <cfRule type="expression" dxfId="0" priority="432">
      <formula>F225=0</formula>
    </cfRule>
  </conditionalFormatting>
  <conditionalFormatting sqref="F225">
    <cfRule type="cellIs" dxfId="1" priority="437" operator="equal">
      <formula>0</formula>
    </cfRule>
  </conditionalFormatting>
  <conditionalFormatting sqref="F228">
    <cfRule type="cellIs" dxfId="1" priority="442" operator="equal">
      <formula>0</formula>
    </cfRule>
  </conditionalFormatting>
  <conditionalFormatting sqref="F230">
    <cfRule type="cellIs" dxfId="1" priority="445" operator="equal">
      <formula>0</formula>
    </cfRule>
  </conditionalFormatting>
  <conditionalFormatting sqref="F231">
    <cfRule type="cellIs" dxfId="1" priority="447" operator="equal">
      <formula>0</formula>
    </cfRule>
  </conditionalFormatting>
  <conditionalFormatting sqref="F234">
    <cfRule type="cellIs" dxfId="1" priority="452" operator="equal">
      <formula>0</formula>
    </cfRule>
  </conditionalFormatting>
  <conditionalFormatting sqref="F236">
    <cfRule type="cellIs" dxfId="1" priority="455" operator="equal">
      <formula>0</formula>
    </cfRule>
  </conditionalFormatting>
  <conditionalFormatting sqref="F237">
    <cfRule type="cellIs" dxfId="1" priority="456" operator="equal">
      <formula>0</formula>
    </cfRule>
  </conditionalFormatting>
  <conditionalFormatting sqref="F238">
    <cfRule type="cellIs" dxfId="1" priority="459" operator="equal">
      <formula>0</formula>
    </cfRule>
  </conditionalFormatting>
  <conditionalFormatting sqref="F240">
    <cfRule type="cellIs" dxfId="1" priority="463" operator="equal">
      <formula>0</formula>
    </cfRule>
  </conditionalFormatting>
  <conditionalFormatting sqref="F241">
    <cfRule type="cellIs" dxfId="1" priority="464" operator="equal">
      <formula>0</formula>
    </cfRule>
  </conditionalFormatting>
  <conditionalFormatting sqref="F249">
    <cfRule type="expression" dxfId="0" priority="469">
      <formula>F250=0</formula>
    </cfRule>
  </conditionalFormatting>
  <conditionalFormatting sqref="F250">
    <cfRule type="cellIs" dxfId="1" priority="477" operator="equal">
      <formula>0</formula>
    </cfRule>
  </conditionalFormatting>
  <conditionalFormatting sqref="F251">
    <cfRule type="cellIs" dxfId="1" priority="485" operator="equal">
      <formula>0</formula>
    </cfRule>
  </conditionalFormatting>
  <conditionalFormatting sqref="F252">
    <cfRule type="cellIs" dxfId="1" priority="490" operator="equal">
      <formula>0</formula>
    </cfRule>
  </conditionalFormatting>
  <conditionalFormatting sqref="F253">
    <cfRule type="cellIs" dxfId="1" priority="495" operator="equal">
      <formula>0</formula>
    </cfRule>
  </conditionalFormatting>
  <conditionalFormatting sqref="F254">
    <cfRule type="cellIs" dxfId="1" priority="500" operator="equal">
      <formula>0</formula>
    </cfRule>
  </conditionalFormatting>
  <conditionalFormatting sqref="F255">
    <cfRule type="cellIs" dxfId="1" priority="505" operator="equal">
      <formula>0</formula>
    </cfRule>
  </conditionalFormatting>
  <conditionalFormatting sqref="F256">
    <cfRule type="cellIs" dxfId="1" priority="510" operator="equal">
      <formula>0</formula>
    </cfRule>
  </conditionalFormatting>
  <conditionalFormatting sqref="F259">
    <cfRule type="cellIs" dxfId="1" priority="523" operator="equal">
      <formula>0</formula>
    </cfRule>
  </conditionalFormatting>
  <conditionalFormatting sqref="F262">
    <cfRule type="cellIs" dxfId="1" priority="536" operator="equal">
      <formula>0</formula>
    </cfRule>
  </conditionalFormatting>
  <conditionalFormatting sqref="F263">
    <cfRule type="cellIs" dxfId="1" priority="541" operator="equal">
      <formula>0</formula>
    </cfRule>
  </conditionalFormatting>
  <conditionalFormatting sqref="F266">
    <cfRule type="cellIs" dxfId="1" priority="554" operator="equal">
      <formula>0</formula>
    </cfRule>
  </conditionalFormatting>
  <conditionalFormatting sqref="F268">
    <cfRule type="cellIs" dxfId="1" priority="564" operator="equal">
      <formula>0</formula>
    </cfRule>
  </conditionalFormatting>
  <conditionalFormatting sqref="F269">
    <cfRule type="cellIs" dxfId="1" priority="569" operator="equal">
      <formula>0</formula>
    </cfRule>
  </conditionalFormatting>
  <conditionalFormatting sqref="F270">
    <cfRule type="cellIs" dxfId="1" priority="574" operator="equal">
      <formula>0</formula>
    </cfRule>
  </conditionalFormatting>
  <conditionalFormatting sqref="F272">
    <cfRule type="cellIs" dxfId="1" priority="581" operator="equal">
      <formula>0</formula>
    </cfRule>
  </conditionalFormatting>
  <conditionalFormatting sqref="F274">
    <cfRule type="expression" dxfId="0" priority="588">
      <formula>F275=0</formula>
    </cfRule>
  </conditionalFormatting>
  <conditionalFormatting sqref="F275">
    <cfRule type="cellIs" dxfId="1" priority="593" operator="equal">
      <formula>0</formula>
    </cfRule>
  </conditionalFormatting>
  <conditionalFormatting sqref="F280">
    <cfRule type="cellIs" dxfId="1" priority="603" operator="equal">
      <formula>0</formula>
    </cfRule>
  </conditionalFormatting>
  <conditionalFormatting sqref="F283">
    <cfRule type="cellIs" dxfId="1" priority="608" operator="equal">
      <formula>0</formula>
    </cfRule>
  </conditionalFormatting>
  <conditionalFormatting sqref="F284">
    <cfRule type="cellIs" dxfId="1" priority="610" operator="equal">
      <formula>0</formula>
    </cfRule>
  </conditionalFormatting>
  <conditionalFormatting sqref="F286">
    <cfRule type="cellIs" dxfId="1" priority="615" operator="equal">
      <formula>0</formula>
    </cfRule>
  </conditionalFormatting>
  <conditionalFormatting sqref="F29">
    <cfRule type="expression" dxfId="0" priority="4">
      <formula>F30=0</formula>
    </cfRule>
  </conditionalFormatting>
  <conditionalFormatting sqref="F290">
    <cfRule type="cellIs" dxfId="1" priority="622" operator="equal">
      <formula>0</formula>
    </cfRule>
  </conditionalFormatting>
  <conditionalFormatting sqref="F291">
    <cfRule type="cellIs" dxfId="1" priority="624" operator="equal">
      <formula>0</formula>
    </cfRule>
  </conditionalFormatting>
  <conditionalFormatting sqref="F292">
    <cfRule type="cellIs" dxfId="1" priority="626" operator="equal">
      <formula>0</formula>
    </cfRule>
  </conditionalFormatting>
  <conditionalFormatting sqref="F293">
    <cfRule type="cellIs" dxfId="1" priority="628" operator="equal">
      <formula>0</formula>
    </cfRule>
  </conditionalFormatting>
  <conditionalFormatting sqref="F296">
    <cfRule type="cellIs" dxfId="1" priority="634" operator="equal">
      <formula>0</formula>
    </cfRule>
  </conditionalFormatting>
  <conditionalFormatting sqref="F299">
    <cfRule type="expression" dxfId="0" priority="640">
      <formula>F300=0</formula>
    </cfRule>
  </conditionalFormatting>
  <conditionalFormatting sqref="F30">
    <cfRule type="cellIs" dxfId="1" priority="8" operator="equal">
      <formula>0</formula>
    </cfRule>
  </conditionalFormatting>
  <conditionalFormatting sqref="F300">
    <cfRule type="cellIs" dxfId="1" priority="648" operator="equal">
      <formula>0</formula>
    </cfRule>
  </conditionalFormatting>
  <conditionalFormatting sqref="F304">
    <cfRule type="cellIs" dxfId="1" priority="657" operator="equal">
      <formula>0</formula>
    </cfRule>
  </conditionalFormatting>
  <conditionalFormatting sqref="F306">
    <cfRule type="cellIs" dxfId="1" priority="661" operator="equal">
      <formula>0</formula>
    </cfRule>
  </conditionalFormatting>
  <conditionalFormatting sqref="F309">
    <cfRule type="cellIs" dxfId="1" priority="668" operator="equal">
      <formula>0</formula>
    </cfRule>
  </conditionalFormatting>
  <conditionalFormatting sqref="F31">
    <cfRule type="cellIs" dxfId="1" priority="12" operator="equal">
      <formula>0</formula>
    </cfRule>
  </conditionalFormatting>
  <conditionalFormatting sqref="F314">
    <cfRule type="cellIs" dxfId="1" priority="677" operator="equal">
      <formula>0</formula>
    </cfRule>
  </conditionalFormatting>
  <conditionalFormatting sqref="F316">
    <cfRule type="cellIs" dxfId="1" priority="681" operator="equal">
      <formula>0</formula>
    </cfRule>
  </conditionalFormatting>
  <conditionalFormatting sqref="F324">
    <cfRule type="expression" dxfId="0" priority="699">
      <formula>F325=0</formula>
    </cfRule>
  </conditionalFormatting>
  <conditionalFormatting sqref="F325">
    <cfRule type="cellIs" dxfId="1" priority="704" operator="equal">
      <formula>0</formula>
    </cfRule>
  </conditionalFormatting>
  <conditionalFormatting sqref="F328">
    <cfRule type="cellIs" dxfId="1" priority="709" operator="equal">
      <formula>0</formula>
    </cfRule>
  </conditionalFormatting>
  <conditionalFormatting sqref="F337">
    <cfRule type="cellIs" dxfId="1" priority="722" operator="equal">
      <formula>0</formula>
    </cfRule>
  </conditionalFormatting>
  <conditionalFormatting sqref="F340">
    <cfRule type="cellIs" dxfId="1" priority="726" operator="equal">
      <formula>0</formula>
    </cfRule>
  </conditionalFormatting>
  <conditionalFormatting sqref="F342">
    <cfRule type="cellIs" dxfId="1" priority="730" operator="equal">
      <formula>0</formula>
    </cfRule>
  </conditionalFormatting>
  <conditionalFormatting sqref="F343">
    <cfRule type="cellIs" dxfId="1" priority="731" operator="equal">
      <formula>0</formula>
    </cfRule>
  </conditionalFormatting>
  <conditionalFormatting sqref="F345">
    <cfRule type="cellIs" dxfId="1" priority="735" operator="equal">
      <formula>0</formula>
    </cfRule>
  </conditionalFormatting>
  <conditionalFormatting sqref="F355">
    <cfRule type="expression" dxfId="0" priority="742">
      <formula>F356=0</formula>
    </cfRule>
  </conditionalFormatting>
  <conditionalFormatting sqref="F356">
    <cfRule type="cellIs" dxfId="1" priority="746" operator="equal">
      <formula>0</formula>
    </cfRule>
  </conditionalFormatting>
  <conditionalFormatting sqref="F357">
    <cfRule type="cellIs" dxfId="1" priority="750" operator="equal">
      <formula>0</formula>
    </cfRule>
  </conditionalFormatting>
  <conditionalFormatting sqref="F377">
    <cfRule type="expression" dxfId="0" priority="772">
      <formula>F378=0</formula>
    </cfRule>
  </conditionalFormatting>
  <conditionalFormatting sqref="F378">
    <cfRule type="cellIs" dxfId="1" priority="780" operator="equal">
      <formula>0</formula>
    </cfRule>
  </conditionalFormatting>
  <conditionalFormatting sqref="F379">
    <cfRule type="cellIs" dxfId="1" priority="788" operator="equal">
      <formula>0</formula>
    </cfRule>
  </conditionalFormatting>
  <conditionalFormatting sqref="F380">
    <cfRule type="cellIs" dxfId="1" priority="791" operator="equal">
      <formula>0</formula>
    </cfRule>
  </conditionalFormatting>
  <conditionalFormatting sqref="F381">
    <cfRule type="cellIs" dxfId="1" priority="797" operator="equal">
      <formula>0</formula>
    </cfRule>
  </conditionalFormatting>
  <conditionalFormatting sqref="F384">
    <cfRule type="expression" dxfId="0" priority="808">
      <formula>F385=0</formula>
    </cfRule>
  </conditionalFormatting>
  <conditionalFormatting sqref="F385">
    <cfRule type="cellIs" dxfId="1" priority="812" operator="equal">
      <formula>0</formula>
    </cfRule>
  </conditionalFormatting>
  <conditionalFormatting sqref="F388">
    <cfRule type="cellIs" dxfId="1" priority="818" operator="equal">
      <formula>0</formula>
    </cfRule>
  </conditionalFormatting>
  <conditionalFormatting sqref="F389">
    <cfRule type="cellIs" dxfId="1" priority="820" operator="equal">
      <formula>0</formula>
    </cfRule>
  </conditionalFormatting>
  <conditionalFormatting sqref="F391">
    <cfRule type="expression" dxfId="0" priority="824">
      <formula>F392=0</formula>
    </cfRule>
  </conditionalFormatting>
  <conditionalFormatting sqref="F392">
    <cfRule type="cellIs" dxfId="1" priority="828" operator="equal">
      <formula>0</formula>
    </cfRule>
  </conditionalFormatting>
  <conditionalFormatting sqref="F395">
    <cfRule type="cellIs" dxfId="1" priority="835" operator="equal">
      <formula>0</formula>
    </cfRule>
  </conditionalFormatting>
  <conditionalFormatting sqref="F396">
    <cfRule type="cellIs" dxfId="1" priority="837" operator="equal">
      <formula>0</formula>
    </cfRule>
  </conditionalFormatting>
  <conditionalFormatting sqref="F398">
    <cfRule type="expression" dxfId="0" priority="841">
      <formula>F399=0</formula>
    </cfRule>
  </conditionalFormatting>
  <conditionalFormatting sqref="F399">
    <cfRule type="cellIs" dxfId="1" priority="846" operator="equal">
      <formula>0</formula>
    </cfRule>
  </conditionalFormatting>
  <conditionalFormatting sqref="F401">
    <cfRule type="cellIs" dxfId="1" priority="851" operator="equal">
      <formula>0</formula>
    </cfRule>
  </conditionalFormatting>
  <conditionalFormatting sqref="F411">
    <cfRule type="expression" dxfId="0" priority="857">
      <formula>F412=0</formula>
    </cfRule>
  </conditionalFormatting>
  <conditionalFormatting sqref="F412">
    <cfRule type="cellIs" dxfId="1" priority="862" operator="equal">
      <formula>0</formula>
    </cfRule>
  </conditionalFormatting>
  <conditionalFormatting sqref="F413">
    <cfRule type="cellIs" dxfId="1" priority="867" operator="equal">
      <formula>0</formula>
    </cfRule>
  </conditionalFormatting>
  <conditionalFormatting sqref="F414">
    <cfRule type="cellIs" dxfId="1" priority="872" operator="equal">
      <formula>0</formula>
    </cfRule>
  </conditionalFormatting>
  <conditionalFormatting sqref="F415">
    <cfRule type="cellIs" dxfId="1" priority="877" operator="equal">
      <formula>0</formula>
    </cfRule>
  </conditionalFormatting>
  <conditionalFormatting sqref="F441">
    <cfRule type="expression" dxfId="0" priority="913">
      <formula>F442=0</formula>
    </cfRule>
  </conditionalFormatting>
  <conditionalFormatting sqref="F442">
    <cfRule type="cellIs" dxfId="1" priority="921" operator="equal">
      <formula>0</formula>
    </cfRule>
  </conditionalFormatting>
  <conditionalFormatting sqref="F443">
    <cfRule type="cellIs" dxfId="1" priority="929" operator="equal">
      <formula>0</formula>
    </cfRule>
  </conditionalFormatting>
  <conditionalFormatting sqref="F445">
    <cfRule type="cellIs" dxfId="1" priority="940" operator="equal">
      <formula>0</formula>
    </cfRule>
  </conditionalFormatting>
  <conditionalFormatting sqref="F446">
    <cfRule type="cellIs" dxfId="1" priority="944" operator="equal">
      <formula>0</formula>
    </cfRule>
  </conditionalFormatting>
  <conditionalFormatting sqref="F448">
    <cfRule type="expression" dxfId="0" priority="950">
      <formula>F449=0</formula>
    </cfRule>
  </conditionalFormatting>
  <conditionalFormatting sqref="F449">
    <cfRule type="cellIs" dxfId="1" priority="955" operator="equal">
      <formula>0</formula>
    </cfRule>
  </conditionalFormatting>
  <conditionalFormatting sqref="F451">
    <cfRule type="cellIs" dxfId="1" priority="960" operator="equal">
      <formula>0</formula>
    </cfRule>
  </conditionalFormatting>
  <conditionalFormatting sqref="F452">
    <cfRule type="cellIs" dxfId="1" priority="963" operator="equal">
      <formula>0</formula>
    </cfRule>
  </conditionalFormatting>
  <conditionalFormatting sqref="F453">
    <cfRule type="cellIs" dxfId="1" priority="964" operator="equal">
      <formula>0</formula>
    </cfRule>
  </conditionalFormatting>
  <conditionalFormatting sqref="F455">
    <cfRule type="expression" dxfId="0" priority="969">
      <formula>F456=0</formula>
    </cfRule>
  </conditionalFormatting>
  <conditionalFormatting sqref="F456">
    <cfRule type="cellIs" dxfId="1" priority="975" operator="equal">
      <formula>0</formula>
    </cfRule>
  </conditionalFormatting>
  <conditionalFormatting sqref="F458">
    <cfRule type="cellIs" dxfId="1" priority="981" operator="equal">
      <formula>0</formula>
    </cfRule>
  </conditionalFormatting>
  <conditionalFormatting sqref="F459">
    <cfRule type="cellIs" dxfId="1" priority="984" operator="equal">
      <formula>0</formula>
    </cfRule>
  </conditionalFormatting>
  <conditionalFormatting sqref="F460">
    <cfRule type="cellIs" dxfId="1" priority="986" operator="equal">
      <formula>0</formula>
    </cfRule>
  </conditionalFormatting>
  <conditionalFormatting sqref="F462">
    <cfRule type="expression" dxfId="0" priority="991">
      <formula>F463=0</formula>
    </cfRule>
  </conditionalFormatting>
  <conditionalFormatting sqref="F463">
    <cfRule type="cellIs" dxfId="1" priority="995" operator="equal">
      <formula>0</formula>
    </cfRule>
  </conditionalFormatting>
  <conditionalFormatting sqref="F467">
    <cfRule type="cellIs" dxfId="1" priority="1001" operator="equal">
      <formula>0</formula>
    </cfRule>
  </conditionalFormatting>
  <conditionalFormatting sqref="F475">
    <cfRule type="expression" dxfId="0" priority="1005">
      <formula>F476=0</formula>
    </cfRule>
  </conditionalFormatting>
  <conditionalFormatting sqref="F476">
    <cfRule type="cellIs" dxfId="1" priority="1013" operator="equal">
      <formula>0</formula>
    </cfRule>
  </conditionalFormatting>
  <conditionalFormatting sqref="F477">
    <cfRule type="cellIs" dxfId="1" priority="1021" operator="equal">
      <formula>0</formula>
    </cfRule>
  </conditionalFormatting>
  <conditionalFormatting sqref="F478">
    <cfRule type="cellIs" dxfId="1" priority="1026" operator="equal">
      <formula>0</formula>
    </cfRule>
  </conditionalFormatting>
  <conditionalFormatting sqref="F480">
    <cfRule type="cellIs" dxfId="1" priority="1033" operator="equal">
      <formula>0</formula>
    </cfRule>
  </conditionalFormatting>
  <conditionalFormatting sqref="F481">
    <cfRule type="cellIs" dxfId="1" priority="1040" operator="equal">
      <formula>0</formula>
    </cfRule>
  </conditionalFormatting>
  <conditionalFormatting sqref="F482">
    <cfRule type="cellIs" dxfId="1" priority="1045" operator="equal">
      <formula>0</formula>
    </cfRule>
  </conditionalFormatting>
  <conditionalFormatting sqref="F485">
    <cfRule type="cellIs" dxfId="1" priority="1058" operator="equal">
      <formula>0</formula>
    </cfRule>
  </conditionalFormatting>
  <conditionalFormatting sqref="F486">
    <cfRule type="cellIs" dxfId="1" priority="1064" operator="equal">
      <formula>0</formula>
    </cfRule>
  </conditionalFormatting>
  <conditionalFormatting sqref="F487">
    <cfRule type="cellIs" dxfId="1" priority="1069" operator="equal">
      <formula>0</formula>
    </cfRule>
  </conditionalFormatting>
  <conditionalFormatting sqref="F490">
    <cfRule type="cellIs" dxfId="1" priority="1082" operator="equal">
      <formula>0</formula>
    </cfRule>
  </conditionalFormatting>
  <conditionalFormatting sqref="F491">
    <cfRule type="cellIs" dxfId="1" priority="1087" operator="equal">
      <formula>0</formula>
    </cfRule>
  </conditionalFormatting>
  <conditionalFormatting sqref="F492">
    <cfRule type="cellIs" dxfId="1" priority="1092" operator="equal">
      <formula>0</formula>
    </cfRule>
  </conditionalFormatting>
  <conditionalFormatting sqref="F494">
    <cfRule type="cellIs" dxfId="1" priority="1101" operator="equal">
      <formula>0</formula>
    </cfRule>
  </conditionalFormatting>
  <conditionalFormatting sqref="F495">
    <cfRule type="cellIs" dxfId="1" priority="1106" operator="equal">
      <formula>0</formula>
    </cfRule>
  </conditionalFormatting>
  <conditionalFormatting sqref="F497">
    <cfRule type="cellIs" dxfId="1" priority="1115" operator="equal">
      <formula>0</formula>
    </cfRule>
  </conditionalFormatting>
  <conditionalFormatting sqref="F498">
    <cfRule type="cellIs" dxfId="1" priority="1120" operator="equal">
      <formula>0</formula>
    </cfRule>
  </conditionalFormatting>
  <conditionalFormatting sqref="F500">
    <cfRule type="expression" dxfId="0" priority="1125">
      <formula>F501=0</formula>
    </cfRule>
  </conditionalFormatting>
  <conditionalFormatting sqref="F501">
    <cfRule type="cellIs" dxfId="1" priority="1130" operator="equal">
      <formula>0</formula>
    </cfRule>
  </conditionalFormatting>
  <conditionalFormatting sqref="F506">
    <cfRule type="cellIs" dxfId="1" priority="1140" operator="equal">
      <formula>0</formula>
    </cfRule>
  </conditionalFormatting>
  <conditionalFormatting sqref="F509">
    <cfRule type="cellIs" dxfId="1" priority="1145" operator="equal">
      <formula>0</formula>
    </cfRule>
  </conditionalFormatting>
  <conditionalFormatting sqref="F51">
    <cfRule type="expression" dxfId="0" priority="37">
      <formula>F52=0</formula>
    </cfRule>
  </conditionalFormatting>
  <conditionalFormatting sqref="F510">
    <cfRule type="cellIs" dxfId="1" priority="1147" operator="equal">
      <formula>0</formula>
    </cfRule>
  </conditionalFormatting>
  <conditionalFormatting sqref="F512">
    <cfRule type="cellIs" dxfId="1" priority="1152" operator="equal">
      <formula>0</formula>
    </cfRule>
  </conditionalFormatting>
  <conditionalFormatting sqref="F516">
    <cfRule type="cellIs" dxfId="1" priority="1159" operator="equal">
      <formula>0</formula>
    </cfRule>
  </conditionalFormatting>
  <conditionalFormatting sqref="F517">
    <cfRule type="cellIs" dxfId="1" priority="1161" operator="equal">
      <formula>0</formula>
    </cfRule>
  </conditionalFormatting>
  <conditionalFormatting sqref="F519">
    <cfRule type="cellIs" dxfId="1" priority="1165" operator="equal">
      <formula>0</formula>
    </cfRule>
  </conditionalFormatting>
  <conditionalFormatting sqref="F52">
    <cfRule type="cellIs" dxfId="1" priority="43" operator="equal">
      <formula>0</formula>
    </cfRule>
  </conditionalFormatting>
  <conditionalFormatting sqref="F522">
    <cfRule type="cellIs" dxfId="1" priority="1171" operator="equal">
      <formula>0</formula>
    </cfRule>
  </conditionalFormatting>
  <conditionalFormatting sqref="F525">
    <cfRule type="expression" dxfId="0" priority="1177">
      <formula>F526=0</formula>
    </cfRule>
  </conditionalFormatting>
  <conditionalFormatting sqref="F526">
    <cfRule type="cellIs" dxfId="1" priority="1185" operator="equal">
      <formula>0</formula>
    </cfRule>
  </conditionalFormatting>
  <conditionalFormatting sqref="F53">
    <cfRule type="cellIs" dxfId="1" priority="49" operator="equal">
      <formula>0</formula>
    </cfRule>
  </conditionalFormatting>
  <conditionalFormatting sqref="F530">
    <cfRule type="cellIs" dxfId="1" priority="1194" operator="equal">
      <formula>0</formula>
    </cfRule>
  </conditionalFormatting>
  <conditionalFormatting sqref="F532">
    <cfRule type="cellIs" dxfId="1" priority="1198" operator="equal">
      <formula>0</formula>
    </cfRule>
  </conditionalFormatting>
  <conditionalFormatting sqref="F535">
    <cfRule type="cellIs" dxfId="1" priority="1205" operator="equal">
      <formula>0</formula>
    </cfRule>
  </conditionalFormatting>
  <conditionalFormatting sqref="F54">
    <cfRule type="cellIs" dxfId="1" priority="53" operator="equal">
      <formula>0</formula>
    </cfRule>
  </conditionalFormatting>
  <conditionalFormatting sqref="F540">
    <cfRule type="cellIs" dxfId="1" priority="1214" operator="equal">
      <formula>0</formula>
    </cfRule>
  </conditionalFormatting>
  <conditionalFormatting sqref="F542">
    <cfRule type="cellIs" dxfId="1" priority="1218" operator="equal">
      <formula>0</formula>
    </cfRule>
  </conditionalFormatting>
  <conditionalFormatting sqref="F55">
    <cfRule type="cellIs" dxfId="1" priority="57" operator="equal">
      <formula>0</formula>
    </cfRule>
  </conditionalFormatting>
  <conditionalFormatting sqref="F550">
    <cfRule type="expression" dxfId="0" priority="1235">
      <formula>F551=0</formula>
    </cfRule>
  </conditionalFormatting>
  <conditionalFormatting sqref="F551">
    <cfRule type="cellIs" dxfId="1" priority="1240" operator="equal">
      <formula>0</formula>
    </cfRule>
  </conditionalFormatting>
  <conditionalFormatting sqref="F554">
    <cfRule type="cellIs" dxfId="1" priority="1245" operator="equal">
      <formula>0</formula>
    </cfRule>
  </conditionalFormatting>
  <conditionalFormatting sqref="F56">
    <cfRule type="cellIs" dxfId="1" priority="63" operator="equal">
      <formula>0</formula>
    </cfRule>
  </conditionalFormatting>
  <conditionalFormatting sqref="F563">
    <cfRule type="cellIs" dxfId="1" priority="1258" operator="equal">
      <formula>0</formula>
    </cfRule>
  </conditionalFormatting>
  <conditionalFormatting sqref="F566">
    <cfRule type="cellIs" dxfId="1" priority="1262" operator="equal">
      <formula>0</formula>
    </cfRule>
  </conditionalFormatting>
  <conditionalFormatting sqref="F569">
    <cfRule type="cellIs" dxfId="1" priority="1267" operator="equal">
      <formula>0</formula>
    </cfRule>
  </conditionalFormatting>
  <conditionalFormatting sqref="F571">
    <cfRule type="cellIs" dxfId="1" priority="1270" operator="equal">
      <formula>0</formula>
    </cfRule>
  </conditionalFormatting>
  <conditionalFormatting sqref="F58">
    <cfRule type="expression" dxfId="0" priority="67">
      <formula>F59=0</formula>
    </cfRule>
  </conditionalFormatting>
  <conditionalFormatting sqref="F581">
    <cfRule type="expression" dxfId="0" priority="1277">
      <formula>F582=0</formula>
    </cfRule>
  </conditionalFormatting>
  <conditionalFormatting sqref="F582">
    <cfRule type="cellIs" dxfId="1" priority="1285" operator="equal">
      <formula>0</formula>
    </cfRule>
  </conditionalFormatting>
  <conditionalFormatting sqref="F583">
    <cfRule type="cellIs" dxfId="1" priority="1293" operator="equal">
      <formula>0</formula>
    </cfRule>
  </conditionalFormatting>
  <conditionalFormatting sqref="F584">
    <cfRule type="cellIs" dxfId="1" priority="1298" operator="equal">
      <formula>0</formula>
    </cfRule>
  </conditionalFormatting>
  <conditionalFormatting sqref="F585">
    <cfRule type="cellIs" dxfId="1" priority="1303" operator="equal">
      <formula>0</formula>
    </cfRule>
  </conditionalFormatting>
  <conditionalFormatting sqref="F586">
    <cfRule type="cellIs" dxfId="1" priority="1309" operator="equal">
      <formula>0</formula>
    </cfRule>
  </conditionalFormatting>
  <conditionalFormatting sqref="F587">
    <cfRule type="cellIs" dxfId="1" priority="1314" operator="equal">
      <formula>0</formula>
    </cfRule>
  </conditionalFormatting>
  <conditionalFormatting sqref="F588">
    <cfRule type="cellIs" dxfId="1" priority="1319" operator="equal">
      <formula>0</formula>
    </cfRule>
  </conditionalFormatting>
  <conditionalFormatting sqref="F589">
    <cfRule type="cellIs" dxfId="1" priority="1323" operator="equal">
      <formula>0</formula>
    </cfRule>
  </conditionalFormatting>
  <conditionalFormatting sqref="F59">
    <cfRule type="cellIs" dxfId="1" priority="71" operator="equal">
      <formula>0</formula>
    </cfRule>
  </conditionalFormatting>
  <conditionalFormatting sqref="F590">
    <cfRule type="cellIs" dxfId="1" priority="1328" operator="equal">
      <formula>0</formula>
    </cfRule>
  </conditionalFormatting>
  <conditionalFormatting sqref="F592">
    <cfRule type="expression" dxfId="0" priority="1334">
      <formula>F593=0</formula>
    </cfRule>
  </conditionalFormatting>
  <conditionalFormatting sqref="F593">
    <cfRule type="cellIs" dxfId="1" priority="1339" operator="equal">
      <formula>0</formula>
    </cfRule>
  </conditionalFormatting>
  <conditionalFormatting sqref="F596">
    <cfRule type="cellIs" dxfId="1" priority="1346" operator="equal">
      <formula>0</formula>
    </cfRule>
  </conditionalFormatting>
  <conditionalFormatting sqref="F598">
    <cfRule type="cellIs" dxfId="1" priority="1351" operator="equal">
      <formula>0</formula>
    </cfRule>
  </conditionalFormatting>
  <conditionalFormatting sqref="F601">
    <cfRule type="cellIs" dxfId="1" priority="1356" operator="equal">
      <formula>0</formula>
    </cfRule>
  </conditionalFormatting>
  <conditionalFormatting sqref="F603">
    <cfRule type="expression" dxfId="0" priority="1361">
      <formula>F604=0</formula>
    </cfRule>
  </conditionalFormatting>
  <conditionalFormatting sqref="F604">
    <cfRule type="cellIs" dxfId="1" priority="1368" operator="equal">
      <formula>0</formula>
    </cfRule>
  </conditionalFormatting>
  <conditionalFormatting sqref="F607">
    <cfRule type="cellIs" dxfId="1" priority="1375" operator="equal">
      <formula>0</formula>
    </cfRule>
  </conditionalFormatting>
  <conditionalFormatting sqref="F614">
    <cfRule type="expression" dxfId="0" priority="1389">
      <formula>F615=0</formula>
    </cfRule>
  </conditionalFormatting>
  <conditionalFormatting sqref="F615">
    <cfRule type="cellIs" dxfId="1" priority="1393" operator="equal">
      <formula>0</formula>
    </cfRule>
  </conditionalFormatting>
  <conditionalFormatting sqref="F62">
    <cfRule type="cellIs" dxfId="1" priority="77" operator="equal">
      <formula>0</formula>
    </cfRule>
  </conditionalFormatting>
  <conditionalFormatting sqref="F623">
    <cfRule type="cellIs" dxfId="1" priority="1403" operator="equal">
      <formula>0</formula>
    </cfRule>
  </conditionalFormatting>
  <conditionalFormatting sqref="F631">
    <cfRule type="expression" dxfId="0" priority="1407">
      <formula>F632=0</formula>
    </cfRule>
  </conditionalFormatting>
  <conditionalFormatting sqref="F632">
    <cfRule type="cellIs" dxfId="1" priority="1412" operator="equal">
      <formula>0</formula>
    </cfRule>
  </conditionalFormatting>
  <conditionalFormatting sqref="F633">
    <cfRule type="cellIs" dxfId="1" priority="1417" operator="equal">
      <formula>0</formula>
    </cfRule>
  </conditionalFormatting>
  <conditionalFormatting sqref="F65">
    <cfRule type="expression" dxfId="0" priority="82">
      <formula>F66=0</formula>
    </cfRule>
  </conditionalFormatting>
  <conditionalFormatting sqref="F653">
    <cfRule type="expression" dxfId="0" priority="1440">
      <formula>F654=0</formula>
    </cfRule>
  </conditionalFormatting>
  <conditionalFormatting sqref="F654">
    <cfRule type="cellIs" dxfId="1" priority="1448" operator="equal">
      <formula>0</formula>
    </cfRule>
  </conditionalFormatting>
  <conditionalFormatting sqref="F655">
    <cfRule type="cellIs" dxfId="1" priority="1454" operator="equal">
      <formula>0</formula>
    </cfRule>
  </conditionalFormatting>
  <conditionalFormatting sqref="F656">
    <cfRule type="cellIs" dxfId="1" priority="1461" operator="equal">
      <formula>0</formula>
    </cfRule>
  </conditionalFormatting>
  <conditionalFormatting sqref="F66">
    <cfRule type="cellIs" dxfId="1" priority="86" operator="equal">
      <formula>0</formula>
    </cfRule>
  </conditionalFormatting>
  <conditionalFormatting sqref="F660">
    <cfRule type="cellIs" dxfId="1" priority="1478" operator="equal">
      <formula>0</formula>
    </cfRule>
  </conditionalFormatting>
  <conditionalFormatting sqref="F661">
    <cfRule type="cellIs" dxfId="1" priority="1483" operator="equal">
      <formula>0</formula>
    </cfRule>
  </conditionalFormatting>
  <conditionalFormatting sqref="F662">
    <cfRule type="cellIs" dxfId="1" priority="1488" operator="equal">
      <formula>0</formula>
    </cfRule>
  </conditionalFormatting>
  <conditionalFormatting sqref="F663">
    <cfRule type="cellIs" dxfId="1" priority="1494" operator="equal">
      <formula>0</formula>
    </cfRule>
  </conditionalFormatting>
  <conditionalFormatting sqref="F664">
    <cfRule type="cellIs" dxfId="1" priority="1499" operator="equal">
      <formula>0</formula>
    </cfRule>
  </conditionalFormatting>
  <conditionalFormatting sqref="F665">
    <cfRule type="cellIs" dxfId="1" priority="1505" operator="equal">
      <formula>0</formula>
    </cfRule>
  </conditionalFormatting>
  <conditionalFormatting sqref="F666">
    <cfRule type="cellIs" dxfId="1" priority="1510" operator="equal">
      <formula>0</formula>
    </cfRule>
  </conditionalFormatting>
  <conditionalFormatting sqref="F669">
    <cfRule type="expression" dxfId="0" priority="1519">
      <formula>F670=0</formula>
    </cfRule>
  </conditionalFormatting>
  <conditionalFormatting sqref="F670">
    <cfRule type="cellIs" dxfId="1" priority="1524" operator="equal">
      <formula>0</formula>
    </cfRule>
  </conditionalFormatting>
  <conditionalFormatting sqref="F673">
    <cfRule type="cellIs" dxfId="1" priority="1530" operator="equal">
      <formula>0</formula>
    </cfRule>
  </conditionalFormatting>
  <conditionalFormatting sqref="F674">
    <cfRule type="cellIs" dxfId="1" priority="1532" operator="equal">
      <formula>0</formula>
    </cfRule>
  </conditionalFormatting>
  <conditionalFormatting sqref="F676">
    <cfRule type="cellIs" dxfId="1" priority="1537" operator="equal">
      <formula>0</formula>
    </cfRule>
  </conditionalFormatting>
  <conditionalFormatting sqref="F679">
    <cfRule type="cellIs" dxfId="1" priority="1542" operator="equal">
      <formula>0</formula>
    </cfRule>
  </conditionalFormatting>
  <conditionalFormatting sqref="F68">
    <cfRule type="cellIs" dxfId="1" priority="91" operator="equal">
      <formula>0</formula>
    </cfRule>
  </conditionalFormatting>
  <conditionalFormatting sqref="F681">
    <cfRule type="cellIs" dxfId="1" priority="1546" operator="equal">
      <formula>0</formula>
    </cfRule>
  </conditionalFormatting>
  <conditionalFormatting sqref="F682">
    <cfRule type="cellIs" dxfId="1" priority="1548" operator="equal">
      <formula>0</formula>
    </cfRule>
  </conditionalFormatting>
  <conditionalFormatting sqref="F685">
    <cfRule type="expression" dxfId="0" priority="1555">
      <formula>F686=0</formula>
    </cfRule>
  </conditionalFormatting>
  <conditionalFormatting sqref="F686">
    <cfRule type="cellIs" dxfId="1" priority="1563" operator="equal">
      <formula>0</formula>
    </cfRule>
  </conditionalFormatting>
  <conditionalFormatting sqref="F689">
    <cfRule type="cellIs" dxfId="1" priority="1572" operator="equal">
      <formula>0</formula>
    </cfRule>
  </conditionalFormatting>
  <conditionalFormatting sqref="F69">
    <cfRule type="cellIs" dxfId="1" priority="94" operator="equal">
      <formula>0</formula>
    </cfRule>
  </conditionalFormatting>
  <conditionalFormatting sqref="F690">
    <cfRule type="cellIs" dxfId="1" priority="1573" operator="equal">
      <formula>0</formula>
    </cfRule>
  </conditionalFormatting>
  <conditionalFormatting sqref="F692">
    <cfRule type="cellIs" dxfId="1" priority="1578" operator="equal">
      <formula>0</formula>
    </cfRule>
  </conditionalFormatting>
  <conditionalFormatting sqref="F697">
    <cfRule type="cellIs" dxfId="1" priority="1585" operator="equal">
      <formula>0</formula>
    </cfRule>
  </conditionalFormatting>
  <conditionalFormatting sqref="F701">
    <cfRule type="expression" dxfId="0" priority="1593">
      <formula>F702=0</formula>
    </cfRule>
  </conditionalFormatting>
  <conditionalFormatting sqref="F702">
    <cfRule type="cellIs" dxfId="1" priority="1598" operator="equal">
      <formula>0</formula>
    </cfRule>
  </conditionalFormatting>
  <conditionalFormatting sqref="F705">
    <cfRule type="cellIs" dxfId="1" priority="1603" operator="equal">
      <formula>0</formula>
    </cfRule>
  </conditionalFormatting>
  <conditionalFormatting sqref="F709">
    <cfRule type="cellIs" dxfId="1" priority="1609" operator="equal">
      <formula>0</formula>
    </cfRule>
  </conditionalFormatting>
  <conditionalFormatting sqref="F711">
    <cfRule type="cellIs" dxfId="1" priority="1612" operator="equal">
      <formula>0</formula>
    </cfRule>
  </conditionalFormatting>
  <conditionalFormatting sqref="F713">
    <cfRule type="cellIs" dxfId="1" priority="1615" operator="equal">
      <formula>0</formula>
    </cfRule>
  </conditionalFormatting>
  <conditionalFormatting sqref="F715">
    <cfRule type="cellIs" dxfId="1" priority="1619" operator="equal">
      <formula>0</formula>
    </cfRule>
  </conditionalFormatting>
  <conditionalFormatting sqref="F723">
    <cfRule type="expression" dxfId="0" priority="1623">
      <formula>F724=0</formula>
    </cfRule>
  </conditionalFormatting>
  <conditionalFormatting sqref="F724">
    <cfRule type="cellIs" dxfId="1" priority="1629" operator="equal">
      <formula>0</formula>
    </cfRule>
  </conditionalFormatting>
  <conditionalFormatting sqref="F725">
    <cfRule type="cellIs" dxfId="1" priority="1635" operator="equal">
      <formula>0</formula>
    </cfRule>
  </conditionalFormatting>
  <conditionalFormatting sqref="F727">
    <cfRule type="cellIs" dxfId="1" priority="1644" operator="equal">
      <formula>0</formula>
    </cfRule>
  </conditionalFormatting>
  <conditionalFormatting sqref="F729">
    <cfRule type="cellIs" dxfId="1" priority="1653" operator="equal">
      <formula>0</formula>
    </cfRule>
  </conditionalFormatting>
  <conditionalFormatting sqref="F730">
    <cfRule type="cellIs" dxfId="1" priority="1658" operator="equal">
      <formula>0</formula>
    </cfRule>
  </conditionalFormatting>
  <conditionalFormatting sqref="F733">
    <cfRule type="expression" dxfId="0" priority="1667">
      <formula>F734=0</formula>
    </cfRule>
  </conditionalFormatting>
  <conditionalFormatting sqref="F734">
    <cfRule type="cellIs" dxfId="1" priority="1671" operator="equal">
      <formula>0</formula>
    </cfRule>
  </conditionalFormatting>
  <conditionalFormatting sqref="F737">
    <cfRule type="cellIs" dxfId="1" priority="1677" operator="equal">
      <formula>0</formula>
    </cfRule>
  </conditionalFormatting>
  <conditionalFormatting sqref="F740">
    <cfRule type="cellIs" dxfId="1" priority="1683" operator="equal">
      <formula>0</formula>
    </cfRule>
  </conditionalFormatting>
  <conditionalFormatting sqref="F743">
    <cfRule type="expression" dxfId="0" priority="1688">
      <formula>F744=0</formula>
    </cfRule>
  </conditionalFormatting>
  <conditionalFormatting sqref="F744">
    <cfRule type="cellIs" dxfId="1" priority="1692" operator="equal">
      <formula>0</formula>
    </cfRule>
  </conditionalFormatting>
  <conditionalFormatting sqref="F748">
    <cfRule type="cellIs" dxfId="1" priority="1698" operator="equal">
      <formula>0</formula>
    </cfRule>
  </conditionalFormatting>
  <conditionalFormatting sqref="F753">
    <cfRule type="expression" dxfId="0" priority="1706">
      <formula>F754=0</formula>
    </cfRule>
  </conditionalFormatting>
  <conditionalFormatting sqref="F754">
    <cfRule type="cellIs" dxfId="1" priority="1710" operator="equal">
      <formula>0</formula>
    </cfRule>
  </conditionalFormatting>
  <conditionalFormatting sqref="F760">
    <cfRule type="cellIs" dxfId="1" priority="1718" operator="equal">
      <formula>0</formula>
    </cfRule>
  </conditionalFormatting>
  <conditionalFormatting sqref="F769">
    <cfRule type="expression" dxfId="0" priority="1724">
      <formula>F770=0</formula>
    </cfRule>
  </conditionalFormatting>
  <conditionalFormatting sqref="F770">
    <cfRule type="cellIs" dxfId="1" priority="1730" operator="equal">
      <formula>0</formula>
    </cfRule>
  </conditionalFormatting>
  <conditionalFormatting sqref="F771">
    <cfRule type="cellIs" dxfId="1" priority="1736" operator="equal">
      <formula>0</formula>
    </cfRule>
  </conditionalFormatting>
  <conditionalFormatting sqref="F772">
    <cfRule type="cellIs" dxfId="1" priority="1741" operator="equal">
      <formula>0</formula>
    </cfRule>
  </conditionalFormatting>
  <conditionalFormatting sqref="F773">
    <cfRule type="cellIs" dxfId="1" priority="1746" operator="equal">
      <formula>0</formula>
    </cfRule>
  </conditionalFormatting>
  <conditionalFormatting sqref="F774">
    <cfRule type="cellIs" dxfId="1" priority="1751" operator="equal">
      <formula>0</formula>
    </cfRule>
  </conditionalFormatting>
  <conditionalFormatting sqref="F775">
    <cfRule type="cellIs" dxfId="1" priority="1756" operator="equal">
      <formula>0</formula>
    </cfRule>
  </conditionalFormatting>
  <conditionalFormatting sqref="F776">
    <cfRule type="cellIs" dxfId="1" priority="1761" operator="equal">
      <formula>0</formula>
    </cfRule>
  </conditionalFormatting>
  <conditionalFormatting sqref="F777">
    <cfRule type="cellIs" dxfId="1" priority="1766" operator="equal">
      <formula>0</formula>
    </cfRule>
  </conditionalFormatting>
  <conditionalFormatting sqref="F778">
    <cfRule type="cellIs" dxfId="1" priority="1771" operator="equal">
      <formula>0</formula>
    </cfRule>
  </conditionalFormatting>
  <conditionalFormatting sqref="F779">
    <cfRule type="cellIs" dxfId="1" priority="1776" operator="equal">
      <formula>0</formula>
    </cfRule>
  </conditionalFormatting>
  <conditionalFormatting sqref="F793">
    <cfRule type="expression" dxfId="0" priority="1807">
      <formula>F794=0</formula>
    </cfRule>
  </conditionalFormatting>
  <conditionalFormatting sqref="F794">
    <cfRule type="cellIs" dxfId="1" priority="1814" operator="equal">
      <formula>0</formula>
    </cfRule>
  </conditionalFormatting>
  <conditionalFormatting sqref="F798">
    <cfRule type="cellIs" dxfId="1" priority="1824" operator="equal">
      <formula>0</formula>
    </cfRule>
  </conditionalFormatting>
  <conditionalFormatting sqref="F85">
    <cfRule type="expression" dxfId="0" priority="113">
      <formula>F86=0</formula>
    </cfRule>
  </conditionalFormatting>
  <conditionalFormatting sqref="F86">
    <cfRule type="cellIs" dxfId="1" priority="117" operator="equal">
      <formula>0</formula>
    </cfRule>
  </conditionalFormatting>
  <conditionalFormatting sqref="F87">
    <cfRule type="cellIs" dxfId="1" priority="121" operator="equal">
      <formula>0</formula>
    </cfRule>
  </conditionalFormatting>
  <conditionalFormatting sqref="G107">
    <cfRule type="expression" dxfId="0" priority="141">
      <formula>G108=0</formula>
    </cfRule>
  </conditionalFormatting>
  <conditionalFormatting sqref="G108">
    <cfRule type="cellIs" dxfId="1" priority="146" operator="equal">
      <formula>0</formula>
    </cfRule>
  </conditionalFormatting>
  <conditionalFormatting sqref="G109">
    <cfRule type="cellIs" dxfId="1" priority="151" operator="equal">
      <formula>0</formula>
    </cfRule>
  </conditionalFormatting>
  <conditionalFormatting sqref="G129">
    <cfRule type="expression" dxfId="0" priority="174">
      <formula>G130=0</formula>
    </cfRule>
  </conditionalFormatting>
  <conditionalFormatting sqref="G130">
    <cfRule type="cellIs" dxfId="1" priority="180" operator="equal">
      <formula>0</formula>
    </cfRule>
  </conditionalFormatting>
  <conditionalFormatting sqref="G131">
    <cfRule type="cellIs" dxfId="1" priority="186" operator="equal">
      <formula>0</formula>
    </cfRule>
  </conditionalFormatting>
  <conditionalFormatting sqref="G133">
    <cfRule type="cellIs" dxfId="1" priority="195" operator="equal">
      <formula>0</formula>
    </cfRule>
  </conditionalFormatting>
  <conditionalFormatting sqref="G135">
    <cfRule type="cellIs" dxfId="1" priority="204" operator="equal">
      <formula>0</formula>
    </cfRule>
  </conditionalFormatting>
  <conditionalFormatting sqref="G167">
    <cfRule type="expression" dxfId="0" priority="255">
      <formula>G168=0</formula>
    </cfRule>
  </conditionalFormatting>
  <conditionalFormatting sqref="G168">
    <cfRule type="cellIs" dxfId="1" priority="263" operator="equal">
      <formula>0</formula>
    </cfRule>
  </conditionalFormatting>
  <conditionalFormatting sqref="G174">
    <cfRule type="cellIs" dxfId="1" priority="290" operator="equal">
      <formula>0</formula>
    </cfRule>
  </conditionalFormatting>
  <conditionalFormatting sqref="G176">
    <cfRule type="cellIs" dxfId="1" priority="299" operator="equal">
      <formula>0</formula>
    </cfRule>
  </conditionalFormatting>
  <conditionalFormatting sqref="G177">
    <cfRule type="cellIs" dxfId="1" priority="304" operator="equal">
      <formula>0</formula>
    </cfRule>
  </conditionalFormatting>
  <conditionalFormatting sqref="G178">
    <cfRule type="cellIs" dxfId="1" priority="309" operator="equal">
      <formula>0</formula>
    </cfRule>
  </conditionalFormatting>
  <conditionalFormatting sqref="G180">
    <cfRule type="cellIs" dxfId="1" priority="318" operator="equal">
      <formula>0</formula>
    </cfRule>
  </conditionalFormatting>
  <conditionalFormatting sqref="G181">
    <cfRule type="cellIs" dxfId="1" priority="324" operator="equal">
      <formula>0</formula>
    </cfRule>
  </conditionalFormatting>
  <conditionalFormatting sqref="G182">
    <cfRule type="cellIs" dxfId="1" priority="330" operator="equal">
      <formula>0</formula>
    </cfRule>
  </conditionalFormatting>
  <conditionalFormatting sqref="G184">
    <cfRule type="cellIs" dxfId="1" priority="337" operator="equal">
      <formula>0</formula>
    </cfRule>
  </conditionalFormatting>
  <conditionalFormatting sqref="G186">
    <cfRule type="expression" dxfId="0" priority="345">
      <formula>G187=0</formula>
    </cfRule>
  </conditionalFormatting>
  <conditionalFormatting sqref="G187">
    <cfRule type="cellIs" dxfId="1" priority="350" operator="equal">
      <formula>0</formula>
    </cfRule>
  </conditionalFormatting>
  <conditionalFormatting sqref="G192">
    <cfRule type="cellIs" dxfId="1" priority="359" operator="equal">
      <formula>0</formula>
    </cfRule>
  </conditionalFormatting>
  <conditionalFormatting sqref="G196">
    <cfRule type="cellIs" dxfId="1" priority="367" operator="equal">
      <formula>0</formula>
    </cfRule>
  </conditionalFormatting>
  <conditionalFormatting sqref="G198">
    <cfRule type="cellIs" dxfId="1" priority="371" operator="equal">
      <formula>0</formula>
    </cfRule>
  </conditionalFormatting>
  <conditionalFormatting sqref="G199">
    <cfRule type="cellIs" dxfId="1" priority="373" operator="equal">
      <formula>0</formula>
    </cfRule>
  </conditionalFormatting>
  <conditionalFormatting sqref="G200">
    <cfRule type="cellIs" dxfId="1" priority="375" operator="equal">
      <formula>0</formula>
    </cfRule>
  </conditionalFormatting>
  <conditionalFormatting sqref="G201">
    <cfRule type="cellIs" dxfId="1" priority="377" operator="equal">
      <formula>0</formula>
    </cfRule>
  </conditionalFormatting>
  <conditionalFormatting sqref="G202">
    <cfRule type="cellIs" dxfId="1" priority="379" operator="equal">
      <formula>0</formula>
    </cfRule>
  </conditionalFormatting>
  <conditionalFormatting sqref="G205">
    <cfRule type="expression" dxfId="0" priority="385">
      <formula>G206=0</formula>
    </cfRule>
  </conditionalFormatting>
  <conditionalFormatting sqref="G206">
    <cfRule type="cellIs" dxfId="1" priority="393" operator="equal">
      <formula>0</formula>
    </cfRule>
  </conditionalFormatting>
  <conditionalFormatting sqref="G210">
    <cfRule type="cellIs" dxfId="1" priority="403" operator="equal">
      <formula>0</formula>
    </cfRule>
  </conditionalFormatting>
  <conditionalFormatting sqref="G212">
    <cfRule type="cellIs" dxfId="1" priority="409" operator="equal">
      <formula>0</formula>
    </cfRule>
  </conditionalFormatting>
  <conditionalFormatting sqref="G218">
    <cfRule type="cellIs" dxfId="1" priority="420" operator="equal">
      <formula>0</formula>
    </cfRule>
  </conditionalFormatting>
  <conditionalFormatting sqref="G224">
    <cfRule type="expression" dxfId="0" priority="433">
      <formula>G225=0</formula>
    </cfRule>
  </conditionalFormatting>
  <conditionalFormatting sqref="G225">
    <cfRule type="cellIs" dxfId="1" priority="438" operator="equal">
      <formula>0</formula>
    </cfRule>
  </conditionalFormatting>
  <conditionalFormatting sqref="G228">
    <cfRule type="cellIs" dxfId="1" priority="443" operator="equal">
      <formula>0</formula>
    </cfRule>
  </conditionalFormatting>
  <conditionalFormatting sqref="G230">
    <cfRule type="cellIs" dxfId="1" priority="446" operator="equal">
      <formula>0</formula>
    </cfRule>
  </conditionalFormatting>
  <conditionalFormatting sqref="G231">
    <cfRule type="cellIs" dxfId="1" priority="448" operator="equal">
      <formula>0</formula>
    </cfRule>
  </conditionalFormatting>
  <conditionalFormatting sqref="G237">
    <cfRule type="cellIs" dxfId="1" priority="457" operator="equal">
      <formula>0</formula>
    </cfRule>
  </conditionalFormatting>
  <conditionalFormatting sqref="G239">
    <cfRule type="cellIs" dxfId="1" priority="461" operator="equal">
      <formula>0</formula>
    </cfRule>
  </conditionalFormatting>
  <conditionalFormatting sqref="G241">
    <cfRule type="cellIs" dxfId="1" priority="465" operator="equal">
      <formula>0</formula>
    </cfRule>
  </conditionalFormatting>
  <conditionalFormatting sqref="G249">
    <cfRule type="expression" dxfId="0" priority="470">
      <formula>G250=0</formula>
    </cfRule>
  </conditionalFormatting>
  <conditionalFormatting sqref="G250">
    <cfRule type="cellIs" dxfId="1" priority="478" operator="equal">
      <formula>0</formula>
    </cfRule>
  </conditionalFormatting>
  <conditionalFormatting sqref="G251">
    <cfRule type="cellIs" dxfId="1" priority="486" operator="equal">
      <formula>0</formula>
    </cfRule>
  </conditionalFormatting>
  <conditionalFormatting sqref="G252">
    <cfRule type="cellIs" dxfId="1" priority="491" operator="equal">
      <formula>0</formula>
    </cfRule>
  </conditionalFormatting>
  <conditionalFormatting sqref="G253">
    <cfRule type="cellIs" dxfId="1" priority="496" operator="equal">
      <formula>0</formula>
    </cfRule>
  </conditionalFormatting>
  <conditionalFormatting sqref="G254">
    <cfRule type="cellIs" dxfId="1" priority="501" operator="equal">
      <formula>0</formula>
    </cfRule>
  </conditionalFormatting>
  <conditionalFormatting sqref="G255">
    <cfRule type="cellIs" dxfId="1" priority="506" operator="equal">
      <formula>0</formula>
    </cfRule>
  </conditionalFormatting>
  <conditionalFormatting sqref="G256">
    <cfRule type="cellIs" dxfId="1" priority="511" operator="equal">
      <formula>0</formula>
    </cfRule>
  </conditionalFormatting>
  <conditionalFormatting sqref="G259">
    <cfRule type="cellIs" dxfId="1" priority="524" operator="equal">
      <formula>0</formula>
    </cfRule>
  </conditionalFormatting>
  <conditionalFormatting sqref="G262">
    <cfRule type="cellIs" dxfId="1" priority="537" operator="equal">
      <formula>0</formula>
    </cfRule>
  </conditionalFormatting>
  <conditionalFormatting sqref="G263">
    <cfRule type="cellIs" dxfId="1" priority="542" operator="equal">
      <formula>0</formula>
    </cfRule>
  </conditionalFormatting>
  <conditionalFormatting sqref="G266">
    <cfRule type="cellIs" dxfId="1" priority="555" operator="equal">
      <formula>0</formula>
    </cfRule>
  </conditionalFormatting>
  <conditionalFormatting sqref="G268">
    <cfRule type="cellIs" dxfId="1" priority="565" operator="equal">
      <formula>0</formula>
    </cfRule>
  </conditionalFormatting>
  <conditionalFormatting sqref="G269">
    <cfRule type="cellIs" dxfId="1" priority="570" operator="equal">
      <formula>0</formula>
    </cfRule>
  </conditionalFormatting>
  <conditionalFormatting sqref="G270">
    <cfRule type="cellIs" dxfId="1" priority="575" operator="equal">
      <formula>0</formula>
    </cfRule>
  </conditionalFormatting>
  <conditionalFormatting sqref="G272">
    <cfRule type="cellIs" dxfId="1" priority="582" operator="equal">
      <formula>0</formula>
    </cfRule>
  </conditionalFormatting>
  <conditionalFormatting sqref="G274">
    <cfRule type="expression" dxfId="0" priority="589">
      <formula>G275=0</formula>
    </cfRule>
  </conditionalFormatting>
  <conditionalFormatting sqref="G275">
    <cfRule type="cellIs" dxfId="1" priority="594" operator="equal">
      <formula>0</formula>
    </cfRule>
  </conditionalFormatting>
  <conditionalFormatting sqref="G283">
    <cfRule type="cellIs" dxfId="1" priority="609" operator="equal">
      <formula>0</formula>
    </cfRule>
  </conditionalFormatting>
  <conditionalFormatting sqref="G287">
    <cfRule type="cellIs" dxfId="1" priority="617" operator="equal">
      <formula>0</formula>
    </cfRule>
  </conditionalFormatting>
  <conditionalFormatting sqref="G290">
    <cfRule type="cellIs" dxfId="1" priority="623" operator="equal">
      <formula>0</formula>
    </cfRule>
  </conditionalFormatting>
  <conditionalFormatting sqref="G291">
    <cfRule type="cellIs" dxfId="1" priority="625" operator="equal">
      <formula>0</formula>
    </cfRule>
  </conditionalFormatting>
  <conditionalFormatting sqref="G292">
    <cfRule type="cellIs" dxfId="1" priority="627" operator="equal">
      <formula>0</formula>
    </cfRule>
  </conditionalFormatting>
  <conditionalFormatting sqref="G293">
    <cfRule type="cellIs" dxfId="1" priority="629" operator="equal">
      <formula>0</formula>
    </cfRule>
  </conditionalFormatting>
  <conditionalFormatting sqref="G295">
    <cfRule type="cellIs" dxfId="1" priority="633" operator="equal">
      <formula>0</formula>
    </cfRule>
  </conditionalFormatting>
  <conditionalFormatting sqref="G299">
    <cfRule type="expression" dxfId="0" priority="641">
      <formula>G300=0</formula>
    </cfRule>
  </conditionalFormatting>
  <conditionalFormatting sqref="G300">
    <cfRule type="cellIs" dxfId="1" priority="649" operator="equal">
      <formula>0</formula>
    </cfRule>
  </conditionalFormatting>
  <conditionalFormatting sqref="G304">
    <cfRule type="cellIs" dxfId="1" priority="658" operator="equal">
      <formula>0</formula>
    </cfRule>
  </conditionalFormatting>
  <conditionalFormatting sqref="G306">
    <cfRule type="cellIs" dxfId="1" priority="662" operator="equal">
      <formula>0</formula>
    </cfRule>
  </conditionalFormatting>
  <conditionalFormatting sqref="G307">
    <cfRule type="cellIs" dxfId="1" priority="663" operator="equal">
      <formula>0</formula>
    </cfRule>
  </conditionalFormatting>
  <conditionalFormatting sqref="G308">
    <cfRule type="cellIs" dxfId="1" priority="666" operator="equal">
      <formula>0</formula>
    </cfRule>
  </conditionalFormatting>
  <conditionalFormatting sqref="G309">
    <cfRule type="cellIs" dxfId="1" priority="669" operator="equal">
      <formula>0</formula>
    </cfRule>
  </conditionalFormatting>
  <conditionalFormatting sqref="G311">
    <cfRule type="cellIs" dxfId="1" priority="673" operator="equal">
      <formula>0</formula>
    </cfRule>
  </conditionalFormatting>
  <conditionalFormatting sqref="G312">
    <cfRule type="cellIs" dxfId="1" priority="675" operator="equal">
      <formula>0</formula>
    </cfRule>
  </conditionalFormatting>
  <conditionalFormatting sqref="G314">
    <cfRule type="cellIs" dxfId="1" priority="678" operator="equal">
      <formula>0</formula>
    </cfRule>
  </conditionalFormatting>
  <conditionalFormatting sqref="G315">
    <cfRule type="cellIs" dxfId="1" priority="679" operator="equal">
      <formula>0</formula>
    </cfRule>
  </conditionalFormatting>
  <conditionalFormatting sqref="G316">
    <cfRule type="cellIs" dxfId="1" priority="682" operator="equal">
      <formula>0</formula>
    </cfRule>
  </conditionalFormatting>
  <conditionalFormatting sqref="G318">
    <cfRule type="cellIs" dxfId="1" priority="686" operator="equal">
      <formula>0</formula>
    </cfRule>
  </conditionalFormatting>
  <conditionalFormatting sqref="G319">
    <cfRule type="cellIs" dxfId="1" priority="688" operator="equal">
      <formula>0</formula>
    </cfRule>
  </conditionalFormatting>
  <conditionalFormatting sqref="G320">
    <cfRule type="cellIs" dxfId="1" priority="689" operator="equal">
      <formula>0</formula>
    </cfRule>
  </conditionalFormatting>
  <conditionalFormatting sqref="G322">
    <cfRule type="cellIs" dxfId="1" priority="693" operator="equal">
      <formula>0</formula>
    </cfRule>
  </conditionalFormatting>
  <conditionalFormatting sqref="G324">
    <cfRule type="expression" dxfId="0" priority="700">
      <formula>G325=0</formula>
    </cfRule>
  </conditionalFormatting>
  <conditionalFormatting sqref="G325">
    <cfRule type="cellIs" dxfId="1" priority="705" operator="equal">
      <formula>0</formula>
    </cfRule>
  </conditionalFormatting>
  <conditionalFormatting sqref="G330">
    <cfRule type="cellIs" dxfId="1" priority="712" operator="equal">
      <formula>0</formula>
    </cfRule>
  </conditionalFormatting>
  <conditionalFormatting sqref="G333">
    <cfRule type="cellIs" dxfId="1" priority="716" operator="equal">
      <formula>0</formula>
    </cfRule>
  </conditionalFormatting>
  <conditionalFormatting sqref="G334">
    <cfRule type="cellIs" dxfId="1" priority="718" operator="equal">
      <formula>0</formula>
    </cfRule>
  </conditionalFormatting>
  <conditionalFormatting sqref="G341">
    <cfRule type="cellIs" dxfId="1" priority="728" operator="equal">
      <formula>0</formula>
    </cfRule>
  </conditionalFormatting>
  <conditionalFormatting sqref="G343">
    <cfRule type="cellIs" dxfId="1" priority="732" operator="equal">
      <formula>0</formula>
    </cfRule>
  </conditionalFormatting>
  <conditionalFormatting sqref="G346">
    <cfRule type="cellIs" dxfId="1" priority="737" operator="equal">
      <formula>0</formula>
    </cfRule>
  </conditionalFormatting>
  <conditionalFormatting sqref="G377">
    <cfRule type="expression" dxfId="0" priority="773">
      <formula>G378=0</formula>
    </cfRule>
  </conditionalFormatting>
  <conditionalFormatting sqref="G378">
    <cfRule type="cellIs" dxfId="1" priority="781" operator="equal">
      <formula>0</formula>
    </cfRule>
  </conditionalFormatting>
  <conditionalFormatting sqref="G379">
    <cfRule type="cellIs" dxfId="1" priority="789" operator="equal">
      <formula>0</formula>
    </cfRule>
  </conditionalFormatting>
  <conditionalFormatting sqref="G380">
    <cfRule type="cellIs" dxfId="1" priority="792" operator="equal">
      <formula>0</formula>
    </cfRule>
  </conditionalFormatting>
  <conditionalFormatting sqref="G381">
    <cfRule type="cellIs" dxfId="1" priority="798" operator="equal">
      <formula>0</formula>
    </cfRule>
  </conditionalFormatting>
  <conditionalFormatting sqref="G398">
    <cfRule type="expression" dxfId="0" priority="842">
      <formula>G399=0</formula>
    </cfRule>
  </conditionalFormatting>
  <conditionalFormatting sqref="G399">
    <cfRule type="cellIs" dxfId="1" priority="847" operator="equal">
      <formula>0</formula>
    </cfRule>
  </conditionalFormatting>
  <conditionalFormatting sqref="G402">
    <cfRule type="cellIs" dxfId="1" priority="852" operator="equal">
      <formula>0</formula>
    </cfRule>
  </conditionalFormatting>
  <conditionalFormatting sqref="G411">
    <cfRule type="expression" dxfId="0" priority="858">
      <formula>G412=0</formula>
    </cfRule>
  </conditionalFormatting>
  <conditionalFormatting sqref="G412">
    <cfRule type="cellIs" dxfId="1" priority="863" operator="equal">
      <formula>0</formula>
    </cfRule>
  </conditionalFormatting>
  <conditionalFormatting sqref="G413">
    <cfRule type="cellIs" dxfId="1" priority="868" operator="equal">
      <formula>0</formula>
    </cfRule>
  </conditionalFormatting>
  <conditionalFormatting sqref="G414">
    <cfRule type="cellIs" dxfId="1" priority="873" operator="equal">
      <formula>0</formula>
    </cfRule>
  </conditionalFormatting>
  <conditionalFormatting sqref="G415">
    <cfRule type="cellIs" dxfId="1" priority="878" operator="equal">
      <formula>0</formula>
    </cfRule>
  </conditionalFormatting>
  <conditionalFormatting sqref="G441">
    <cfRule type="expression" dxfId="0" priority="914">
      <formula>G442=0</formula>
    </cfRule>
  </conditionalFormatting>
  <conditionalFormatting sqref="G442">
    <cfRule type="cellIs" dxfId="1" priority="922" operator="equal">
      <formula>0</formula>
    </cfRule>
  </conditionalFormatting>
  <conditionalFormatting sqref="G443">
    <cfRule type="cellIs" dxfId="1" priority="930" operator="equal">
      <formula>0</formula>
    </cfRule>
  </conditionalFormatting>
  <conditionalFormatting sqref="G445">
    <cfRule type="cellIs" dxfId="1" priority="941" operator="equal">
      <formula>0</formula>
    </cfRule>
  </conditionalFormatting>
  <conditionalFormatting sqref="G446">
    <cfRule type="cellIs" dxfId="1" priority="945" operator="equal">
      <formula>0</formula>
    </cfRule>
  </conditionalFormatting>
  <conditionalFormatting sqref="G448">
    <cfRule type="expression" dxfId="0" priority="951">
      <formula>G449=0</formula>
    </cfRule>
  </conditionalFormatting>
  <conditionalFormatting sqref="G449">
    <cfRule type="cellIs" dxfId="1" priority="956" operator="equal">
      <formula>0</formula>
    </cfRule>
  </conditionalFormatting>
  <conditionalFormatting sqref="G453">
    <cfRule type="cellIs" dxfId="1" priority="965" operator="equal">
      <formula>0</formula>
    </cfRule>
  </conditionalFormatting>
  <conditionalFormatting sqref="G455">
    <cfRule type="expression" dxfId="0" priority="970">
      <formula>G456=0</formula>
    </cfRule>
  </conditionalFormatting>
  <conditionalFormatting sqref="G456">
    <cfRule type="cellIs" dxfId="1" priority="976" operator="equal">
      <formula>0</formula>
    </cfRule>
  </conditionalFormatting>
  <conditionalFormatting sqref="G458">
    <cfRule type="cellIs" dxfId="1" priority="982" operator="equal">
      <formula>0</formula>
    </cfRule>
  </conditionalFormatting>
  <conditionalFormatting sqref="G459">
    <cfRule type="cellIs" dxfId="1" priority="985" operator="equal">
      <formula>0</formula>
    </cfRule>
  </conditionalFormatting>
  <conditionalFormatting sqref="G475">
    <cfRule type="expression" dxfId="0" priority="1006">
      <formula>G476=0</formula>
    </cfRule>
  </conditionalFormatting>
  <conditionalFormatting sqref="G476">
    <cfRule type="cellIs" dxfId="1" priority="1014" operator="equal">
      <formula>0</formula>
    </cfRule>
  </conditionalFormatting>
  <conditionalFormatting sqref="G477">
    <cfRule type="cellIs" dxfId="1" priority="1022" operator="equal">
      <formula>0</formula>
    </cfRule>
  </conditionalFormatting>
  <conditionalFormatting sqref="G478">
    <cfRule type="cellIs" dxfId="1" priority="1027" operator="equal">
      <formula>0</formula>
    </cfRule>
  </conditionalFormatting>
  <conditionalFormatting sqref="G480">
    <cfRule type="cellIs" dxfId="1" priority="1034" operator="equal">
      <formula>0</formula>
    </cfRule>
  </conditionalFormatting>
  <conditionalFormatting sqref="G481">
    <cfRule type="cellIs" dxfId="1" priority="1041" operator="equal">
      <formula>0</formula>
    </cfRule>
  </conditionalFormatting>
  <conditionalFormatting sqref="G482">
    <cfRule type="cellIs" dxfId="1" priority="1046" operator="equal">
      <formula>0</formula>
    </cfRule>
  </conditionalFormatting>
  <conditionalFormatting sqref="G485">
    <cfRule type="cellIs" dxfId="1" priority="1059" operator="equal">
      <formula>0</formula>
    </cfRule>
  </conditionalFormatting>
  <conditionalFormatting sqref="G486">
    <cfRule type="cellIs" dxfId="1" priority="1065" operator="equal">
      <formula>0</formula>
    </cfRule>
  </conditionalFormatting>
  <conditionalFormatting sqref="G487">
    <cfRule type="cellIs" dxfId="1" priority="1070" operator="equal">
      <formula>0</formula>
    </cfRule>
  </conditionalFormatting>
  <conditionalFormatting sqref="G490">
    <cfRule type="cellIs" dxfId="1" priority="1083" operator="equal">
      <formula>0</formula>
    </cfRule>
  </conditionalFormatting>
  <conditionalFormatting sqref="G491">
    <cfRule type="cellIs" dxfId="1" priority="1088" operator="equal">
      <formula>0</formula>
    </cfRule>
  </conditionalFormatting>
  <conditionalFormatting sqref="G492">
    <cfRule type="cellIs" dxfId="1" priority="1093" operator="equal">
      <formula>0</formula>
    </cfRule>
  </conditionalFormatting>
  <conditionalFormatting sqref="G494">
    <cfRule type="cellIs" dxfId="1" priority="1102" operator="equal">
      <formula>0</formula>
    </cfRule>
  </conditionalFormatting>
  <conditionalFormatting sqref="G495">
    <cfRule type="cellIs" dxfId="1" priority="1107" operator="equal">
      <formula>0</formula>
    </cfRule>
  </conditionalFormatting>
  <conditionalFormatting sqref="G497">
    <cfRule type="cellIs" dxfId="1" priority="1116" operator="equal">
      <formula>0</formula>
    </cfRule>
  </conditionalFormatting>
  <conditionalFormatting sqref="G498">
    <cfRule type="cellIs" dxfId="1" priority="1121" operator="equal">
      <formula>0</formula>
    </cfRule>
  </conditionalFormatting>
  <conditionalFormatting sqref="G500">
    <cfRule type="expression" dxfId="0" priority="1126">
      <formula>G501=0</formula>
    </cfRule>
  </conditionalFormatting>
  <conditionalFormatting sqref="G501">
    <cfRule type="cellIs" dxfId="1" priority="1131" operator="equal">
      <formula>0</formula>
    </cfRule>
  </conditionalFormatting>
  <conditionalFormatting sqref="G509">
    <cfRule type="cellIs" dxfId="1" priority="1146" operator="equal">
      <formula>0</formula>
    </cfRule>
  </conditionalFormatting>
  <conditionalFormatting sqref="G51">
    <cfRule type="expression" dxfId="0" priority="38">
      <formula>G52=0</formula>
    </cfRule>
  </conditionalFormatting>
  <conditionalFormatting sqref="G513">
    <cfRule type="cellIs" dxfId="1" priority="1154" operator="equal">
      <formula>0</formula>
    </cfRule>
  </conditionalFormatting>
  <conditionalFormatting sqref="G516">
    <cfRule type="cellIs" dxfId="1" priority="1160" operator="equal">
      <formula>0</formula>
    </cfRule>
  </conditionalFormatting>
  <conditionalFormatting sqref="G517">
    <cfRule type="cellIs" dxfId="1" priority="1162" operator="equal">
      <formula>0</formula>
    </cfRule>
  </conditionalFormatting>
  <conditionalFormatting sqref="G519">
    <cfRule type="cellIs" dxfId="1" priority="1166" operator="equal">
      <formula>0</formula>
    </cfRule>
  </conditionalFormatting>
  <conditionalFormatting sqref="G52">
    <cfRule type="cellIs" dxfId="1" priority="44" operator="equal">
      <formula>0</formula>
    </cfRule>
  </conditionalFormatting>
  <conditionalFormatting sqref="G521">
    <cfRule type="cellIs" dxfId="1" priority="1170" operator="equal">
      <formula>0</formula>
    </cfRule>
  </conditionalFormatting>
  <conditionalFormatting sqref="G525">
    <cfRule type="expression" dxfId="0" priority="1178">
      <formula>G526=0</formula>
    </cfRule>
  </conditionalFormatting>
  <conditionalFormatting sqref="G526">
    <cfRule type="cellIs" dxfId="1" priority="1186" operator="equal">
      <formula>0</formula>
    </cfRule>
  </conditionalFormatting>
  <conditionalFormatting sqref="G530">
    <cfRule type="cellIs" dxfId="1" priority="1195" operator="equal">
      <formula>0</formula>
    </cfRule>
  </conditionalFormatting>
  <conditionalFormatting sqref="G532">
    <cfRule type="cellIs" dxfId="1" priority="1199" operator="equal">
      <formula>0</formula>
    </cfRule>
  </conditionalFormatting>
  <conditionalFormatting sqref="G533">
    <cfRule type="cellIs" dxfId="1" priority="1200" operator="equal">
      <formula>0</formula>
    </cfRule>
  </conditionalFormatting>
  <conditionalFormatting sqref="G534">
    <cfRule type="cellIs" dxfId="1" priority="1203" operator="equal">
      <formula>0</formula>
    </cfRule>
  </conditionalFormatting>
  <conditionalFormatting sqref="G535">
    <cfRule type="cellIs" dxfId="1" priority="1206" operator="equal">
      <formula>0</formula>
    </cfRule>
  </conditionalFormatting>
  <conditionalFormatting sqref="G537">
    <cfRule type="cellIs" dxfId="1" priority="1210" operator="equal">
      <formula>0</formula>
    </cfRule>
  </conditionalFormatting>
  <conditionalFormatting sqref="G538">
    <cfRule type="cellIs" dxfId="1" priority="1212" operator="equal">
      <formula>0</formula>
    </cfRule>
  </conditionalFormatting>
  <conditionalFormatting sqref="G540">
    <cfRule type="cellIs" dxfId="1" priority="1215" operator="equal">
      <formula>0</formula>
    </cfRule>
  </conditionalFormatting>
  <conditionalFormatting sqref="G541">
    <cfRule type="cellIs" dxfId="1" priority="1216" operator="equal">
      <formula>0</formula>
    </cfRule>
  </conditionalFormatting>
  <conditionalFormatting sqref="G542">
    <cfRule type="cellIs" dxfId="1" priority="1219" operator="equal">
      <formula>0</formula>
    </cfRule>
  </conditionalFormatting>
  <conditionalFormatting sqref="G545">
    <cfRule type="cellIs" dxfId="1" priority="1224" operator="equal">
      <formula>0</formula>
    </cfRule>
  </conditionalFormatting>
  <conditionalFormatting sqref="G546">
    <cfRule type="cellIs" dxfId="1" priority="1225" operator="equal">
      <formula>0</formula>
    </cfRule>
  </conditionalFormatting>
  <conditionalFormatting sqref="G548">
    <cfRule type="cellIs" dxfId="1" priority="1229" operator="equal">
      <formula>0</formula>
    </cfRule>
  </conditionalFormatting>
  <conditionalFormatting sqref="G55">
    <cfRule type="cellIs" dxfId="1" priority="58" operator="equal">
      <formula>0</formula>
    </cfRule>
  </conditionalFormatting>
  <conditionalFormatting sqref="G550">
    <cfRule type="expression" dxfId="0" priority="1236">
      <formula>G551=0</formula>
    </cfRule>
  </conditionalFormatting>
  <conditionalFormatting sqref="G551">
    <cfRule type="cellIs" dxfId="1" priority="1241" operator="equal">
      <formula>0</formula>
    </cfRule>
  </conditionalFormatting>
  <conditionalFormatting sqref="G556">
    <cfRule type="cellIs" dxfId="1" priority="1248" operator="equal">
      <formula>0</formula>
    </cfRule>
  </conditionalFormatting>
  <conditionalFormatting sqref="G559">
    <cfRule type="cellIs" dxfId="1" priority="1252" operator="equal">
      <formula>0</formula>
    </cfRule>
  </conditionalFormatting>
  <conditionalFormatting sqref="G560">
    <cfRule type="cellIs" dxfId="1" priority="1254" operator="equal">
      <formula>0</formula>
    </cfRule>
  </conditionalFormatting>
  <conditionalFormatting sqref="G567">
    <cfRule type="cellIs" dxfId="1" priority="1264" operator="equal">
      <formula>0</formula>
    </cfRule>
  </conditionalFormatting>
  <conditionalFormatting sqref="G572">
    <cfRule type="cellIs" dxfId="1" priority="1272" operator="equal">
      <formula>0</formula>
    </cfRule>
  </conditionalFormatting>
  <conditionalFormatting sqref="G581">
    <cfRule type="expression" dxfId="0" priority="1278">
      <formula>G582=0</formula>
    </cfRule>
  </conditionalFormatting>
  <conditionalFormatting sqref="G582">
    <cfRule type="cellIs" dxfId="1" priority="1286" operator="equal">
      <formula>0</formula>
    </cfRule>
  </conditionalFormatting>
  <conditionalFormatting sqref="G583">
    <cfRule type="cellIs" dxfId="1" priority="1294" operator="equal">
      <formula>0</formula>
    </cfRule>
  </conditionalFormatting>
  <conditionalFormatting sqref="G584">
    <cfRule type="cellIs" dxfId="1" priority="1299" operator="equal">
      <formula>0</formula>
    </cfRule>
  </conditionalFormatting>
  <conditionalFormatting sqref="G585">
    <cfRule type="cellIs" dxfId="1" priority="1304" operator="equal">
      <formula>0</formula>
    </cfRule>
  </conditionalFormatting>
  <conditionalFormatting sqref="G586">
    <cfRule type="cellIs" dxfId="1" priority="1310" operator="equal">
      <formula>0</formula>
    </cfRule>
  </conditionalFormatting>
  <conditionalFormatting sqref="G587">
    <cfRule type="cellIs" dxfId="1" priority="1315" operator="equal">
      <formula>0</formula>
    </cfRule>
  </conditionalFormatting>
  <conditionalFormatting sqref="G588">
    <cfRule type="cellIs" dxfId="1" priority="1320" operator="equal">
      <formula>0</formula>
    </cfRule>
  </conditionalFormatting>
  <conditionalFormatting sqref="G589">
    <cfRule type="cellIs" dxfId="1" priority="1324" operator="equal">
      <formula>0</formula>
    </cfRule>
  </conditionalFormatting>
  <conditionalFormatting sqref="G592">
    <cfRule type="expression" dxfId="0" priority="1335">
      <formula>G593=0</formula>
    </cfRule>
  </conditionalFormatting>
  <conditionalFormatting sqref="G593">
    <cfRule type="cellIs" dxfId="1" priority="1340" operator="equal">
      <formula>0</formula>
    </cfRule>
  </conditionalFormatting>
  <conditionalFormatting sqref="G601">
    <cfRule type="cellIs" dxfId="1" priority="1357" operator="equal">
      <formula>0</formula>
    </cfRule>
  </conditionalFormatting>
  <conditionalFormatting sqref="G603">
    <cfRule type="expression" dxfId="0" priority="1362">
      <formula>G604=0</formula>
    </cfRule>
  </conditionalFormatting>
  <conditionalFormatting sqref="G604">
    <cfRule type="cellIs" dxfId="1" priority="1369" operator="equal">
      <formula>0</formula>
    </cfRule>
  </conditionalFormatting>
  <conditionalFormatting sqref="G607">
    <cfRule type="cellIs" dxfId="1" priority="1376" operator="equal">
      <formula>0</formula>
    </cfRule>
  </conditionalFormatting>
  <conditionalFormatting sqref="G609">
    <cfRule type="cellIs" dxfId="1" priority="1380" operator="equal">
      <formula>0</formula>
    </cfRule>
  </conditionalFormatting>
  <conditionalFormatting sqref="G612">
    <cfRule type="cellIs" dxfId="1" priority="1385" operator="equal">
      <formula>0</formula>
    </cfRule>
  </conditionalFormatting>
  <conditionalFormatting sqref="G631">
    <cfRule type="expression" dxfId="0" priority="1408">
      <formula>G632=0</formula>
    </cfRule>
  </conditionalFormatting>
  <conditionalFormatting sqref="G632">
    <cfRule type="cellIs" dxfId="1" priority="1413" operator="equal">
      <formula>0</formula>
    </cfRule>
  </conditionalFormatting>
  <conditionalFormatting sqref="G633">
    <cfRule type="cellIs" dxfId="1" priority="1418" operator="equal">
      <formula>0</formula>
    </cfRule>
  </conditionalFormatting>
  <conditionalFormatting sqref="G653">
    <cfRule type="expression" dxfId="0" priority="1441">
      <formula>G654=0</formula>
    </cfRule>
  </conditionalFormatting>
  <conditionalFormatting sqref="G654">
    <cfRule type="cellIs" dxfId="1" priority="1449" operator="equal">
      <formula>0</formula>
    </cfRule>
  </conditionalFormatting>
  <conditionalFormatting sqref="G655">
    <cfRule type="cellIs" dxfId="1" priority="1455" operator="equal">
      <formula>0</formula>
    </cfRule>
  </conditionalFormatting>
  <conditionalFormatting sqref="G656">
    <cfRule type="cellIs" dxfId="1" priority="1462" operator="equal">
      <formula>0</formula>
    </cfRule>
  </conditionalFormatting>
  <conditionalFormatting sqref="G660">
    <cfRule type="cellIs" dxfId="1" priority="1479" operator="equal">
      <formula>0</formula>
    </cfRule>
  </conditionalFormatting>
  <conditionalFormatting sqref="G661">
    <cfRule type="cellIs" dxfId="1" priority="1484" operator="equal">
      <formula>0</formula>
    </cfRule>
  </conditionalFormatting>
  <conditionalFormatting sqref="G662">
    <cfRule type="cellIs" dxfId="1" priority="1489" operator="equal">
      <formula>0</formula>
    </cfRule>
  </conditionalFormatting>
  <conditionalFormatting sqref="G663">
    <cfRule type="cellIs" dxfId="1" priority="1495" operator="equal">
      <formula>0</formula>
    </cfRule>
  </conditionalFormatting>
  <conditionalFormatting sqref="G664">
    <cfRule type="cellIs" dxfId="1" priority="1500" operator="equal">
      <formula>0</formula>
    </cfRule>
  </conditionalFormatting>
  <conditionalFormatting sqref="G665">
    <cfRule type="cellIs" dxfId="1" priority="1506" operator="equal">
      <formula>0</formula>
    </cfRule>
  </conditionalFormatting>
  <conditionalFormatting sqref="G666">
    <cfRule type="cellIs" dxfId="1" priority="1511" operator="equal">
      <formula>0</formula>
    </cfRule>
  </conditionalFormatting>
  <conditionalFormatting sqref="G669">
    <cfRule type="expression" dxfId="0" priority="1520">
      <formula>G670=0</formula>
    </cfRule>
  </conditionalFormatting>
  <conditionalFormatting sqref="G670">
    <cfRule type="cellIs" dxfId="1" priority="1525" operator="equal">
      <formula>0</formula>
    </cfRule>
  </conditionalFormatting>
  <conditionalFormatting sqref="G677">
    <cfRule type="cellIs" dxfId="1" priority="1539" operator="equal">
      <formula>0</formula>
    </cfRule>
  </conditionalFormatting>
  <conditionalFormatting sqref="G679">
    <cfRule type="cellIs" dxfId="1" priority="1543" operator="equal">
      <formula>0</formula>
    </cfRule>
  </conditionalFormatting>
  <conditionalFormatting sqref="G681">
    <cfRule type="cellIs" dxfId="1" priority="1547" operator="equal">
      <formula>0</formula>
    </cfRule>
  </conditionalFormatting>
  <conditionalFormatting sqref="G682">
    <cfRule type="cellIs" dxfId="1" priority="1549" operator="equal">
      <formula>0</formula>
    </cfRule>
  </conditionalFormatting>
  <conditionalFormatting sqref="G683">
    <cfRule type="cellIs" dxfId="1" priority="1551" operator="equal">
      <formula>0</formula>
    </cfRule>
  </conditionalFormatting>
  <conditionalFormatting sqref="G685">
    <cfRule type="expression" dxfId="0" priority="1556">
      <formula>G686=0</formula>
    </cfRule>
  </conditionalFormatting>
  <conditionalFormatting sqref="G686">
    <cfRule type="cellIs" dxfId="1" priority="1564" operator="equal">
      <formula>0</formula>
    </cfRule>
  </conditionalFormatting>
  <conditionalFormatting sqref="G690">
    <cfRule type="cellIs" dxfId="1" priority="1574" operator="equal">
      <formula>0</formula>
    </cfRule>
  </conditionalFormatting>
  <conditionalFormatting sqref="G701">
    <cfRule type="expression" dxfId="0" priority="1594">
      <formula>G702=0</formula>
    </cfRule>
  </conditionalFormatting>
  <conditionalFormatting sqref="G702">
    <cfRule type="cellIs" dxfId="1" priority="1599" operator="equal">
      <formula>0</formula>
    </cfRule>
  </conditionalFormatting>
  <conditionalFormatting sqref="G705">
    <cfRule type="cellIs" dxfId="1" priority="1604" operator="equal">
      <formula>0</formula>
    </cfRule>
  </conditionalFormatting>
  <conditionalFormatting sqref="G714">
    <cfRule type="cellIs" dxfId="1" priority="1617" operator="equal">
      <formula>0</formula>
    </cfRule>
  </conditionalFormatting>
  <conditionalFormatting sqref="G723">
    <cfRule type="expression" dxfId="0" priority="1624">
      <formula>G724=0</formula>
    </cfRule>
  </conditionalFormatting>
  <conditionalFormatting sqref="G724">
    <cfRule type="cellIs" dxfId="1" priority="1630" operator="equal">
      <formula>0</formula>
    </cfRule>
  </conditionalFormatting>
  <conditionalFormatting sqref="G725">
    <cfRule type="cellIs" dxfId="1" priority="1636" operator="equal">
      <formula>0</formula>
    </cfRule>
  </conditionalFormatting>
  <conditionalFormatting sqref="G727">
    <cfRule type="cellIs" dxfId="1" priority="1645" operator="equal">
      <formula>0</formula>
    </cfRule>
  </conditionalFormatting>
  <conditionalFormatting sqref="G729">
    <cfRule type="cellIs" dxfId="1" priority="1654" operator="equal">
      <formula>0</formula>
    </cfRule>
  </conditionalFormatting>
  <conditionalFormatting sqref="G730">
    <cfRule type="cellIs" dxfId="1" priority="1659" operator="equal">
      <formula>0</formula>
    </cfRule>
  </conditionalFormatting>
  <conditionalFormatting sqref="G769">
    <cfRule type="expression" dxfId="0" priority="1725">
      <formula>G770=0</formula>
    </cfRule>
  </conditionalFormatting>
  <conditionalFormatting sqref="G770">
    <cfRule type="cellIs" dxfId="1" priority="1731" operator="equal">
      <formula>0</formula>
    </cfRule>
  </conditionalFormatting>
  <conditionalFormatting sqref="G771">
    <cfRule type="cellIs" dxfId="1" priority="1737" operator="equal">
      <formula>0</formula>
    </cfRule>
  </conditionalFormatting>
  <conditionalFormatting sqref="G772">
    <cfRule type="cellIs" dxfId="1" priority="1742" operator="equal">
      <formula>0</formula>
    </cfRule>
  </conditionalFormatting>
  <conditionalFormatting sqref="G773">
    <cfRule type="cellIs" dxfId="1" priority="1747" operator="equal">
      <formula>0</formula>
    </cfRule>
  </conditionalFormatting>
  <conditionalFormatting sqref="G774">
    <cfRule type="cellIs" dxfId="1" priority="1752" operator="equal">
      <formula>0</formula>
    </cfRule>
  </conditionalFormatting>
  <conditionalFormatting sqref="G775">
    <cfRule type="cellIs" dxfId="1" priority="1757" operator="equal">
      <formula>0</formula>
    </cfRule>
  </conditionalFormatting>
  <conditionalFormatting sqref="G776">
    <cfRule type="cellIs" dxfId="1" priority="1762" operator="equal">
      <formula>0</formula>
    </cfRule>
  </conditionalFormatting>
  <conditionalFormatting sqref="G777">
    <cfRule type="cellIs" dxfId="1" priority="1767" operator="equal">
      <formula>0</formula>
    </cfRule>
  </conditionalFormatting>
  <conditionalFormatting sqref="G778">
    <cfRule type="cellIs" dxfId="1" priority="1772" operator="equal">
      <formula>0</formula>
    </cfRule>
  </conditionalFormatting>
  <conditionalFormatting sqref="G779">
    <cfRule type="cellIs" dxfId="1" priority="1777" operator="equal">
      <formula>0</formula>
    </cfRule>
  </conditionalFormatting>
  <conditionalFormatting sqref="G793">
    <cfRule type="expression" dxfId="0" priority="1808">
      <formula>G794=0</formula>
    </cfRule>
  </conditionalFormatting>
  <conditionalFormatting sqref="G794">
    <cfRule type="cellIs" dxfId="1" priority="1815" operator="equal">
      <formula>0</formula>
    </cfRule>
  </conditionalFormatting>
  <conditionalFormatting sqref="G799">
    <cfRule type="cellIs" dxfId="1" priority="1826" operator="equal">
      <formula>0</formula>
    </cfRule>
  </conditionalFormatting>
  <conditionalFormatting sqref="G802">
    <cfRule type="cellIs" dxfId="1" priority="1832" operator="equal">
      <formula>0</formula>
    </cfRule>
  </conditionalFormatting>
  <conditionalFormatting sqref="H129">
    <cfRule type="expression" dxfId="0" priority="175">
      <formula>H130=0</formula>
    </cfRule>
  </conditionalFormatting>
  <conditionalFormatting sqref="H130">
    <cfRule type="cellIs" dxfId="1" priority="181" operator="equal">
      <formula>0</formula>
    </cfRule>
  </conditionalFormatting>
  <conditionalFormatting sqref="H132">
    <cfRule type="cellIs" dxfId="1" priority="190" operator="equal">
      <formula>0</formula>
    </cfRule>
  </conditionalFormatting>
  <conditionalFormatting sqref="H134">
    <cfRule type="cellIs" dxfId="1" priority="199" operator="equal">
      <formula>0</formula>
    </cfRule>
  </conditionalFormatting>
  <conditionalFormatting sqref="H167">
    <cfRule type="expression" dxfId="0" priority="256">
      <formula>H168=0</formula>
    </cfRule>
  </conditionalFormatting>
  <conditionalFormatting sqref="H168">
    <cfRule type="cellIs" dxfId="1" priority="264" operator="equal">
      <formula>0</formula>
    </cfRule>
  </conditionalFormatting>
  <conditionalFormatting sqref="H174">
    <cfRule type="cellIs" dxfId="1" priority="291" operator="equal">
      <formula>0</formula>
    </cfRule>
  </conditionalFormatting>
  <conditionalFormatting sqref="H176">
    <cfRule type="cellIs" dxfId="1" priority="300" operator="equal">
      <formula>0</formula>
    </cfRule>
  </conditionalFormatting>
  <conditionalFormatting sqref="H177">
    <cfRule type="cellIs" dxfId="1" priority="305" operator="equal">
      <formula>0</formula>
    </cfRule>
  </conditionalFormatting>
  <conditionalFormatting sqref="H178">
    <cfRule type="cellIs" dxfId="1" priority="310" operator="equal">
      <formula>0</formula>
    </cfRule>
  </conditionalFormatting>
  <conditionalFormatting sqref="H180">
    <cfRule type="cellIs" dxfId="1" priority="319" operator="equal">
      <formula>0</formula>
    </cfRule>
  </conditionalFormatting>
  <conditionalFormatting sqref="H181">
    <cfRule type="cellIs" dxfId="1" priority="325" operator="equal">
      <formula>0</formula>
    </cfRule>
  </conditionalFormatting>
  <conditionalFormatting sqref="H182">
    <cfRule type="cellIs" dxfId="1" priority="331" operator="equal">
      <formula>0</formula>
    </cfRule>
  </conditionalFormatting>
  <conditionalFormatting sqref="H184">
    <cfRule type="cellIs" dxfId="1" priority="338" operator="equal">
      <formula>0</formula>
    </cfRule>
  </conditionalFormatting>
  <conditionalFormatting sqref="H205">
    <cfRule type="expression" dxfId="0" priority="386">
      <formula>H206=0</formula>
    </cfRule>
  </conditionalFormatting>
  <conditionalFormatting sqref="H206">
    <cfRule type="cellIs" dxfId="1" priority="394" operator="equal">
      <formula>0</formula>
    </cfRule>
  </conditionalFormatting>
  <conditionalFormatting sqref="H210">
    <cfRule type="cellIs" dxfId="1" priority="404" operator="equal">
      <formula>0</formula>
    </cfRule>
  </conditionalFormatting>
  <conditionalFormatting sqref="H211">
    <cfRule type="cellIs" dxfId="1" priority="407" operator="equal">
      <formula>0</formula>
    </cfRule>
  </conditionalFormatting>
  <conditionalFormatting sqref="H212">
    <cfRule type="cellIs" dxfId="1" priority="410" operator="equal">
      <formula>0</formula>
    </cfRule>
  </conditionalFormatting>
  <conditionalFormatting sqref="H214">
    <cfRule type="cellIs" dxfId="1" priority="414" operator="equal">
      <formula>0</formula>
    </cfRule>
  </conditionalFormatting>
  <conditionalFormatting sqref="H215">
    <cfRule type="cellIs" dxfId="1" priority="415" operator="equal">
      <formula>0</formula>
    </cfRule>
  </conditionalFormatting>
  <conditionalFormatting sqref="H217">
    <cfRule type="cellIs" dxfId="1" priority="417" operator="equal">
      <formula>0</formula>
    </cfRule>
  </conditionalFormatting>
  <conditionalFormatting sqref="H218">
    <cfRule type="cellIs" dxfId="1" priority="421" operator="equal">
      <formula>0</formula>
    </cfRule>
  </conditionalFormatting>
  <conditionalFormatting sqref="H220">
    <cfRule type="cellIs" dxfId="1" priority="424" operator="equal">
      <formula>0</formula>
    </cfRule>
  </conditionalFormatting>
  <conditionalFormatting sqref="H221">
    <cfRule type="cellIs" dxfId="1" priority="425" operator="equal">
      <formula>0</formula>
    </cfRule>
  </conditionalFormatting>
  <conditionalFormatting sqref="H249">
    <cfRule type="expression" dxfId="0" priority="471">
      <formula>H250=0</formula>
    </cfRule>
  </conditionalFormatting>
  <conditionalFormatting sqref="H250">
    <cfRule type="cellIs" dxfId="1" priority="479" operator="equal">
      <formula>0</formula>
    </cfRule>
  </conditionalFormatting>
  <conditionalFormatting sqref="H257">
    <cfRule type="cellIs" dxfId="1" priority="515" operator="equal">
      <formula>0</formula>
    </cfRule>
  </conditionalFormatting>
  <conditionalFormatting sqref="H258">
    <cfRule type="cellIs" dxfId="1" priority="519" operator="equal">
      <formula>0</formula>
    </cfRule>
  </conditionalFormatting>
  <conditionalFormatting sqref="H260">
    <cfRule type="cellIs" dxfId="1" priority="528" operator="equal">
      <formula>0</formula>
    </cfRule>
  </conditionalFormatting>
  <conditionalFormatting sqref="H261">
    <cfRule type="cellIs" dxfId="1" priority="532" operator="equal">
      <formula>0</formula>
    </cfRule>
  </conditionalFormatting>
  <conditionalFormatting sqref="H264">
    <cfRule type="cellIs" dxfId="1" priority="546" operator="equal">
      <formula>0</formula>
    </cfRule>
  </conditionalFormatting>
  <conditionalFormatting sqref="H265">
    <cfRule type="cellIs" dxfId="1" priority="550" operator="equal">
      <formula>0</formula>
    </cfRule>
  </conditionalFormatting>
  <conditionalFormatting sqref="H266">
    <cfRule type="cellIs" dxfId="1" priority="556" operator="equal">
      <formula>0</formula>
    </cfRule>
  </conditionalFormatting>
  <conditionalFormatting sqref="H267">
    <cfRule type="cellIs" dxfId="1" priority="560" operator="equal">
      <formula>0</formula>
    </cfRule>
  </conditionalFormatting>
  <conditionalFormatting sqref="H271">
    <cfRule type="cellIs" dxfId="1" priority="579" operator="equal">
      <formula>0</formula>
    </cfRule>
  </conditionalFormatting>
  <conditionalFormatting sqref="H299">
    <cfRule type="expression" dxfId="0" priority="642">
      <formula>H300=0</formula>
    </cfRule>
  </conditionalFormatting>
  <conditionalFormatting sqref="H300">
    <cfRule type="cellIs" dxfId="1" priority="650" operator="equal">
      <formula>0</formula>
    </cfRule>
  </conditionalFormatting>
  <conditionalFormatting sqref="H305">
    <cfRule type="cellIs" dxfId="1" priority="660" operator="equal">
      <formula>0</formula>
    </cfRule>
  </conditionalFormatting>
  <conditionalFormatting sqref="H308">
    <cfRule type="cellIs" dxfId="1" priority="667" operator="equal">
      <formula>0</formula>
    </cfRule>
  </conditionalFormatting>
  <conditionalFormatting sqref="H309">
    <cfRule type="cellIs" dxfId="1" priority="670" operator="equal">
      <formula>0</formula>
    </cfRule>
  </conditionalFormatting>
  <conditionalFormatting sqref="H311">
    <cfRule type="cellIs" dxfId="1" priority="674" operator="equal">
      <formula>0</formula>
    </cfRule>
  </conditionalFormatting>
  <conditionalFormatting sqref="H316">
    <cfRule type="cellIs" dxfId="1" priority="683" operator="equal">
      <formula>0</formula>
    </cfRule>
  </conditionalFormatting>
  <conditionalFormatting sqref="H317">
    <cfRule type="cellIs" dxfId="1" priority="684" operator="equal">
      <formula>0</formula>
    </cfRule>
  </conditionalFormatting>
  <conditionalFormatting sqref="H321">
    <cfRule type="cellIs" dxfId="1" priority="692" operator="equal">
      <formula>0</formula>
    </cfRule>
  </conditionalFormatting>
  <conditionalFormatting sqref="H322">
    <cfRule type="cellIs" dxfId="1" priority="694" operator="equal">
      <formula>0</formula>
    </cfRule>
  </conditionalFormatting>
  <conditionalFormatting sqref="H377">
    <cfRule type="expression" dxfId="0" priority="774">
      <formula>H378=0</formula>
    </cfRule>
  </conditionalFormatting>
  <conditionalFormatting sqref="H378">
    <cfRule type="cellIs" dxfId="1" priority="782" operator="equal">
      <formula>0</formula>
    </cfRule>
  </conditionalFormatting>
  <conditionalFormatting sqref="H380">
    <cfRule type="cellIs" dxfId="1" priority="793" operator="equal">
      <formula>0</formula>
    </cfRule>
  </conditionalFormatting>
  <conditionalFormatting sqref="H381">
    <cfRule type="cellIs" dxfId="1" priority="799" operator="equal">
      <formula>0</formula>
    </cfRule>
  </conditionalFormatting>
  <conditionalFormatting sqref="H441">
    <cfRule type="expression" dxfId="0" priority="915">
      <formula>H442=0</formula>
    </cfRule>
  </conditionalFormatting>
  <conditionalFormatting sqref="H442">
    <cfRule type="cellIs" dxfId="1" priority="923" operator="equal">
      <formula>0</formula>
    </cfRule>
  </conditionalFormatting>
  <conditionalFormatting sqref="H443">
    <cfRule type="cellIs" dxfId="1" priority="931" operator="equal">
      <formula>0</formula>
    </cfRule>
  </conditionalFormatting>
  <conditionalFormatting sqref="H445">
    <cfRule type="cellIs" dxfId="1" priority="942" operator="equal">
      <formula>0</formula>
    </cfRule>
  </conditionalFormatting>
  <conditionalFormatting sqref="H446">
    <cfRule type="cellIs" dxfId="1" priority="946" operator="equal">
      <formula>0</formula>
    </cfRule>
  </conditionalFormatting>
  <conditionalFormatting sqref="H455">
    <cfRule type="expression" dxfId="0" priority="971">
      <formula>H456=0</formula>
    </cfRule>
  </conditionalFormatting>
  <conditionalFormatting sqref="H456">
    <cfRule type="cellIs" dxfId="1" priority="977" operator="equal">
      <formula>0</formula>
    </cfRule>
  </conditionalFormatting>
  <conditionalFormatting sqref="H460">
    <cfRule type="cellIs" dxfId="1" priority="987" operator="equal">
      <formula>0</formula>
    </cfRule>
  </conditionalFormatting>
  <conditionalFormatting sqref="H475">
    <cfRule type="expression" dxfId="0" priority="1007">
      <formula>H476=0</formula>
    </cfRule>
  </conditionalFormatting>
  <conditionalFormatting sqref="H476">
    <cfRule type="cellIs" dxfId="1" priority="1015" operator="equal">
      <formula>0</formula>
    </cfRule>
  </conditionalFormatting>
  <conditionalFormatting sqref="H479">
    <cfRule type="cellIs" dxfId="1" priority="1031" operator="equal">
      <formula>0</formula>
    </cfRule>
  </conditionalFormatting>
  <conditionalFormatting sqref="H483">
    <cfRule type="cellIs" dxfId="1" priority="1050" operator="equal">
      <formula>0</formula>
    </cfRule>
  </conditionalFormatting>
  <conditionalFormatting sqref="H484">
    <cfRule type="cellIs" dxfId="1" priority="1054" operator="equal">
      <formula>0</formula>
    </cfRule>
  </conditionalFormatting>
  <conditionalFormatting sqref="H485">
    <cfRule type="cellIs" dxfId="1" priority="1060" operator="equal">
      <formula>0</formula>
    </cfRule>
  </conditionalFormatting>
  <conditionalFormatting sqref="H488">
    <cfRule type="cellIs" dxfId="1" priority="1074" operator="equal">
      <formula>0</formula>
    </cfRule>
  </conditionalFormatting>
  <conditionalFormatting sqref="H489">
    <cfRule type="cellIs" dxfId="1" priority="1078" operator="equal">
      <formula>0</formula>
    </cfRule>
  </conditionalFormatting>
  <conditionalFormatting sqref="H493">
    <cfRule type="cellIs" dxfId="1" priority="1097" operator="equal">
      <formula>0</formula>
    </cfRule>
  </conditionalFormatting>
  <conditionalFormatting sqref="H496">
    <cfRule type="cellIs" dxfId="1" priority="1111" operator="equal">
      <formula>0</formula>
    </cfRule>
  </conditionalFormatting>
  <conditionalFormatting sqref="H51">
    <cfRule type="expression" dxfId="0" priority="39">
      <formula>H52=0</formula>
    </cfRule>
  </conditionalFormatting>
  <conditionalFormatting sqref="H52">
    <cfRule type="cellIs" dxfId="1" priority="45" operator="equal">
      <formula>0</formula>
    </cfRule>
  </conditionalFormatting>
  <conditionalFormatting sqref="H525">
    <cfRule type="expression" dxfId="0" priority="1179">
      <formula>H526=0</formula>
    </cfRule>
  </conditionalFormatting>
  <conditionalFormatting sqref="H526">
    <cfRule type="cellIs" dxfId="1" priority="1187" operator="equal">
      <formula>0</formula>
    </cfRule>
  </conditionalFormatting>
  <conditionalFormatting sqref="H531">
    <cfRule type="cellIs" dxfId="1" priority="1197" operator="equal">
      <formula>0</formula>
    </cfRule>
  </conditionalFormatting>
  <conditionalFormatting sqref="H534">
    <cfRule type="cellIs" dxfId="1" priority="1204" operator="equal">
      <formula>0</formula>
    </cfRule>
  </conditionalFormatting>
  <conditionalFormatting sqref="H535">
    <cfRule type="cellIs" dxfId="1" priority="1207" operator="equal">
      <formula>0</formula>
    </cfRule>
  </conditionalFormatting>
  <conditionalFormatting sqref="H537">
    <cfRule type="cellIs" dxfId="1" priority="1211" operator="equal">
      <formula>0</formula>
    </cfRule>
  </conditionalFormatting>
  <conditionalFormatting sqref="H542">
    <cfRule type="cellIs" dxfId="1" priority="1220" operator="equal">
      <formula>0</formula>
    </cfRule>
  </conditionalFormatting>
  <conditionalFormatting sqref="H544">
    <cfRule type="cellIs" dxfId="1" priority="1222" operator="equal">
      <formula>0</formula>
    </cfRule>
  </conditionalFormatting>
  <conditionalFormatting sqref="H547">
    <cfRule type="cellIs" dxfId="1" priority="1228" operator="equal">
      <formula>0</formula>
    </cfRule>
  </conditionalFormatting>
  <conditionalFormatting sqref="H548">
    <cfRule type="cellIs" dxfId="1" priority="1230" operator="equal">
      <formula>0</formula>
    </cfRule>
  </conditionalFormatting>
  <conditionalFormatting sqref="H55">
    <cfRule type="cellIs" dxfId="1" priority="59" operator="equal">
      <formula>0</formula>
    </cfRule>
  </conditionalFormatting>
  <conditionalFormatting sqref="H581">
    <cfRule type="expression" dxfId="0" priority="1279">
      <formula>H582=0</formula>
    </cfRule>
  </conditionalFormatting>
  <conditionalFormatting sqref="H582">
    <cfRule type="cellIs" dxfId="1" priority="1287" operator="equal">
      <formula>0</formula>
    </cfRule>
  </conditionalFormatting>
  <conditionalFormatting sqref="H585">
    <cfRule type="cellIs" dxfId="1" priority="1305" operator="equal">
      <formula>0</formula>
    </cfRule>
  </conditionalFormatting>
  <conditionalFormatting sqref="H588">
    <cfRule type="cellIs" dxfId="1" priority="1321" operator="equal">
      <formula>0</formula>
    </cfRule>
  </conditionalFormatting>
  <conditionalFormatting sqref="H589">
    <cfRule type="cellIs" dxfId="1" priority="1325" operator="equal">
      <formula>0</formula>
    </cfRule>
  </conditionalFormatting>
  <conditionalFormatting sqref="H603">
    <cfRule type="expression" dxfId="0" priority="1363">
      <formula>H604=0</formula>
    </cfRule>
  </conditionalFormatting>
  <conditionalFormatting sqref="H604">
    <cfRule type="cellIs" dxfId="1" priority="1370" operator="equal">
      <formula>0</formula>
    </cfRule>
  </conditionalFormatting>
  <conditionalFormatting sqref="H607">
    <cfRule type="cellIs" dxfId="1" priority="1377" operator="equal">
      <formula>0</formula>
    </cfRule>
  </conditionalFormatting>
  <conditionalFormatting sqref="H609">
    <cfRule type="cellIs" dxfId="1" priority="1381" operator="equal">
      <formula>0</formula>
    </cfRule>
  </conditionalFormatting>
  <conditionalFormatting sqref="H653">
    <cfRule type="expression" dxfId="0" priority="1442">
      <formula>H654=0</formula>
    </cfRule>
  </conditionalFormatting>
  <conditionalFormatting sqref="H654">
    <cfRule type="cellIs" dxfId="1" priority="1450" operator="equal">
      <formula>0</formula>
    </cfRule>
  </conditionalFormatting>
  <conditionalFormatting sqref="H657">
    <cfRule type="cellIs" dxfId="1" priority="1466" operator="equal">
      <formula>0</formula>
    </cfRule>
  </conditionalFormatting>
  <conditionalFormatting sqref="H658">
    <cfRule type="cellIs" dxfId="1" priority="1470" operator="equal">
      <formula>0</formula>
    </cfRule>
  </conditionalFormatting>
  <conditionalFormatting sqref="H659">
    <cfRule type="cellIs" dxfId="1" priority="1474" operator="equal">
      <formula>0</formula>
    </cfRule>
  </conditionalFormatting>
  <conditionalFormatting sqref="H662">
    <cfRule type="cellIs" dxfId="1" priority="1490" operator="equal">
      <formula>0</formula>
    </cfRule>
  </conditionalFormatting>
  <conditionalFormatting sqref="H664">
    <cfRule type="cellIs" dxfId="1" priority="1501" operator="equal">
      <formula>0</formula>
    </cfRule>
  </conditionalFormatting>
  <conditionalFormatting sqref="H667">
    <cfRule type="cellIs" dxfId="1" priority="1515" operator="equal">
      <formula>0</formula>
    </cfRule>
  </conditionalFormatting>
  <conditionalFormatting sqref="H685">
    <cfRule type="expression" dxfId="0" priority="1557">
      <formula>H686=0</formula>
    </cfRule>
  </conditionalFormatting>
  <conditionalFormatting sqref="H686">
    <cfRule type="cellIs" dxfId="1" priority="1565" operator="equal">
      <formula>0</formula>
    </cfRule>
  </conditionalFormatting>
  <conditionalFormatting sqref="H690">
    <cfRule type="cellIs" dxfId="1" priority="1575" operator="equal">
      <formula>0</formula>
    </cfRule>
  </conditionalFormatting>
  <conditionalFormatting sqref="H692">
    <cfRule type="cellIs" dxfId="1" priority="1579" operator="equal">
      <formula>0</formula>
    </cfRule>
  </conditionalFormatting>
  <conditionalFormatting sqref="H693">
    <cfRule type="cellIs" dxfId="1" priority="1580" operator="equal">
      <formula>0</formula>
    </cfRule>
  </conditionalFormatting>
  <conditionalFormatting sqref="H695">
    <cfRule type="cellIs" dxfId="1" priority="1582" operator="equal">
      <formula>0</formula>
    </cfRule>
  </conditionalFormatting>
  <conditionalFormatting sqref="H698">
    <cfRule type="cellIs" dxfId="1" priority="1587" operator="equal">
      <formula>0</formula>
    </cfRule>
  </conditionalFormatting>
  <conditionalFormatting sqref="H699">
    <cfRule type="cellIs" dxfId="1" priority="1588" operator="equal">
      <formula>0</formula>
    </cfRule>
  </conditionalFormatting>
  <conditionalFormatting sqref="H723">
    <cfRule type="expression" dxfId="0" priority="1625">
      <formula>H724=0</formula>
    </cfRule>
  </conditionalFormatting>
  <conditionalFormatting sqref="H724">
    <cfRule type="cellIs" dxfId="1" priority="1631" operator="equal">
      <formula>0</formula>
    </cfRule>
  </conditionalFormatting>
  <conditionalFormatting sqref="H726">
    <cfRule type="cellIs" dxfId="1" priority="1640" operator="equal">
      <formula>0</formula>
    </cfRule>
  </conditionalFormatting>
  <conditionalFormatting sqref="H728">
    <cfRule type="cellIs" dxfId="1" priority="1649" operator="equal">
      <formula>0</formula>
    </cfRule>
  </conditionalFormatting>
  <conditionalFormatting sqref="H731">
    <cfRule type="cellIs" dxfId="1" priority="1663" operator="equal">
      <formula>0</formula>
    </cfRule>
  </conditionalFormatting>
  <conditionalFormatting sqref="H769">
    <cfRule type="expression" dxfId="0" priority="1726">
      <formula>H770=0</formula>
    </cfRule>
  </conditionalFormatting>
  <conditionalFormatting sqref="H770">
    <cfRule type="cellIs" dxfId="1" priority="1732" operator="equal">
      <formula>0</formula>
    </cfRule>
  </conditionalFormatting>
  <conditionalFormatting sqref="H779">
    <cfRule type="cellIs" dxfId="1" priority="1778" operator="equal">
      <formula>0</formula>
    </cfRule>
  </conditionalFormatting>
  <conditionalFormatting sqref="H793">
    <cfRule type="expression" dxfId="0" priority="1809">
      <formula>H794=0</formula>
    </cfRule>
  </conditionalFormatting>
  <conditionalFormatting sqref="H794">
    <cfRule type="cellIs" dxfId="1" priority="1816" operator="equal">
      <formula>0</formula>
    </cfRule>
  </conditionalFormatting>
  <conditionalFormatting sqref="H799">
    <cfRule type="cellIs" dxfId="1" priority="1827" operator="equal">
      <formula>0</formula>
    </cfRule>
  </conditionalFormatting>
  <conditionalFormatting sqref="H803">
    <cfRule type="cellIs" dxfId="1" priority="1834" operator="equal">
      <formula>0</formula>
    </cfRule>
  </conditionalFormatting>
  <conditionalFormatting sqref="I167">
    <cfRule type="expression" dxfId="0" priority="257">
      <formula>I168=0</formula>
    </cfRule>
  </conditionalFormatting>
  <conditionalFormatting sqref="I168">
    <cfRule type="cellIs" dxfId="1" priority="265" operator="equal">
      <formula>0</formula>
    </cfRule>
  </conditionalFormatting>
  <conditionalFormatting sqref="I184">
    <cfRule type="cellIs" dxfId="1" priority="339" operator="equal">
      <formula>0</formula>
    </cfRule>
  </conditionalFormatting>
  <conditionalFormatting sqref="I205">
    <cfRule type="expression" dxfId="0" priority="387">
      <formula>I206=0</formula>
    </cfRule>
  </conditionalFormatting>
  <conditionalFormatting sqref="I206">
    <cfRule type="cellIs" dxfId="1" priority="395" operator="equal">
      <formula>0</formula>
    </cfRule>
  </conditionalFormatting>
  <conditionalFormatting sqref="I216">
    <cfRule type="cellIs" dxfId="1" priority="416" operator="equal">
      <formula>0</formula>
    </cfRule>
  </conditionalFormatting>
  <conditionalFormatting sqref="I221">
    <cfRule type="cellIs" dxfId="1" priority="426" operator="equal">
      <formula>0</formula>
    </cfRule>
  </conditionalFormatting>
  <conditionalFormatting sqref="I249">
    <cfRule type="expression" dxfId="0" priority="472">
      <formula>I250=0</formula>
    </cfRule>
  </conditionalFormatting>
  <conditionalFormatting sqref="I250">
    <cfRule type="cellIs" dxfId="1" priority="480" operator="equal">
      <formula>0</formula>
    </cfRule>
  </conditionalFormatting>
  <conditionalFormatting sqref="I272">
    <cfRule type="cellIs" dxfId="1" priority="583" operator="equal">
      <formula>0</formula>
    </cfRule>
  </conditionalFormatting>
  <conditionalFormatting sqref="I299">
    <cfRule type="expression" dxfId="0" priority="643">
      <formula>I300=0</formula>
    </cfRule>
  </conditionalFormatting>
  <conditionalFormatting sqref="I300">
    <cfRule type="cellIs" dxfId="1" priority="651" operator="equal">
      <formula>0</formula>
    </cfRule>
  </conditionalFormatting>
  <conditionalFormatting sqref="I307">
    <cfRule type="cellIs" dxfId="1" priority="664" operator="equal">
      <formula>0</formula>
    </cfRule>
  </conditionalFormatting>
  <conditionalFormatting sqref="I313">
    <cfRule type="cellIs" dxfId="1" priority="676" operator="equal">
      <formula>0</formula>
    </cfRule>
  </conditionalFormatting>
  <conditionalFormatting sqref="I320">
    <cfRule type="cellIs" dxfId="1" priority="690" operator="equal">
      <formula>0</formula>
    </cfRule>
  </conditionalFormatting>
  <conditionalFormatting sqref="I377">
    <cfRule type="expression" dxfId="0" priority="775">
      <formula>I378=0</formula>
    </cfRule>
  </conditionalFormatting>
  <conditionalFormatting sqref="I378">
    <cfRule type="cellIs" dxfId="1" priority="783" operator="equal">
      <formula>0</formula>
    </cfRule>
  </conditionalFormatting>
  <conditionalFormatting sqref="I382">
    <cfRule type="cellIs" dxfId="1" priority="803" operator="equal">
      <formula>0</formula>
    </cfRule>
  </conditionalFormatting>
  <conditionalFormatting sqref="I441">
    <cfRule type="expression" dxfId="0" priority="916">
      <formula>I442=0</formula>
    </cfRule>
  </conditionalFormatting>
  <conditionalFormatting sqref="I442">
    <cfRule type="cellIs" dxfId="1" priority="924" operator="equal">
      <formula>0</formula>
    </cfRule>
  </conditionalFormatting>
  <conditionalFormatting sqref="I444">
    <cfRule type="cellIs" dxfId="1" priority="935" operator="equal">
      <formula>0</formula>
    </cfRule>
  </conditionalFormatting>
  <conditionalFormatting sqref="I475">
    <cfRule type="expression" dxfId="0" priority="1008">
      <formula>I476=0</formula>
    </cfRule>
  </conditionalFormatting>
  <conditionalFormatting sqref="I476">
    <cfRule type="cellIs" dxfId="1" priority="1016" operator="equal">
      <formula>0</formula>
    </cfRule>
  </conditionalFormatting>
  <conditionalFormatting sqref="I480">
    <cfRule type="cellIs" dxfId="1" priority="1035" operator="equal">
      <formula>0</formula>
    </cfRule>
  </conditionalFormatting>
  <conditionalFormatting sqref="I525">
    <cfRule type="expression" dxfId="0" priority="1180">
      <formula>I526=0</formula>
    </cfRule>
  </conditionalFormatting>
  <conditionalFormatting sqref="I526">
    <cfRule type="cellIs" dxfId="1" priority="1188" operator="equal">
      <formula>0</formula>
    </cfRule>
  </conditionalFormatting>
  <conditionalFormatting sqref="I533">
    <cfRule type="cellIs" dxfId="1" priority="1201" operator="equal">
      <formula>0</formula>
    </cfRule>
  </conditionalFormatting>
  <conditionalFormatting sqref="I539">
    <cfRule type="cellIs" dxfId="1" priority="1213" operator="equal">
      <formula>0</formula>
    </cfRule>
  </conditionalFormatting>
  <conditionalFormatting sqref="I546">
    <cfRule type="cellIs" dxfId="1" priority="1226" operator="equal">
      <formula>0</formula>
    </cfRule>
  </conditionalFormatting>
  <conditionalFormatting sqref="I581">
    <cfRule type="expression" dxfId="0" priority="1280">
      <formula>I582=0</formula>
    </cfRule>
  </conditionalFormatting>
  <conditionalFormatting sqref="I582">
    <cfRule type="cellIs" dxfId="1" priority="1288" operator="equal">
      <formula>0</formula>
    </cfRule>
  </conditionalFormatting>
  <conditionalFormatting sqref="I590">
    <cfRule type="cellIs" dxfId="1" priority="1329" operator="equal">
      <formula>0</formula>
    </cfRule>
  </conditionalFormatting>
  <conditionalFormatting sqref="I603">
    <cfRule type="expression" dxfId="0" priority="1364">
      <formula>I604=0</formula>
    </cfRule>
  </conditionalFormatting>
  <conditionalFormatting sqref="I604">
    <cfRule type="cellIs" dxfId="1" priority="1371" operator="equal">
      <formula>0</formula>
    </cfRule>
  </conditionalFormatting>
  <conditionalFormatting sqref="I610">
    <cfRule type="cellIs" dxfId="1" priority="1382" operator="equal">
      <formula>0</formula>
    </cfRule>
  </conditionalFormatting>
  <conditionalFormatting sqref="I653">
    <cfRule type="expression" dxfId="0" priority="1443">
      <formula>I654=0</formula>
    </cfRule>
  </conditionalFormatting>
  <conditionalFormatting sqref="I654">
    <cfRule type="cellIs" dxfId="1" priority="1451" operator="equal">
      <formula>0</formula>
    </cfRule>
  </conditionalFormatting>
  <conditionalFormatting sqref="I655">
    <cfRule type="cellIs" dxfId="1" priority="1456" operator="equal">
      <formula>0</formula>
    </cfRule>
  </conditionalFormatting>
  <conditionalFormatting sqref="I685">
    <cfRule type="expression" dxfId="0" priority="1558">
      <formula>I686=0</formula>
    </cfRule>
  </conditionalFormatting>
  <conditionalFormatting sqref="I686">
    <cfRule type="cellIs" dxfId="1" priority="1566" operator="equal">
      <formula>0</formula>
    </cfRule>
  </conditionalFormatting>
  <conditionalFormatting sqref="I694">
    <cfRule type="cellIs" dxfId="1" priority="1581" operator="equal">
      <formula>0</formula>
    </cfRule>
  </conditionalFormatting>
  <conditionalFormatting sqref="I699">
    <cfRule type="cellIs" dxfId="1" priority="1589" operator="equal">
      <formula>0</formula>
    </cfRule>
  </conditionalFormatting>
  <conditionalFormatting sqref="I793">
    <cfRule type="expression" dxfId="0" priority="1810">
      <formula>I794=0</formula>
    </cfRule>
  </conditionalFormatting>
  <conditionalFormatting sqref="I794">
    <cfRule type="cellIs" dxfId="1" priority="1817" operator="equal">
      <formula>0</formula>
    </cfRule>
  </conditionalFormatting>
  <conditionalFormatting sqref="I803">
    <cfRule type="cellIs" dxfId="1" priority="1835" operator="equal">
      <formula>0</formula>
    </cfRule>
  </conditionalFormatting>
  <conditionalFormatting sqref="J167">
    <cfRule type="expression" dxfId="0" priority="258">
      <formula>J168=0</formula>
    </cfRule>
  </conditionalFormatting>
  <conditionalFormatting sqref="J168">
    <cfRule type="cellIs" dxfId="1" priority="266" operator="equal">
      <formula>0</formula>
    </cfRule>
  </conditionalFormatting>
  <conditionalFormatting sqref="J184">
    <cfRule type="cellIs" dxfId="1" priority="340" operator="equal">
      <formula>0</formula>
    </cfRule>
  </conditionalFormatting>
  <conditionalFormatting sqref="J205">
    <cfRule type="expression" dxfId="0" priority="388">
      <formula>J206=0</formula>
    </cfRule>
  </conditionalFormatting>
  <conditionalFormatting sqref="J206">
    <cfRule type="cellIs" dxfId="1" priority="396" operator="equal">
      <formula>0</formula>
    </cfRule>
  </conditionalFormatting>
  <conditionalFormatting sqref="J217">
    <cfRule type="cellIs" dxfId="1" priority="418" operator="equal">
      <formula>0</formula>
    </cfRule>
  </conditionalFormatting>
  <conditionalFormatting sqref="J249">
    <cfRule type="expression" dxfId="0" priority="473">
      <formula>J250=0</formula>
    </cfRule>
  </conditionalFormatting>
  <conditionalFormatting sqref="J250">
    <cfRule type="cellIs" dxfId="1" priority="481" operator="equal">
      <formula>0</formula>
    </cfRule>
  </conditionalFormatting>
  <conditionalFormatting sqref="J272">
    <cfRule type="cellIs" dxfId="1" priority="584" operator="equal">
      <formula>0</formula>
    </cfRule>
  </conditionalFormatting>
  <conditionalFormatting sqref="J299">
    <cfRule type="expression" dxfId="0" priority="644">
      <formula>J300=0</formula>
    </cfRule>
  </conditionalFormatting>
  <conditionalFormatting sqref="J300">
    <cfRule type="cellIs" dxfId="1" priority="652" operator="equal">
      <formula>0</formula>
    </cfRule>
  </conditionalFormatting>
  <conditionalFormatting sqref="J315">
    <cfRule type="cellIs" dxfId="1" priority="680" operator="equal">
      <formula>0</formula>
    </cfRule>
  </conditionalFormatting>
  <conditionalFormatting sqref="J322">
    <cfRule type="cellIs" dxfId="1" priority="695" operator="equal">
      <formula>0</formula>
    </cfRule>
  </conditionalFormatting>
  <conditionalFormatting sqref="J377">
    <cfRule type="expression" dxfId="0" priority="776">
      <formula>J378=0</formula>
    </cfRule>
  </conditionalFormatting>
  <conditionalFormatting sqref="J378">
    <cfRule type="cellIs" dxfId="1" priority="784" operator="equal">
      <formula>0</formula>
    </cfRule>
  </conditionalFormatting>
  <conditionalFormatting sqref="J382">
    <cfRule type="cellIs" dxfId="1" priority="804" operator="equal">
      <formula>0</formula>
    </cfRule>
  </conditionalFormatting>
  <conditionalFormatting sqref="J441">
    <cfRule type="expression" dxfId="0" priority="917">
      <formula>J442=0</formula>
    </cfRule>
  </conditionalFormatting>
  <conditionalFormatting sqref="J442">
    <cfRule type="cellIs" dxfId="1" priority="925" operator="equal">
      <formula>0</formula>
    </cfRule>
  </conditionalFormatting>
  <conditionalFormatting sqref="J444">
    <cfRule type="cellIs" dxfId="1" priority="936" operator="equal">
      <formula>0</formula>
    </cfRule>
  </conditionalFormatting>
  <conditionalFormatting sqref="J475">
    <cfRule type="expression" dxfId="0" priority="1009">
      <formula>J476=0</formula>
    </cfRule>
  </conditionalFormatting>
  <conditionalFormatting sqref="J476">
    <cfRule type="cellIs" dxfId="1" priority="1017" operator="equal">
      <formula>0</formula>
    </cfRule>
  </conditionalFormatting>
  <conditionalFormatting sqref="J480">
    <cfRule type="cellIs" dxfId="1" priority="1036" operator="equal">
      <formula>0</formula>
    </cfRule>
  </conditionalFormatting>
  <conditionalFormatting sqref="J525">
    <cfRule type="expression" dxfId="0" priority="1181">
      <formula>J526=0</formula>
    </cfRule>
  </conditionalFormatting>
  <conditionalFormatting sqref="J526">
    <cfRule type="cellIs" dxfId="1" priority="1189" operator="equal">
      <formula>0</formula>
    </cfRule>
  </conditionalFormatting>
  <conditionalFormatting sqref="J541">
    <cfRule type="cellIs" dxfId="1" priority="1217" operator="equal">
      <formula>0</formula>
    </cfRule>
  </conditionalFormatting>
  <conditionalFormatting sqref="J548">
    <cfRule type="cellIs" dxfId="1" priority="1231" operator="equal">
      <formula>0</formula>
    </cfRule>
  </conditionalFormatting>
  <conditionalFormatting sqref="J581">
    <cfRule type="expression" dxfId="0" priority="1281">
      <formula>J582=0</formula>
    </cfRule>
  </conditionalFormatting>
  <conditionalFormatting sqref="J582">
    <cfRule type="cellIs" dxfId="1" priority="1289" operator="equal">
      <formula>0</formula>
    </cfRule>
  </conditionalFormatting>
  <conditionalFormatting sqref="J590">
    <cfRule type="cellIs" dxfId="1" priority="1330" operator="equal">
      <formula>0</formula>
    </cfRule>
  </conditionalFormatting>
  <conditionalFormatting sqref="J653">
    <cfRule type="expression" dxfId="0" priority="1444">
      <formula>J654=0</formula>
    </cfRule>
  </conditionalFormatting>
  <conditionalFormatting sqref="J654">
    <cfRule type="cellIs" dxfId="1" priority="1452" operator="equal">
      <formula>0</formula>
    </cfRule>
  </conditionalFormatting>
  <conditionalFormatting sqref="J655">
    <cfRule type="cellIs" dxfId="1" priority="1457" operator="equal">
      <formula>0</formula>
    </cfRule>
  </conditionalFormatting>
  <conditionalFormatting sqref="J685">
    <cfRule type="expression" dxfId="0" priority="1559">
      <formula>J686=0</formula>
    </cfRule>
  </conditionalFormatting>
  <conditionalFormatting sqref="J686">
    <cfRule type="cellIs" dxfId="1" priority="1567" operator="equal">
      <formula>0</formula>
    </cfRule>
  </conditionalFormatting>
  <conditionalFormatting sqref="J695">
    <cfRule type="cellIs" dxfId="1" priority="1583" operator="equal">
      <formula>0</formula>
    </cfRule>
  </conditionalFormatting>
  <hyperlinks>
    <hyperlink ref="B3" r:id="rId1"/>
    <hyperlink ref="B4" r:id="rId2"/>
  </hyperlinks>
  <pageMargins left="0.7" right="0.7" top="0.75" bottom="0.75" header="0.3" footer="0.3"/>
  <drawing r:id="rId3"/>
</worksheet>
</file>

<file path=xl/worksheets/sheet2.xml><?xml version="1.0" encoding="utf-8"?>
<worksheet xmlns="http://schemas.openxmlformats.org/spreadsheetml/2006/main" xmlns:r="http://schemas.openxmlformats.org/officeDocument/2006/relationships">
  <dimension ref="A1:E26"/>
  <sheetViews>
    <sheetView workbookViewId="0"/>
  </sheetViews>
  <sheetFormatPr defaultRowHeight="15"/>
  <cols>
    <col min="1" max="1" width="10.140625" bestFit="1" customWidth="1"/>
    <col min="2" max="2" width="3" bestFit="1" customWidth="1"/>
    <col min="5" max="5" width="60.7109375" bestFit="1" customWidth="1"/>
  </cols>
  <sheetData>
    <row r="1" spans="1:5">
      <c r="A1" t="s">
        <v>46</v>
      </c>
      <c r="B1">
        <v>-1</v>
      </c>
      <c r="E1" s="9" t="s">
        <v>72</v>
      </c>
    </row>
    <row r="2" spans="1:5">
      <c r="A2" t="s">
        <v>58</v>
      </c>
      <c r="B2">
        <v>-1</v>
      </c>
      <c r="E2" t="s">
        <v>73</v>
      </c>
    </row>
    <row r="3" spans="1:5">
      <c r="A3" t="s">
        <v>54</v>
      </c>
      <c r="B3">
        <v>-1</v>
      </c>
      <c r="E3" t="s">
        <v>74</v>
      </c>
    </row>
    <row r="4" spans="1:5">
      <c r="A4" t="s">
        <v>40</v>
      </c>
      <c r="B4">
        <v>-1</v>
      </c>
      <c r="E4" t="s">
        <v>75</v>
      </c>
    </row>
    <row r="5" spans="1:5">
      <c r="A5" t="s">
        <v>26</v>
      </c>
      <c r="B5">
        <v>-1</v>
      </c>
      <c r="E5" t="s">
        <v>76</v>
      </c>
    </row>
    <row r="6" spans="1:5">
      <c r="A6" t="s">
        <v>52</v>
      </c>
      <c r="B6">
        <v>-1</v>
      </c>
    </row>
    <row r="7" spans="1:5">
      <c r="A7" t="s">
        <v>36</v>
      </c>
      <c r="B7">
        <v>-1</v>
      </c>
    </row>
    <row r="8" spans="1:5">
      <c r="A8" t="s">
        <v>59</v>
      </c>
      <c r="B8">
        <v>-1</v>
      </c>
    </row>
    <row r="9" spans="1:5">
      <c r="A9" t="s">
        <v>16</v>
      </c>
      <c r="B9">
        <v>-1</v>
      </c>
    </row>
    <row r="10" spans="1:5">
      <c r="A10" t="s">
        <v>77</v>
      </c>
      <c r="B10">
        <v>-1</v>
      </c>
    </row>
    <row r="11" spans="1:5">
      <c r="A11" t="s">
        <v>37</v>
      </c>
      <c r="B11">
        <v>-1</v>
      </c>
    </row>
    <row r="12" spans="1:5">
      <c r="A12" t="s">
        <v>47</v>
      </c>
      <c r="B12">
        <v>-1</v>
      </c>
    </row>
    <row r="13" spans="1:5">
      <c r="A13" t="s">
        <v>28</v>
      </c>
      <c r="B13">
        <v>-1</v>
      </c>
    </row>
    <row r="14" spans="1:5">
      <c r="A14" t="s">
        <v>48</v>
      </c>
      <c r="B14">
        <v>-1</v>
      </c>
    </row>
    <row r="15" spans="1:5">
      <c r="A15" t="s">
        <v>49</v>
      </c>
      <c r="B15">
        <v>-1</v>
      </c>
    </row>
    <row r="16" spans="1:5">
      <c r="A16" t="s">
        <v>78</v>
      </c>
      <c r="B16">
        <v>-1</v>
      </c>
    </row>
    <row r="17" spans="1:2">
      <c r="A17" t="s">
        <v>38</v>
      </c>
      <c r="B17">
        <v>-1</v>
      </c>
    </row>
    <row r="18" spans="1:2">
      <c r="A18" t="s">
        <v>45</v>
      </c>
      <c r="B18">
        <v>-1</v>
      </c>
    </row>
    <row r="19" spans="1:2">
      <c r="A19" t="s">
        <v>39</v>
      </c>
      <c r="B19">
        <v>-1</v>
      </c>
    </row>
    <row r="20" spans="1:2">
      <c r="A20" t="s">
        <v>66</v>
      </c>
      <c r="B20">
        <v>-1</v>
      </c>
    </row>
    <row r="21" spans="1:2">
      <c r="A21" t="s">
        <v>50</v>
      </c>
      <c r="B21">
        <v>-1</v>
      </c>
    </row>
    <row r="22" spans="1:2">
      <c r="A22" t="s">
        <v>53</v>
      </c>
      <c r="B22">
        <v>-1</v>
      </c>
    </row>
    <row r="23" spans="1:2">
      <c r="A23" t="s">
        <v>60</v>
      </c>
      <c r="B23">
        <v>-1</v>
      </c>
    </row>
    <row r="24" spans="1:2">
      <c r="A24" t="s">
        <v>51</v>
      </c>
      <c r="B24">
        <v>-1</v>
      </c>
    </row>
    <row r="25" spans="1:2">
      <c r="A25" t="s">
        <v>27</v>
      </c>
      <c r="B25">
        <v>-1</v>
      </c>
    </row>
    <row r="26" spans="1:2">
      <c r="A26" t="s">
        <v>33</v>
      </c>
      <c r="B26">
        <v>-1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equipment</vt:lpstr>
      <vt:lpstr>characters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2024-11-29T05:19:38Z</dcterms:created>
  <dcterms:modified xsi:type="dcterms:W3CDTF">2024-11-29T05:19:38Z</dcterms:modified>
</cp:coreProperties>
</file>