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" sheetId="1" r:id="rId1"/>
    <sheet name="characters" sheetId="2" r:id="rId2"/>
  </sheets>
  <calcPr calcId="124519" fullCalcOnLoad="1"/>
</workbook>
</file>

<file path=xl/sharedStrings.xml><?xml version="1.0" encoding="utf-8"?>
<sst xmlns="http://schemas.openxmlformats.org/spreadsheetml/2006/main" count="3016" uniqueCount="83">
  <si>
    <t>last update:</t>
  </si>
  <si>
    <t>2025-02-03</t>
  </si>
  <si>
    <t>data source:</t>
  </si>
  <si>
    <t>https://www.prydwen.gg/</t>
  </si>
  <si>
    <t>generator:</t>
  </si>
  <si>
    <t>https://github.com/Iluntrin/hoyo-equipment-overview</t>
  </si>
  <si>
    <t>Zenless Zone Zero - Drive Disk Overview</t>
  </si>
  <si>
    <t>Astral Voice (8)</t>
  </si>
  <si>
    <t>substats</t>
  </si>
  <si>
    <t>priority</t>
  </si>
  <si>
    <t>ATK%</t>
  </si>
  <si>
    <t>ATK</t>
  </si>
  <si>
    <t>PEN</t>
  </si>
  <si>
    <t>CRIT Rate</t>
  </si>
  <si>
    <t>CRIT DMG</t>
  </si>
  <si>
    <t>Anomaly Proficiency</t>
  </si>
  <si>
    <t>combined</t>
  </si>
  <si>
    <t/>
  </si>
  <si>
    <t>Astra Yao</t>
  </si>
  <si>
    <t>Lucy</t>
  </si>
  <si>
    <t>Nicole</t>
  </si>
  <si>
    <t>Rina</t>
  </si>
  <si>
    <t>Seth</t>
  </si>
  <si>
    <t>Soukaku</t>
  </si>
  <si>
    <t>Harumasa</t>
  </si>
  <si>
    <t>Miyabi</t>
  </si>
  <si>
    <t>Disk 4 (main stat)</t>
  </si>
  <si>
    <t>Disk 5 (main stat)</t>
  </si>
  <si>
    <t>Electric DMG%</t>
  </si>
  <si>
    <t>Ice DMG%</t>
  </si>
  <si>
    <t>Ether DMG%</t>
  </si>
  <si>
    <t>PEN Ratio%</t>
  </si>
  <si>
    <t>Disk 6 (main stat)</t>
  </si>
  <si>
    <t>Energy Regen</t>
  </si>
  <si>
    <t>Anomaly Mastery</t>
  </si>
  <si>
    <t>Branch &amp; Blade Song (2)</t>
  </si>
  <si>
    <t>Chaos Jazz (9)</t>
  </si>
  <si>
    <t>Burnice</t>
  </si>
  <si>
    <t>Yanagi</t>
  </si>
  <si>
    <t>Lighter</t>
  </si>
  <si>
    <t>Grace</t>
  </si>
  <si>
    <t>Fire DMG%</t>
  </si>
  <si>
    <t>Impact</t>
  </si>
  <si>
    <t>Chaotic Metal (1)</t>
  </si>
  <si>
    <t>Zhu Yuan</t>
  </si>
  <si>
    <t>Fanged Metal (5)</t>
  </si>
  <si>
    <t>Corin</t>
  </si>
  <si>
    <t>Jane Doe</t>
  </si>
  <si>
    <t>Nekomata</t>
  </si>
  <si>
    <t>Piper</t>
  </si>
  <si>
    <t>Billy</t>
  </si>
  <si>
    <t>Physical DMG%</t>
  </si>
  <si>
    <t>Freedom Blues (16)</t>
  </si>
  <si>
    <t>DEF%</t>
  </si>
  <si>
    <t>DEF</t>
  </si>
  <si>
    <t>Anby</t>
  </si>
  <si>
    <t>Koleda</t>
  </si>
  <si>
    <t>Lycaon</t>
  </si>
  <si>
    <t>Caesar</t>
  </si>
  <si>
    <t>Ben</t>
  </si>
  <si>
    <t>Hormone Punk (25)</t>
  </si>
  <si>
    <t>Anton</t>
  </si>
  <si>
    <t>Ellen</t>
  </si>
  <si>
    <t>Soldier 11</t>
  </si>
  <si>
    <t>Inferno Metal (4)</t>
  </si>
  <si>
    <t>Polar Metal (4)</t>
  </si>
  <si>
    <t>Proto Punk (4)</t>
  </si>
  <si>
    <t>Puffer Electro (24)</t>
  </si>
  <si>
    <t>Qingyi</t>
  </si>
  <si>
    <t>Shockstar Disco (8)</t>
  </si>
  <si>
    <t>Soul Rock (1)</t>
  </si>
  <si>
    <t>Swing Jazz (14)</t>
  </si>
  <si>
    <t>Thunder Metal (8)</t>
  </si>
  <si>
    <t>Woodpecker Electro (11)</t>
  </si>
  <si>
    <t>Explanation:</t>
  </si>
  <si>
    <t>-1 show all</t>
  </si>
  <si>
    <t>-2 do not show anything for character</t>
  </si>
  <si>
    <t>0 show only priority 0 for character (=show only recommended sets)</t>
  </si>
  <si>
    <t>&lt;n&gt; show only priority 0 to &lt;n&gt; for character</t>
  </si>
  <si>
    <t>Anby: Silver Soldier</t>
  </si>
  <si>
    <t>Evelyn</t>
  </si>
  <si>
    <t>Pulchra</t>
  </si>
  <si>
    <t>Trigger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</si>
</sst>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#"/>
  </numFmts>
  <fonts count="6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2">
    <dxf>
      <font>
        <b/>
        <color rgb="FF666666"/>
      </font>
      <fill>
        <patternFill>
          <bgColor rgb="FF6666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CCCCC"/>
      </font>
      <fill>
        <patternFill>
          <bgColor rgb="FFCC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104775</xdr:colOff>
      <xdr:row>24</xdr:row>
      <xdr:rowOff>0</xdr:rowOff>
    </xdr:to>
    <xdr:sp macro="" textlink="">
      <xdr:nvSpPr>
        <xdr:cNvPr id="2" name="TextBox 1"/>
        <xdr:cNvSpPr txBox="1"/>
      </xdr:nvSpPr>
      <xdr:spPr>
        <a:xfrm>
          <a:off x="0" y="952500"/>
          <a:ext cx="9525000" cy="361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  <a:p>
          <a:r>
            <a:rPr lang="en-US" sz="1100"/>
            <a:t>The excel sheet contains multiple table groups. Each table group contains the substats and the main stats of a given drive disk set. The first data row in each table contains the combined values of each character that uses the set. </a:t>
          </a:r>
        </a:p>
        <a:p>
          <a:endParaRPr lang="en-US" sz="1100"/>
        </a:p>
        <a:p>
          <a:r>
            <a:rPr lang="en-US" sz="1100"/>
            <a:t>The values are in percentages, with the most important stat being 100%. If a subsequent stat was stated on prydwen to be &gt;= (less or equal) of the previous stat, I subtracted 1% of the previous value. If a subsequent stat was stated to be &gt; (less) important I subtracted 10% from the previous value.</a:t>
          </a:r>
        </a:p>
        <a:p>
          <a:endParaRPr lang="en-US" sz="1100"/>
        </a:p>
        <a:p>
          <a:r>
            <a:rPr lang="en-US" sz="1100"/>
            <a:t>The priority columns start with a priority of 0 (meaning this is the recommended set for the character). This value increases by 1 for each subsequent priority.2 Piece sets start their priority by 0.1 and increase them by increments of 0.1.</a:t>
          </a:r>
        </a:p>
        <a:p>
          <a:endParaRPr lang="en-US" sz="1100"/>
        </a:p>
        <a:p>
          <a:r>
            <a:rPr lang="en-US" sz="1100"/>
            <a:t>You can fine tune which characters you want to show (or how many priorities per character you want to show) on the "characters" tab/sheet. By default all characters have the value -1 next to it. -1 means that the character is shown in every set they can use. By setting this value to -2 you can completely hide this character. By setting the value to 0 only the most recommended sets are shown.(1 shows the 2 most recommended sets and so on). As I don't quite know how google docs works with changes on the sheet you most likely want to download a copy of the sheet to your local computer and change your values there.</a:t>
          </a:r>
        </a:p>
        <a:p>
          <a:endParaRPr lang="en-US" sz="1100"/>
        </a:p>
        <a:p>
          <a:r>
            <a:rPr lang="en-US" sz="1100"/>
            <a:t>Disclaimer: I don't claim that all this data is 100% correct (errors (either by me or by prydwen) can always appear or a future character might use preexisting drive disks with other stats). Please use your own judgment when trashing drive disks. I take no responsibility if you trashed a good drive disk because of the data provided in the excel sheet.</a:t>
          </a:r>
        </a:p>
        <a:p>
          <a:r>
            <a:rPr lang="en-US" sz="1100"/>
            <a:t>		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ydwen.gg/" TargetMode="External"/><Relationship Id="rId2" Type="http://schemas.openxmlformats.org/officeDocument/2006/relationships/hyperlink" Target="https://github.com/Iluntrin/hoyo-equipment-overview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85"/>
  <sheetViews>
    <sheetView tabSelected="1" workbookViewId="0"/>
  </sheetViews>
  <sheetFormatPr defaultRowHeight="15"/>
  <cols>
    <col min="1" max="1" width="36.42578125" bestFit="1" customWidth="1"/>
    <col min="2" max="2" width="50.140625" bestFit="1" customWidth="1"/>
    <col min="3" max="3" width="19.140625" bestFit="1" customWidth="1"/>
    <col min="4" max="4" width="16.42578125" bestFit="1" customWidth="1"/>
    <col min="5" max="8" width="19.140625" bestFit="1" customWidth="1"/>
    <col min="9" max="10" width="12" bestFit="1" customWidth="1"/>
  </cols>
  <sheetData>
    <row r="1" spans="1:5">
      <c r="A1" s="1" t="s">
        <v>6</v>
      </c>
      <c r="B1" s="1"/>
      <c r="C1" s="1"/>
      <c r="D1" s="1"/>
      <c r="E1" s="1"/>
    </row>
    <row r="2" spans="1:5">
      <c r="A2" t="s">
        <v>0</v>
      </c>
      <c r="B2" t="s">
        <v>1</v>
      </c>
    </row>
    <row r="3" spans="1:5">
      <c r="A3" t="s">
        <v>2</v>
      </c>
      <c r="B3" s="2" t="s">
        <v>3</v>
      </c>
    </row>
    <row r="4" spans="1:5">
      <c r="A4" t="s">
        <v>4</v>
      </c>
      <c r="B4" s="2" t="s">
        <v>5</v>
      </c>
    </row>
    <row r="28" spans="1:9">
      <c r="A28" s="3" t="s">
        <v>7</v>
      </c>
    </row>
    <row r="29" spans="1:9">
      <c r="A29" s="3" t="s">
        <v>8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13</v>
      </c>
      <c r="G29" s="3" t="s">
        <v>14</v>
      </c>
      <c r="H29" s="3" t="s">
        <v>15</v>
      </c>
    </row>
    <row r="30" spans="1:9">
      <c r="A30" s="4" t="s">
        <v>16</v>
      </c>
      <c r="B30" s="5" t="s">
        <v>17</v>
      </c>
      <c r="C30" s="6">
        <f>IF(SUM(I31:I38)=0,0,SUM(C31:C38)/SUM(I31:I38))</f>
        <v/>
      </c>
      <c r="D30" s="6">
        <f>IF(SUM(I31:I38)=0,0,SUM(D31:D38)/SUM(I31:I38))</f>
        <v/>
      </c>
      <c r="E30" s="6">
        <f>IF(SUM(I31:I38)=0,0,SUM(E31:E38)/SUM(I31:I38))</f>
        <v/>
      </c>
      <c r="F30" s="6">
        <f>IF(SUM(I31:I38)=0,0,SUM(F31:F38)/SUM(I31:I38))</f>
        <v/>
      </c>
      <c r="G30" s="6">
        <f>IF(SUM(I31:I38)=0,0,SUM(G31:G38)/SUM(I31:I38))</f>
        <v/>
      </c>
      <c r="H30" s="6">
        <f>IF(SUM(I31:I38)=0,0,SUM(H31:H38)/SUM(I31:I38))</f>
        <v/>
      </c>
    </row>
    <row r="31" spans="1:9">
      <c r="A31" s="4" t="s">
        <v>18</v>
      </c>
      <c r="B31" s="7">
        <v>0</v>
      </c>
      <c r="C31" s="6">
        <f>IF(I31=1,1.0,0)</f>
        <v/>
      </c>
      <c r="D31" s="6">
        <f>IF(I31=1,0.9,0)</f>
        <v/>
      </c>
      <c r="E31" s="6">
        <f>IF(I31=1,0.7,0)</f>
        <v/>
      </c>
      <c r="F31" s="6">
        <f>IF(I31=1,0.8,0)</f>
        <v/>
      </c>
      <c r="G31" s="6">
        <f>IF(I31=1,0.8,0)</f>
        <v/>
      </c>
      <c r="H31" s="6">
        <f>IF(I31=1,0.8,0)</f>
        <v/>
      </c>
      <c r="I31" s="8">
        <f>IF(OR(LOOKUP(A31,characters!A:A,characters!B:B)=-1, LOOKUP(A31,characters!A:A,characters!B:B)+0.1&gt;=B31),1,0)</f>
        <v/>
      </c>
    </row>
    <row r="32" spans="1:9">
      <c r="A32" s="4" t="s">
        <v>19</v>
      </c>
      <c r="B32" s="7">
        <v>0</v>
      </c>
      <c r="C32" s="6">
        <f>IF(I32=1,1.0,0)</f>
        <v/>
      </c>
      <c r="D32" s="6">
        <f>IF(I32=1,0.9,0)</f>
        <v/>
      </c>
      <c r="E32" s="6">
        <f>IF(I32=1,0.9,0)</f>
        <v/>
      </c>
      <c r="F32" s="6">
        <f>IF(I32=1,1.0,0)</f>
        <v/>
      </c>
      <c r="G32" s="6">
        <f>IF(I32=1,1.0,0)</f>
        <v/>
      </c>
      <c r="H32" s="5" t="s">
        <v>17</v>
      </c>
      <c r="I32" s="8">
        <f>IF(OR(LOOKUP(A32,characters!A:A,characters!B:B)=-1, LOOKUP(A32,characters!A:A,characters!B:B)+0.1&gt;=B32),1,0)</f>
        <v/>
      </c>
    </row>
    <row r="33" spans="1:9">
      <c r="A33" s="4" t="s">
        <v>20</v>
      </c>
      <c r="B33" s="7">
        <v>0</v>
      </c>
      <c r="C33" s="6">
        <f>IF(I33=1,1.0,0)</f>
        <v/>
      </c>
      <c r="D33" s="6">
        <f>IF(I33=1,0.9,0)</f>
        <v/>
      </c>
      <c r="E33" s="6">
        <f>IF(I33=1,0.9,0)</f>
        <v/>
      </c>
      <c r="F33" s="5" t="s">
        <v>17</v>
      </c>
      <c r="G33" s="5" t="s">
        <v>17</v>
      </c>
      <c r="H33" s="6">
        <f>IF(I33=1,1.0,0)</f>
        <v/>
      </c>
      <c r="I33" s="8">
        <f>IF(OR(LOOKUP(A33,characters!A:A,characters!B:B)=-1, LOOKUP(A33,characters!A:A,characters!B:B)+0.1&gt;=B33),1,0)</f>
        <v/>
      </c>
    </row>
    <row r="34" spans="1:9">
      <c r="A34" s="4" t="s">
        <v>21</v>
      </c>
      <c r="B34" s="7">
        <v>0</v>
      </c>
      <c r="C34" s="6">
        <f>IF(I34=1,0.9,0)</f>
        <v/>
      </c>
      <c r="D34" s="6">
        <f>IF(I34=1,0.8,0)</f>
        <v/>
      </c>
      <c r="E34" s="6">
        <f>IF(I34=1,0.8,0)</f>
        <v/>
      </c>
      <c r="F34" s="5" t="s">
        <v>17</v>
      </c>
      <c r="G34" s="5" t="s">
        <v>17</v>
      </c>
      <c r="H34" s="6">
        <f>IF(I34=1,1.0,0)</f>
        <v/>
      </c>
      <c r="I34" s="8">
        <f>IF(OR(LOOKUP(A34,characters!A:A,characters!B:B)=-1, LOOKUP(A34,characters!A:A,characters!B:B)+0.1&gt;=B34),1,0)</f>
        <v/>
      </c>
    </row>
    <row r="35" spans="1:9">
      <c r="A35" s="4" t="s">
        <v>22</v>
      </c>
      <c r="B35" s="7">
        <v>0</v>
      </c>
      <c r="C35" s="6">
        <f>IF(I35=1,1.0,0)</f>
        <v/>
      </c>
      <c r="D35" s="6">
        <f>IF(I35=1,0.8,0)</f>
        <v/>
      </c>
      <c r="E35" s="6">
        <f>IF(I35=1,0.7,0)</f>
        <v/>
      </c>
      <c r="F35" s="5" t="s">
        <v>17</v>
      </c>
      <c r="G35" s="5" t="s">
        <v>17</v>
      </c>
      <c r="H35" s="6">
        <f>IF(I35=1,0.9,0)</f>
        <v/>
      </c>
      <c r="I35" s="8">
        <f>IF(OR(LOOKUP(A35,characters!A:A,characters!B:B)=-1, LOOKUP(A35,characters!A:A,characters!B:B)+0.1&gt;=B35),1,0)</f>
        <v/>
      </c>
    </row>
    <row r="36" spans="1:9">
      <c r="A36" s="4" t="s">
        <v>23</v>
      </c>
      <c r="B36" s="7">
        <v>0</v>
      </c>
      <c r="C36" s="6">
        <f>IF(I36=1,1.0,0)</f>
        <v/>
      </c>
      <c r="D36" s="6">
        <f>IF(I36=1,0.9,0)</f>
        <v/>
      </c>
      <c r="E36" s="6">
        <f>IF(I36=1,0.9,0)</f>
        <v/>
      </c>
      <c r="F36" s="6">
        <f>IF(I36=1,1.0,0)</f>
        <v/>
      </c>
      <c r="G36" s="6">
        <f>IF(I36=1,1.0,0)</f>
        <v/>
      </c>
      <c r="H36" s="5" t="s">
        <v>17</v>
      </c>
      <c r="I36" s="8">
        <f>IF(OR(LOOKUP(A36,characters!A:A,characters!B:B)=-1, LOOKUP(A36,characters!A:A,characters!B:B)+0.1&gt;=B36),1,0)</f>
        <v/>
      </c>
    </row>
    <row r="37" spans="1:9">
      <c r="A37" s="4" t="s">
        <v>24</v>
      </c>
      <c r="B37" s="7">
        <v>0.2</v>
      </c>
      <c r="C37" s="6">
        <f>IF(I37=1,1.0,0)</f>
        <v/>
      </c>
      <c r="D37" s="6">
        <f>IF(I37=1,0.9,0)</f>
        <v/>
      </c>
      <c r="E37" s="6">
        <f>IF(I37=1,0.9,0)</f>
        <v/>
      </c>
      <c r="F37" s="6">
        <f>IF(I37=1,1.0,0)</f>
        <v/>
      </c>
      <c r="G37" s="6">
        <f>IF(I37=1,1.0,0)</f>
        <v/>
      </c>
      <c r="H37" s="5" t="s">
        <v>17</v>
      </c>
      <c r="I37" s="8">
        <f>IF(OR(LOOKUP(A37,characters!A:A,characters!B:B)=-1, LOOKUP(A37,characters!A:A,characters!B:B)+0.1&gt;=B37),1,0)</f>
        <v/>
      </c>
    </row>
    <row r="38" spans="1:9">
      <c r="A38" s="4" t="s">
        <v>25</v>
      </c>
      <c r="B38" s="7">
        <v>0.2</v>
      </c>
      <c r="C38" s="6">
        <f>IF(I38=1,0.99,0)</f>
        <v/>
      </c>
      <c r="D38" s="6">
        <f>IF(I38=1,0.89,0)</f>
        <v/>
      </c>
      <c r="E38" s="6">
        <f>IF(I38=1,0.89,0)</f>
        <v/>
      </c>
      <c r="F38" s="6">
        <f>IF(I38=1,1.0,0)</f>
        <v/>
      </c>
      <c r="G38" s="6">
        <f>IF(I38=1,0.99,0)</f>
        <v/>
      </c>
      <c r="H38" s="6">
        <f>IF(I38=1,0.89,0)</f>
        <v/>
      </c>
      <c r="I38" s="8">
        <f>IF(OR(LOOKUP(A38,characters!A:A,characters!B:B)=-1, LOOKUP(A38,characters!A:A,characters!B:B)+0.1&gt;=B38),1,0)</f>
        <v/>
      </c>
    </row>
    <row r="40" spans="1:9">
      <c r="A40" s="3" t="s">
        <v>26</v>
      </c>
      <c r="B40" s="3" t="s">
        <v>9</v>
      </c>
      <c r="C40" s="3" t="s">
        <v>10</v>
      </c>
      <c r="D40" s="3" t="s">
        <v>14</v>
      </c>
      <c r="E40" s="3" t="s">
        <v>13</v>
      </c>
      <c r="F40" s="3" t="s">
        <v>15</v>
      </c>
    </row>
    <row r="41" spans="1:9">
      <c r="A41" s="4" t="s">
        <v>16</v>
      </c>
      <c r="B41" s="5" t="s">
        <v>17</v>
      </c>
      <c r="C41" s="6">
        <f>IF(SUM(G42:G49)=0,0,SUM(C42:C49)/SUM(G42:G49))</f>
        <v/>
      </c>
      <c r="D41" s="6">
        <f>IF(SUM(G42:G49)=0,0,SUM(D42:D49)/SUM(G42:G49))</f>
        <v/>
      </c>
      <c r="E41" s="6">
        <f>IF(SUM(G42:G49)=0,0,SUM(E42:E49)/SUM(G42:G49))</f>
        <v/>
      </c>
      <c r="F41" s="6">
        <f>IF(SUM(G42:G49)=0,0,SUM(F42:F49)/SUM(G42:G49))</f>
        <v/>
      </c>
    </row>
    <row r="42" spans="1:9">
      <c r="A42" s="4" t="s">
        <v>18</v>
      </c>
      <c r="B42" s="7">
        <v>0</v>
      </c>
      <c r="C42" s="6">
        <f>IF(G42=1,1.0,0)</f>
        <v/>
      </c>
      <c r="D42" s="5" t="s">
        <v>17</v>
      </c>
      <c r="E42" s="5" t="s">
        <v>17</v>
      </c>
      <c r="F42" s="5" t="s">
        <v>17</v>
      </c>
      <c r="G42" s="8">
        <f>IF(OR(LOOKUP(A42,characters!A:A,characters!B:B)=-1, LOOKUP(A42,characters!A:A,characters!B:B)+0.1&gt;=B42),1,0)</f>
        <v/>
      </c>
    </row>
    <row r="43" spans="1:9">
      <c r="A43" s="4" t="s">
        <v>24</v>
      </c>
      <c r="B43" s="7">
        <v>0.2</v>
      </c>
      <c r="C43" s="5" t="s">
        <v>17</v>
      </c>
      <c r="D43" s="6">
        <f>IF(G43=1,1.0,0)</f>
        <v/>
      </c>
      <c r="E43" s="6">
        <f>IF(G43=1,0.99,0)</f>
        <v/>
      </c>
      <c r="F43" s="5" t="s">
        <v>17</v>
      </c>
      <c r="G43" s="8">
        <f>IF(OR(LOOKUP(A43,characters!A:A,characters!B:B)=-1, LOOKUP(A43,characters!A:A,characters!B:B)+0.1&gt;=B43),1,0)</f>
        <v/>
      </c>
    </row>
    <row r="44" spans="1:9">
      <c r="A44" s="4" t="s">
        <v>19</v>
      </c>
      <c r="B44" s="7">
        <v>0</v>
      </c>
      <c r="C44" s="6">
        <f>IF(G44=1,1.0,0)</f>
        <v/>
      </c>
      <c r="D44" s="5" t="s">
        <v>17</v>
      </c>
      <c r="E44" s="6">
        <f>IF(G44=1,0.9,0)</f>
        <v/>
      </c>
      <c r="F44" s="5" t="s">
        <v>17</v>
      </c>
      <c r="G44" s="8">
        <f>IF(OR(LOOKUP(A44,characters!A:A,characters!B:B)=-1, LOOKUP(A44,characters!A:A,characters!B:B)+0.1&gt;=B44),1,0)</f>
        <v/>
      </c>
    </row>
    <row r="45" spans="1:9">
      <c r="A45" s="4" t="s">
        <v>25</v>
      </c>
      <c r="B45" s="7">
        <v>0.2</v>
      </c>
      <c r="C45" s="6">
        <f>IF(G45=1,0.99,0)</f>
        <v/>
      </c>
      <c r="D45" s="5" t="s">
        <v>17</v>
      </c>
      <c r="E45" s="6">
        <f>IF(G45=1,1.0,0)</f>
        <v/>
      </c>
      <c r="F45" s="5" t="s">
        <v>17</v>
      </c>
      <c r="G45" s="8">
        <f>IF(OR(LOOKUP(A45,characters!A:A,characters!B:B)=-1, LOOKUP(A45,characters!A:A,characters!B:B)+0.1&gt;=B45),1,0)</f>
        <v/>
      </c>
    </row>
    <row r="46" spans="1:9">
      <c r="A46" s="4" t="s">
        <v>20</v>
      </c>
      <c r="B46" s="7">
        <v>0</v>
      </c>
      <c r="C46" s="6">
        <f>IF(G46=1,1.0,0)</f>
        <v/>
      </c>
      <c r="D46" s="5" t="s">
        <v>17</v>
      </c>
      <c r="E46" s="5" t="s">
        <v>17</v>
      </c>
      <c r="F46" s="6">
        <f>IF(G46=1,1.0,0)</f>
        <v/>
      </c>
      <c r="G46" s="8">
        <f>IF(OR(LOOKUP(A46,characters!A:A,characters!B:B)=-1, LOOKUP(A46,characters!A:A,characters!B:B)+0.1&gt;=B46),1,0)</f>
        <v/>
      </c>
    </row>
    <row r="47" spans="1:9">
      <c r="A47" s="4" t="s">
        <v>21</v>
      </c>
      <c r="B47" s="7">
        <v>0</v>
      </c>
      <c r="C47" s="6">
        <f>IF(G47=1,1.0,0)</f>
        <v/>
      </c>
      <c r="D47" s="5" t="s">
        <v>17</v>
      </c>
      <c r="E47" s="5" t="s">
        <v>17</v>
      </c>
      <c r="F47" s="6">
        <f>IF(G47=1,1.0,0)</f>
        <v/>
      </c>
      <c r="G47" s="8">
        <f>IF(OR(LOOKUP(A47,characters!A:A,characters!B:B)=-1, LOOKUP(A47,characters!A:A,characters!B:B)+0.1&gt;=B47),1,0)</f>
        <v/>
      </c>
    </row>
    <row r="48" spans="1:9">
      <c r="A48" s="4" t="s">
        <v>22</v>
      </c>
      <c r="B48" s="7">
        <v>0</v>
      </c>
      <c r="C48" s="6">
        <f>IF(G48=1,1.0,0)</f>
        <v/>
      </c>
      <c r="D48" s="5" t="s">
        <v>17</v>
      </c>
      <c r="E48" s="5" t="s">
        <v>17</v>
      </c>
      <c r="F48" s="6">
        <f>IF(G48=1,0.99,0)</f>
        <v/>
      </c>
      <c r="G48" s="8">
        <f>IF(OR(LOOKUP(A48,characters!A:A,characters!B:B)=-1, LOOKUP(A48,characters!A:A,characters!B:B)+0.1&gt;=B48),1,0)</f>
        <v/>
      </c>
    </row>
    <row r="49" spans="1:8">
      <c r="A49" s="4" t="s">
        <v>23</v>
      </c>
      <c r="B49" s="7">
        <v>0</v>
      </c>
      <c r="C49" s="6">
        <f>IF(G49=1,1.0,0)</f>
        <v/>
      </c>
      <c r="D49" s="5" t="s">
        <v>17</v>
      </c>
      <c r="E49" s="6">
        <f>IF(G49=1,0.9,0)</f>
        <v/>
      </c>
      <c r="F49" s="5" t="s">
        <v>17</v>
      </c>
      <c r="G49" s="8">
        <f>IF(OR(LOOKUP(A49,characters!A:A,characters!B:B)=-1, LOOKUP(A49,characters!A:A,characters!B:B)+0.1&gt;=B49),1,0)</f>
        <v/>
      </c>
    </row>
    <row r="51" spans="1:8">
      <c r="A51" s="3" t="s">
        <v>27</v>
      </c>
      <c r="B51" s="3" t="s">
        <v>9</v>
      </c>
      <c r="C51" s="3" t="s">
        <v>10</v>
      </c>
      <c r="D51" s="3" t="s">
        <v>28</v>
      </c>
      <c r="E51" s="3" t="s">
        <v>29</v>
      </c>
      <c r="F51" s="3" t="s">
        <v>30</v>
      </c>
      <c r="G51" s="3" t="s">
        <v>31</v>
      </c>
    </row>
    <row r="52" spans="1:8">
      <c r="A52" s="4" t="s">
        <v>16</v>
      </c>
      <c r="B52" s="5" t="s">
        <v>17</v>
      </c>
      <c r="C52" s="6">
        <f>IF(SUM(H53:H60)=0,0,SUM(C53:C60)/SUM(H53:H60))</f>
        <v/>
      </c>
      <c r="D52" s="6">
        <f>IF(SUM(H53:H60)=0,0,SUM(D53:D60)/SUM(H53:H60))</f>
        <v/>
      </c>
      <c r="E52" s="6">
        <f>IF(SUM(H53:H60)=0,0,SUM(E53:E60)/SUM(H53:H60))</f>
        <v/>
      </c>
      <c r="F52" s="6">
        <f>IF(SUM(H53:H60)=0,0,SUM(F53:F60)/SUM(H53:H60))</f>
        <v/>
      </c>
      <c r="G52" s="6">
        <f>IF(SUM(H53:H60)=0,0,SUM(G53:G60)/SUM(H53:H60))</f>
        <v/>
      </c>
    </row>
    <row r="53" spans="1:8">
      <c r="A53" s="4" t="s">
        <v>18</v>
      </c>
      <c r="B53" s="7">
        <v>0</v>
      </c>
      <c r="C53" s="6">
        <f>IF(H53=1,1.0,0)</f>
        <v/>
      </c>
      <c r="D53" s="5" t="s">
        <v>17</v>
      </c>
      <c r="E53" s="5" t="s">
        <v>17</v>
      </c>
      <c r="F53" s="5" t="s">
        <v>17</v>
      </c>
      <c r="G53" s="5" t="s">
        <v>17</v>
      </c>
      <c r="H53" s="8">
        <f>IF(OR(LOOKUP(A53,characters!A:A,characters!B:B)=-1, LOOKUP(A53,characters!A:A,characters!B:B)+0.1&gt;=B53),1,0)</f>
        <v/>
      </c>
    </row>
    <row r="54" spans="1:8">
      <c r="A54" s="4" t="s">
        <v>24</v>
      </c>
      <c r="B54" s="7">
        <v>0.2</v>
      </c>
      <c r="C54" s="6">
        <f>IF(H54=1,0.99,0)</f>
        <v/>
      </c>
      <c r="D54" s="6">
        <f>IF(H54=1,1.0,0)</f>
        <v/>
      </c>
      <c r="E54" s="5" t="s">
        <v>17</v>
      </c>
      <c r="F54" s="5" t="s">
        <v>17</v>
      </c>
      <c r="G54" s="5" t="s">
        <v>17</v>
      </c>
      <c r="H54" s="8">
        <f>IF(OR(LOOKUP(A54,characters!A:A,characters!B:B)=-1, LOOKUP(A54,characters!A:A,characters!B:B)+0.1&gt;=B54),1,0)</f>
        <v/>
      </c>
    </row>
    <row r="55" spans="1:8">
      <c r="A55" s="4" t="s">
        <v>19</v>
      </c>
      <c r="B55" s="7">
        <v>0</v>
      </c>
      <c r="C55" s="6">
        <f>IF(H55=1,1.0,0)</f>
        <v/>
      </c>
      <c r="D55" s="5" t="s">
        <v>17</v>
      </c>
      <c r="E55" s="5" t="s">
        <v>17</v>
      </c>
      <c r="F55" s="5" t="s">
        <v>17</v>
      </c>
      <c r="G55" s="5" t="s">
        <v>17</v>
      </c>
      <c r="H55" s="8">
        <f>IF(OR(LOOKUP(A55,characters!A:A,characters!B:B)=-1, LOOKUP(A55,characters!A:A,characters!B:B)+0.1&gt;=B55),1,0)</f>
        <v/>
      </c>
    </row>
    <row r="56" spans="1:8">
      <c r="A56" s="4" t="s">
        <v>25</v>
      </c>
      <c r="B56" s="7">
        <v>0.2</v>
      </c>
      <c r="C56" s="6">
        <f>IF(H56=1,1.0,0)</f>
        <v/>
      </c>
      <c r="D56" s="5" t="s">
        <v>17</v>
      </c>
      <c r="E56" s="6">
        <f>IF(H56=1,1.0,0)</f>
        <v/>
      </c>
      <c r="F56" s="5" t="s">
        <v>17</v>
      </c>
      <c r="G56" s="5" t="s">
        <v>17</v>
      </c>
      <c r="H56" s="8">
        <f>IF(OR(LOOKUP(A56,characters!A:A,characters!B:B)=-1, LOOKUP(A56,characters!A:A,characters!B:B)+0.1&gt;=B56),1,0)</f>
        <v/>
      </c>
    </row>
    <row r="57" spans="1:8">
      <c r="A57" s="4" t="s">
        <v>20</v>
      </c>
      <c r="B57" s="7">
        <v>0</v>
      </c>
      <c r="C57" s="6">
        <f>IF(H57=1,0.9,0)</f>
        <v/>
      </c>
      <c r="D57" s="5" t="s">
        <v>17</v>
      </c>
      <c r="E57" s="5" t="s">
        <v>17</v>
      </c>
      <c r="F57" s="6">
        <f>IF(H57=1,1.0,0)</f>
        <v/>
      </c>
      <c r="G57" s="5" t="s">
        <v>17</v>
      </c>
      <c r="H57" s="8">
        <f>IF(OR(LOOKUP(A57,characters!A:A,characters!B:B)=-1, LOOKUP(A57,characters!A:A,characters!B:B)+0.1&gt;=B57),1,0)</f>
        <v/>
      </c>
    </row>
    <row r="58" spans="1:8">
      <c r="A58" s="4" t="s">
        <v>21</v>
      </c>
      <c r="B58" s="7">
        <v>0</v>
      </c>
      <c r="C58" s="5" t="s">
        <v>17</v>
      </c>
      <c r="D58" s="5" t="s">
        <v>17</v>
      </c>
      <c r="E58" s="5" t="s">
        <v>17</v>
      </c>
      <c r="F58" s="5" t="s">
        <v>17</v>
      </c>
      <c r="G58" s="6">
        <f>IF(H58=1,1.0,0)</f>
        <v/>
      </c>
      <c r="H58" s="8">
        <f>IF(OR(LOOKUP(A58,characters!A:A,characters!B:B)=-1, LOOKUP(A58,characters!A:A,characters!B:B)+0.1&gt;=B58),1,0)</f>
        <v/>
      </c>
    </row>
    <row r="59" spans="1:8">
      <c r="A59" s="4" t="s">
        <v>22</v>
      </c>
      <c r="B59" s="7">
        <v>0</v>
      </c>
      <c r="C59" s="6">
        <f>IF(H59=1,1.0,0)</f>
        <v/>
      </c>
      <c r="D59" s="6">
        <f>IF(H59=1,0.99,0)</f>
        <v/>
      </c>
      <c r="E59" s="5" t="s">
        <v>17</v>
      </c>
      <c r="F59" s="5" t="s">
        <v>17</v>
      </c>
      <c r="G59" s="5" t="s">
        <v>17</v>
      </c>
      <c r="H59" s="8">
        <f>IF(OR(LOOKUP(A59,characters!A:A,characters!B:B)=-1, LOOKUP(A59,characters!A:A,characters!B:B)+0.1&gt;=B59),1,0)</f>
        <v/>
      </c>
    </row>
    <row r="60" spans="1:8">
      <c r="A60" s="4" t="s">
        <v>23</v>
      </c>
      <c r="B60" s="7">
        <v>0</v>
      </c>
      <c r="C60" s="6">
        <f>IF(H60=1,1.0,0)</f>
        <v/>
      </c>
      <c r="D60" s="5" t="s">
        <v>17</v>
      </c>
      <c r="E60" s="6">
        <f>IF(H60=1,0.9,0)</f>
        <v/>
      </c>
      <c r="F60" s="5" t="s">
        <v>17</v>
      </c>
      <c r="G60" s="5" t="s">
        <v>17</v>
      </c>
      <c r="H60" s="8">
        <f>IF(OR(LOOKUP(A60,characters!A:A,characters!B:B)=-1, LOOKUP(A60,characters!A:A,characters!B:B)+0.1&gt;=B60),1,0)</f>
        <v/>
      </c>
    </row>
    <row r="62" spans="1:8">
      <c r="A62" s="3" t="s">
        <v>32</v>
      </c>
      <c r="B62" s="3" t="s">
        <v>9</v>
      </c>
      <c r="C62" s="3" t="s">
        <v>33</v>
      </c>
      <c r="D62" s="3" t="s">
        <v>10</v>
      </c>
      <c r="E62" s="3" t="s">
        <v>34</v>
      </c>
    </row>
    <row r="63" spans="1:8">
      <c r="A63" s="4" t="s">
        <v>16</v>
      </c>
      <c r="B63" s="5" t="s">
        <v>17</v>
      </c>
      <c r="C63" s="6">
        <f>IF(SUM(F64:F71)=0,0,SUM(C64:C71)/SUM(F64:F71))</f>
        <v/>
      </c>
      <c r="D63" s="6">
        <f>IF(SUM(F64:F71)=0,0,SUM(D64:D71)/SUM(F64:F71))</f>
        <v/>
      </c>
      <c r="E63" s="6">
        <f>IF(SUM(F64:F71)=0,0,SUM(E64:E71)/SUM(F64:F71))</f>
        <v/>
      </c>
    </row>
    <row r="64" spans="1:8">
      <c r="A64" s="4" t="s">
        <v>18</v>
      </c>
      <c r="B64" s="7">
        <v>0</v>
      </c>
      <c r="C64" s="6">
        <f>IF(F64=1,1.0,0)</f>
        <v/>
      </c>
      <c r="D64" s="6">
        <f>IF(F64=1,1.0,0)</f>
        <v/>
      </c>
      <c r="E64" s="5" t="s">
        <v>17</v>
      </c>
      <c r="F64" s="8">
        <f>IF(OR(LOOKUP(A64,characters!A:A,characters!B:B)=-1, LOOKUP(A64,characters!A:A,characters!B:B)+0.1&gt;=B64),1,0)</f>
        <v/>
      </c>
    </row>
    <row r="65" spans="1:8">
      <c r="A65" s="4" t="s">
        <v>24</v>
      </c>
      <c r="B65" s="7">
        <v>0.2</v>
      </c>
      <c r="C65" s="5" t="s">
        <v>17</v>
      </c>
      <c r="D65" s="6">
        <f>IF(F65=1,1.0,0)</f>
        <v/>
      </c>
      <c r="E65" s="5" t="s">
        <v>17</v>
      </c>
      <c r="F65" s="8">
        <f>IF(OR(LOOKUP(A65,characters!A:A,characters!B:B)=-1, LOOKUP(A65,characters!A:A,characters!B:B)+0.1&gt;=B65),1,0)</f>
        <v/>
      </c>
    </row>
    <row r="66" spans="1:8">
      <c r="A66" s="4" t="s">
        <v>19</v>
      </c>
      <c r="B66" s="7">
        <v>0</v>
      </c>
      <c r="C66" s="6">
        <f>IF(F66=1,1.0,0)</f>
        <v/>
      </c>
      <c r="D66" s="6">
        <f>IF(F66=1,1.0,0)</f>
        <v/>
      </c>
      <c r="E66" s="5" t="s">
        <v>17</v>
      </c>
      <c r="F66" s="8">
        <f>IF(OR(LOOKUP(A66,characters!A:A,characters!B:B)=-1, LOOKUP(A66,characters!A:A,characters!B:B)+0.1&gt;=B66),1,0)</f>
        <v/>
      </c>
    </row>
    <row r="67" spans="1:8">
      <c r="A67" s="4" t="s">
        <v>25</v>
      </c>
      <c r="B67" s="7">
        <v>0.2</v>
      </c>
      <c r="C67" s="5" t="s">
        <v>17</v>
      </c>
      <c r="D67" s="6">
        <f>IF(F67=1,1.0,0)</f>
        <v/>
      </c>
      <c r="E67" s="5" t="s">
        <v>17</v>
      </c>
      <c r="F67" s="8">
        <f>IF(OR(LOOKUP(A67,characters!A:A,characters!B:B)=-1, LOOKUP(A67,characters!A:A,characters!B:B)+0.1&gt;=B67),1,0)</f>
        <v/>
      </c>
    </row>
    <row r="68" spans="1:8">
      <c r="A68" s="4" t="s">
        <v>20</v>
      </c>
      <c r="B68" s="7">
        <v>0</v>
      </c>
      <c r="C68" s="6">
        <f>IF(F68=1,1.0,0)</f>
        <v/>
      </c>
      <c r="D68" s="6">
        <f>IF(F68=1,1.0,0)</f>
        <v/>
      </c>
      <c r="E68" s="5" t="s">
        <v>17</v>
      </c>
      <c r="F68" s="8">
        <f>IF(OR(LOOKUP(A68,characters!A:A,characters!B:B)=-1, LOOKUP(A68,characters!A:A,characters!B:B)+0.1&gt;=B68),1,0)</f>
        <v/>
      </c>
    </row>
    <row r="69" spans="1:8">
      <c r="A69" s="4" t="s">
        <v>21</v>
      </c>
      <c r="B69" s="7">
        <v>0</v>
      </c>
      <c r="C69" s="6">
        <f>IF(F69=1,1.0,0)</f>
        <v/>
      </c>
      <c r="D69" s="6">
        <f>IF(F69=1,0.99,0)</f>
        <v/>
      </c>
      <c r="E69" s="5" t="s">
        <v>17</v>
      </c>
      <c r="F69" s="8">
        <f>IF(OR(LOOKUP(A69,characters!A:A,characters!B:B)=-1, LOOKUP(A69,characters!A:A,characters!B:B)+0.1&gt;=B69),1,0)</f>
        <v/>
      </c>
    </row>
    <row r="70" spans="1:8">
      <c r="A70" s="4" t="s">
        <v>22</v>
      </c>
      <c r="B70" s="7">
        <v>0</v>
      </c>
      <c r="C70" s="6">
        <f>IF(F70=1,1.0,0)</f>
        <v/>
      </c>
      <c r="D70" s="5" t="s">
        <v>17</v>
      </c>
      <c r="E70" s="6">
        <f>IF(F70=1,1.0,0)</f>
        <v/>
      </c>
      <c r="F70" s="8">
        <f>IF(OR(LOOKUP(A70,characters!A:A,characters!B:B)=-1, LOOKUP(A70,characters!A:A,characters!B:B)+0.1&gt;=B70),1,0)</f>
        <v/>
      </c>
    </row>
    <row r="71" spans="1:8">
      <c r="A71" s="4" t="s">
        <v>23</v>
      </c>
      <c r="B71" s="7">
        <v>0</v>
      </c>
      <c r="C71" s="6">
        <f>IF(F71=1,1.0,0)</f>
        <v/>
      </c>
      <c r="D71" s="6">
        <f>IF(F71=1,1.0,0)</f>
        <v/>
      </c>
      <c r="E71" s="5" t="s">
        <v>17</v>
      </c>
      <c r="F71" s="8">
        <f>IF(OR(LOOKUP(A71,characters!A:A,characters!B:B)=-1, LOOKUP(A71,characters!A:A,characters!B:B)+0.1&gt;=B71),1,0)</f>
        <v/>
      </c>
    </row>
    <row r="78" spans="1:8">
      <c r="A78" s="3" t="s">
        <v>35</v>
      </c>
    </row>
    <row r="79" spans="1:8">
      <c r="A79" s="3" t="s">
        <v>8</v>
      </c>
      <c r="B79" s="3" t="s">
        <v>9</v>
      </c>
      <c r="C79" s="3" t="s">
        <v>13</v>
      </c>
      <c r="D79" s="3" t="s">
        <v>14</v>
      </c>
      <c r="E79" s="3" t="s">
        <v>10</v>
      </c>
      <c r="F79" s="3" t="s">
        <v>12</v>
      </c>
      <c r="G79" s="3" t="s">
        <v>11</v>
      </c>
      <c r="H79" s="3" t="s">
        <v>15</v>
      </c>
    </row>
    <row r="80" spans="1:8">
      <c r="A80" s="4" t="s">
        <v>16</v>
      </c>
      <c r="B80" s="5" t="s">
        <v>17</v>
      </c>
      <c r="C80" s="6">
        <f>IF(SUM(I81:I82)=0,0,SUM(C81:C82)/SUM(I81:I82))</f>
        <v/>
      </c>
      <c r="D80" s="6">
        <f>IF(SUM(I81:I82)=0,0,SUM(D81:D82)/SUM(I81:I82))</f>
        <v/>
      </c>
      <c r="E80" s="6">
        <f>IF(SUM(I81:I82)=0,0,SUM(E81:E82)/SUM(I81:I82))</f>
        <v/>
      </c>
      <c r="F80" s="6">
        <f>IF(SUM(I81:I82)=0,0,SUM(F81:F82)/SUM(I81:I82))</f>
        <v/>
      </c>
      <c r="G80" s="6">
        <f>IF(SUM(I81:I82)=0,0,SUM(G81:G82)/SUM(I81:I82))</f>
        <v/>
      </c>
      <c r="H80" s="6">
        <f>IF(SUM(I81:I82)=0,0,SUM(H81:H82)/SUM(I81:I82))</f>
        <v/>
      </c>
    </row>
    <row r="81" spans="1:9">
      <c r="A81" s="4" t="s">
        <v>25</v>
      </c>
      <c r="B81" s="7">
        <v>0</v>
      </c>
      <c r="C81" s="6">
        <f>IF(I81=1,1.0,0)</f>
        <v/>
      </c>
      <c r="D81" s="6">
        <f>IF(I81=1,0.99,0)</f>
        <v/>
      </c>
      <c r="E81" s="6">
        <f>IF(I81=1,0.99,0)</f>
        <v/>
      </c>
      <c r="F81" s="6">
        <f>IF(I81=1,0.89,0)</f>
        <v/>
      </c>
      <c r="G81" s="6">
        <f>IF(I81=1,0.89,0)</f>
        <v/>
      </c>
      <c r="H81" s="6">
        <f>IF(I81=1,0.89,0)</f>
        <v/>
      </c>
      <c r="I81" s="8">
        <f>IF(OR(LOOKUP(A81,characters!A:A,characters!B:B)=-1, LOOKUP(A81,characters!A:A,characters!B:B)+0.1&gt;=B81),1,0)</f>
        <v/>
      </c>
    </row>
    <row r="82" spans="1:9">
      <c r="A82" s="4" t="s">
        <v>24</v>
      </c>
      <c r="B82" s="7">
        <v>0.3</v>
      </c>
      <c r="C82" s="6">
        <f>IF(I82=1,1.0,0)</f>
        <v/>
      </c>
      <c r="D82" s="6">
        <f>IF(I82=1,1.0,0)</f>
        <v/>
      </c>
      <c r="E82" s="6">
        <f>IF(I82=1,1.0,0)</f>
        <v/>
      </c>
      <c r="F82" s="6">
        <f>IF(I82=1,0.9,0)</f>
        <v/>
      </c>
      <c r="G82" s="6">
        <f>IF(I82=1,0.9,0)</f>
        <v/>
      </c>
      <c r="H82" s="5" t="s">
        <v>17</v>
      </c>
      <c r="I82" s="8">
        <f>IF(OR(LOOKUP(A82,characters!A:A,characters!B:B)=-1, LOOKUP(A82,characters!A:A,characters!B:B)+0.1&gt;=B82),1,0)</f>
        <v/>
      </c>
    </row>
    <row r="84" spans="1:9">
      <c r="A84" s="3" t="s">
        <v>26</v>
      </c>
      <c r="B84" s="3" t="s">
        <v>9</v>
      </c>
      <c r="C84" s="3" t="s">
        <v>14</v>
      </c>
      <c r="D84" s="3" t="s">
        <v>13</v>
      </c>
      <c r="E84" s="3" t="s">
        <v>10</v>
      </c>
    </row>
    <row r="85" spans="1:9">
      <c r="A85" s="4" t="s">
        <v>16</v>
      </c>
      <c r="B85" s="5" t="s">
        <v>17</v>
      </c>
      <c r="C85" s="6">
        <f>IF(SUM(F86:F87)=0,0,SUM(C86:C87)/SUM(F86:F87))</f>
        <v/>
      </c>
      <c r="D85" s="6">
        <f>IF(SUM(F86:F87)=0,0,SUM(D86:D87)/SUM(F86:F87))</f>
        <v/>
      </c>
      <c r="E85" s="6">
        <f>IF(SUM(F86:F87)=0,0,SUM(E86:E87)/SUM(F86:F87))</f>
        <v/>
      </c>
    </row>
    <row r="86" spans="1:9">
      <c r="A86" s="4" t="s">
        <v>24</v>
      </c>
      <c r="B86" s="7">
        <v>0.3</v>
      </c>
      <c r="C86" s="6">
        <f>IF(F86=1,1.0,0)</f>
        <v/>
      </c>
      <c r="D86" s="6">
        <f>IF(F86=1,0.99,0)</f>
        <v/>
      </c>
      <c r="E86" s="5" t="s">
        <v>17</v>
      </c>
      <c r="F86" s="8">
        <f>IF(OR(LOOKUP(A86,characters!A:A,characters!B:B)=-1, LOOKUP(A86,characters!A:A,characters!B:B)+0.1&gt;=B86),1,0)</f>
        <v/>
      </c>
    </row>
    <row r="87" spans="1:9">
      <c r="A87" s="4" t="s">
        <v>25</v>
      </c>
      <c r="B87" s="7">
        <v>0</v>
      </c>
      <c r="C87" s="5" t="s">
        <v>17</v>
      </c>
      <c r="D87" s="6">
        <f>IF(F87=1,1.0,0)</f>
        <v/>
      </c>
      <c r="E87" s="6">
        <f>IF(F87=1,0.99,0)</f>
        <v/>
      </c>
      <c r="F87" s="8">
        <f>IF(OR(LOOKUP(A87,characters!A:A,characters!B:B)=-1, LOOKUP(A87,characters!A:A,characters!B:B)+0.1&gt;=B87),1,0)</f>
        <v/>
      </c>
    </row>
    <row r="89" spans="1:9">
      <c r="A89" s="3" t="s">
        <v>27</v>
      </c>
      <c r="B89" s="3" t="s">
        <v>9</v>
      </c>
      <c r="C89" s="3" t="s">
        <v>28</v>
      </c>
      <c r="D89" s="3" t="s">
        <v>10</v>
      </c>
      <c r="E89" s="3" t="s">
        <v>29</v>
      </c>
    </row>
    <row r="90" spans="1:9">
      <c r="A90" s="4" t="s">
        <v>16</v>
      </c>
      <c r="B90" s="5" t="s">
        <v>17</v>
      </c>
      <c r="C90" s="6">
        <f>IF(SUM(F91:F92)=0,0,SUM(C91:C92)/SUM(F91:F92))</f>
        <v/>
      </c>
      <c r="D90" s="6">
        <f>IF(SUM(F91:F92)=0,0,SUM(D91:D92)/SUM(F91:F92))</f>
        <v/>
      </c>
      <c r="E90" s="6">
        <f>IF(SUM(F91:F92)=0,0,SUM(E91:E92)/SUM(F91:F92))</f>
        <v/>
      </c>
    </row>
    <row r="91" spans="1:9">
      <c r="A91" s="4" t="s">
        <v>24</v>
      </c>
      <c r="B91" s="7">
        <v>0.3</v>
      </c>
      <c r="C91" s="6">
        <f>IF(F91=1,1.0,0)</f>
        <v/>
      </c>
      <c r="D91" s="6">
        <f>IF(F91=1,0.99,0)</f>
        <v/>
      </c>
      <c r="E91" s="5" t="s">
        <v>17</v>
      </c>
      <c r="F91" s="8">
        <f>IF(OR(LOOKUP(A91,characters!A:A,characters!B:B)=-1, LOOKUP(A91,characters!A:A,characters!B:B)+0.1&gt;=B91),1,0)</f>
        <v/>
      </c>
    </row>
    <row r="92" spans="1:9">
      <c r="A92" s="4" t="s">
        <v>25</v>
      </c>
      <c r="B92" s="7">
        <v>0</v>
      </c>
      <c r="C92" s="5" t="s">
        <v>17</v>
      </c>
      <c r="D92" s="6">
        <f>IF(F92=1,1.0,0)</f>
        <v/>
      </c>
      <c r="E92" s="6">
        <f>IF(F92=1,1.0,0)</f>
        <v/>
      </c>
      <c r="F92" s="8">
        <f>IF(OR(LOOKUP(A92,characters!A:A,characters!B:B)=-1, LOOKUP(A92,characters!A:A,characters!B:B)+0.1&gt;=B92),1,0)</f>
        <v/>
      </c>
    </row>
    <row r="94" spans="1:9">
      <c r="A94" s="3" t="s">
        <v>32</v>
      </c>
      <c r="B94" s="3" t="s">
        <v>9</v>
      </c>
      <c r="C94" s="3" t="s">
        <v>10</v>
      </c>
    </row>
    <row r="95" spans="1:9">
      <c r="A95" s="4" t="s">
        <v>16</v>
      </c>
      <c r="B95" s="5" t="s">
        <v>17</v>
      </c>
      <c r="C95" s="6">
        <f>IF(SUM(D96:D97)=0,0,SUM(C96:C97)/SUM(D96:D97))</f>
        <v/>
      </c>
    </row>
    <row r="96" spans="1:9">
      <c r="A96" s="4" t="s">
        <v>24</v>
      </c>
      <c r="B96" s="7">
        <v>0.3</v>
      </c>
      <c r="C96" s="6">
        <f>IF(D96=1,1.0,0)</f>
        <v/>
      </c>
      <c r="D96" s="8">
        <f>IF(OR(LOOKUP(A96,characters!A:A,characters!B:B)=-1, LOOKUP(A96,characters!A:A,characters!B:B)+0.1&gt;=B96),1,0)</f>
        <v/>
      </c>
    </row>
    <row r="97" spans="1:9">
      <c r="A97" s="4" t="s">
        <v>25</v>
      </c>
      <c r="B97" s="7">
        <v>0</v>
      </c>
      <c r="C97" s="6">
        <f>IF(D97=1,1.0,0)</f>
        <v/>
      </c>
      <c r="D97" s="8">
        <f>IF(OR(LOOKUP(A97,characters!A:A,characters!B:B)=-1, LOOKUP(A97,characters!A:A,characters!B:B)+0.1&gt;=B97),1,0)</f>
        <v/>
      </c>
    </row>
    <row r="104" spans="1:9">
      <c r="A104" s="3" t="s">
        <v>36</v>
      </c>
    </row>
    <row r="105" spans="1:9">
      <c r="A105" s="3" t="s">
        <v>8</v>
      </c>
      <c r="B105" s="3" t="s">
        <v>9</v>
      </c>
      <c r="C105" s="3" t="s">
        <v>10</v>
      </c>
      <c r="D105" s="3" t="s">
        <v>11</v>
      </c>
      <c r="E105" s="3" t="s">
        <v>12</v>
      </c>
      <c r="F105" s="3" t="s">
        <v>15</v>
      </c>
      <c r="G105" s="3" t="s">
        <v>13</v>
      </c>
      <c r="H105" s="3" t="s">
        <v>14</v>
      </c>
    </row>
    <row r="106" spans="1:9">
      <c r="A106" s="4" t="s">
        <v>16</v>
      </c>
      <c r="B106" s="5" t="s">
        <v>17</v>
      </c>
      <c r="C106" s="6">
        <f>IF(SUM(I107:I115)=0,0,SUM(C107:C115)/SUM(I107:I115))</f>
        <v/>
      </c>
      <c r="D106" s="6">
        <f>IF(SUM(I107:I115)=0,0,SUM(D107:D115)/SUM(I107:I115))</f>
        <v/>
      </c>
      <c r="E106" s="6">
        <f>IF(SUM(I107:I115)=0,0,SUM(E107:E115)/SUM(I107:I115))</f>
        <v/>
      </c>
      <c r="F106" s="6">
        <f>IF(SUM(I107:I115)=0,0,SUM(F107:F115)/SUM(I107:I115))</f>
        <v/>
      </c>
      <c r="G106" s="6">
        <f>IF(SUM(I107:I115)=0,0,SUM(G107:G115)/SUM(I107:I115))</f>
        <v/>
      </c>
      <c r="H106" s="6">
        <f>IF(SUM(I107:I115)=0,0,SUM(H107:H115)/SUM(I107:I115))</f>
        <v/>
      </c>
    </row>
    <row r="107" spans="1:9">
      <c r="A107" s="4" t="s">
        <v>37</v>
      </c>
      <c r="B107" s="7">
        <v>0</v>
      </c>
      <c r="C107" s="6">
        <f>IF(I107=1,0.9,0)</f>
        <v/>
      </c>
      <c r="D107" s="6">
        <f>IF(I107=1,0.8,0)</f>
        <v/>
      </c>
      <c r="E107" s="6">
        <f>IF(I107=1,0.8,0)</f>
        <v/>
      </c>
      <c r="F107" s="6">
        <f>IF(I107=1,1.0,0)</f>
        <v/>
      </c>
      <c r="G107" s="5" t="s">
        <v>17</v>
      </c>
      <c r="H107" s="5" t="s">
        <v>17</v>
      </c>
      <c r="I107" s="8">
        <f>IF(OR(LOOKUP(A107,characters!A:A,characters!B:B)=-1, LOOKUP(A107,characters!A:A,characters!B:B)+0.1&gt;=B107),1,0)</f>
        <v/>
      </c>
    </row>
    <row r="108" spans="1:9">
      <c r="A108" s="4" t="s">
        <v>38</v>
      </c>
      <c r="B108" s="7">
        <v>0</v>
      </c>
      <c r="C108" s="6">
        <f>IF(I108=1,0.9,0)</f>
        <v/>
      </c>
      <c r="D108" s="6">
        <f>IF(I108=1,0.8,0)</f>
        <v/>
      </c>
      <c r="E108" s="6">
        <f>IF(I108=1,0.8,0)</f>
        <v/>
      </c>
      <c r="F108" s="6">
        <f>IF(I108=1,1.0,0)</f>
        <v/>
      </c>
      <c r="G108" s="5" t="s">
        <v>17</v>
      </c>
      <c r="H108" s="5" t="s">
        <v>17</v>
      </c>
      <c r="I108" s="8">
        <f>IF(OR(LOOKUP(A108,characters!A:A,characters!B:B)=-1, LOOKUP(A108,characters!A:A,characters!B:B)+0.1&gt;=B108),1,0)</f>
        <v/>
      </c>
    </row>
    <row r="109" spans="1:9">
      <c r="A109" s="4" t="s">
        <v>19</v>
      </c>
      <c r="B109" s="7">
        <v>0.2</v>
      </c>
      <c r="C109" s="6">
        <f>IF(I109=1,1.0,0)</f>
        <v/>
      </c>
      <c r="D109" s="6">
        <f>IF(I109=1,0.9,0)</f>
        <v/>
      </c>
      <c r="E109" s="6">
        <f>IF(I109=1,0.9,0)</f>
        <v/>
      </c>
      <c r="F109" s="5" t="s">
        <v>17</v>
      </c>
      <c r="G109" s="6">
        <f>IF(I109=1,1.0,0)</f>
        <v/>
      </c>
      <c r="H109" s="6">
        <f>IF(I109=1,1.0,0)</f>
        <v/>
      </c>
      <c r="I109" s="8">
        <f>IF(OR(LOOKUP(A109,characters!A:A,characters!B:B)=-1, LOOKUP(A109,characters!A:A,characters!B:B)+0.1&gt;=B109),1,0)</f>
        <v/>
      </c>
    </row>
    <row r="110" spans="1:9">
      <c r="A110" s="4" t="s">
        <v>20</v>
      </c>
      <c r="B110" s="7">
        <v>0.2</v>
      </c>
      <c r="C110" s="6">
        <f>IF(I110=1,1.0,0)</f>
        <v/>
      </c>
      <c r="D110" s="6">
        <f>IF(I110=1,0.9,0)</f>
        <v/>
      </c>
      <c r="E110" s="6">
        <f>IF(I110=1,0.9,0)</f>
        <v/>
      </c>
      <c r="F110" s="6">
        <f>IF(I110=1,1.0,0)</f>
        <v/>
      </c>
      <c r="G110" s="5" t="s">
        <v>17</v>
      </c>
      <c r="H110" s="5" t="s">
        <v>17</v>
      </c>
      <c r="I110" s="8">
        <f>IF(OR(LOOKUP(A110,characters!A:A,characters!B:B)=-1, LOOKUP(A110,characters!A:A,characters!B:B)+0.1&gt;=B110),1,0)</f>
        <v/>
      </c>
    </row>
    <row r="111" spans="1:9">
      <c r="A111" s="4" t="s">
        <v>21</v>
      </c>
      <c r="B111" s="7">
        <v>0.2</v>
      </c>
      <c r="C111" s="6">
        <f>IF(I111=1,0.9,0)</f>
        <v/>
      </c>
      <c r="D111" s="6">
        <f>IF(I111=1,0.8,0)</f>
        <v/>
      </c>
      <c r="E111" s="6">
        <f>IF(I111=1,0.8,0)</f>
        <v/>
      </c>
      <c r="F111" s="6">
        <f>IF(I111=1,1.0,0)</f>
        <v/>
      </c>
      <c r="G111" s="5" t="s">
        <v>17</v>
      </c>
      <c r="H111" s="5" t="s">
        <v>17</v>
      </c>
      <c r="I111" s="8">
        <f>IF(OR(LOOKUP(A111,characters!A:A,characters!B:B)=-1, LOOKUP(A111,characters!A:A,characters!B:B)+0.1&gt;=B111),1,0)</f>
        <v/>
      </c>
    </row>
    <row r="112" spans="1:9">
      <c r="A112" s="4" t="s">
        <v>22</v>
      </c>
      <c r="B112" s="7">
        <v>0.2</v>
      </c>
      <c r="C112" s="6">
        <f>IF(I112=1,1.0,0)</f>
        <v/>
      </c>
      <c r="D112" s="6">
        <f>IF(I112=1,0.8,0)</f>
        <v/>
      </c>
      <c r="E112" s="6">
        <f>IF(I112=1,0.7,0)</f>
        <v/>
      </c>
      <c r="F112" s="6">
        <f>IF(I112=1,0.9,0)</f>
        <v/>
      </c>
      <c r="G112" s="5" t="s">
        <v>17</v>
      </c>
      <c r="H112" s="5" t="s">
        <v>17</v>
      </c>
      <c r="I112" s="8">
        <f>IF(OR(LOOKUP(A112,characters!A:A,characters!B:B)=-1, LOOKUP(A112,characters!A:A,characters!B:B)+0.1&gt;=B112),1,0)</f>
        <v/>
      </c>
    </row>
    <row r="113" spans="1:9">
      <c r="A113" s="4" t="s">
        <v>23</v>
      </c>
      <c r="B113" s="7">
        <v>0.2</v>
      </c>
      <c r="C113" s="6">
        <f>IF(I113=1,1.0,0)</f>
        <v/>
      </c>
      <c r="D113" s="6">
        <f>IF(I113=1,0.9,0)</f>
        <v/>
      </c>
      <c r="E113" s="6">
        <f>IF(I113=1,0.9,0)</f>
        <v/>
      </c>
      <c r="F113" s="5" t="s">
        <v>17</v>
      </c>
      <c r="G113" s="6">
        <f>IF(I113=1,1.0,0)</f>
        <v/>
      </c>
      <c r="H113" s="6">
        <f>IF(I113=1,1.0,0)</f>
        <v/>
      </c>
      <c r="I113" s="8">
        <f>IF(OR(LOOKUP(A113,characters!A:A,characters!B:B)=-1, LOOKUP(A113,characters!A:A,characters!B:B)+0.1&gt;=B113),1,0)</f>
        <v/>
      </c>
    </row>
    <row r="114" spans="1:9">
      <c r="A114" s="4" t="s">
        <v>39</v>
      </c>
      <c r="B114" s="7">
        <v>0.6</v>
      </c>
      <c r="C114" s="6">
        <f>IF(I114=1,1.0,0)</f>
        <v/>
      </c>
      <c r="D114" s="6">
        <f>IF(I114=1,0.9,0)</f>
        <v/>
      </c>
      <c r="E114" s="6">
        <f>IF(I114=1,0.8,0)</f>
        <v/>
      </c>
      <c r="F114" s="6">
        <f>IF(I114=1,1.0,0)</f>
        <v/>
      </c>
      <c r="G114" s="6">
        <f>IF(I114=1,1.0,0)</f>
        <v/>
      </c>
      <c r="H114" s="6">
        <f>IF(I114=1,1.0,0)</f>
        <v/>
      </c>
      <c r="I114" s="8">
        <f>IF(OR(LOOKUP(A114,characters!A:A,characters!B:B)=-1, LOOKUP(A114,characters!A:A,characters!B:B)+0.1&gt;=B114),1,0)</f>
        <v/>
      </c>
    </row>
    <row r="115" spans="1:9">
      <c r="A115" s="4" t="s">
        <v>40</v>
      </c>
      <c r="B115" s="7">
        <v>1</v>
      </c>
      <c r="C115" s="6">
        <f>IF(I115=1,0.9,0)</f>
        <v/>
      </c>
      <c r="D115" s="6">
        <f>IF(I115=1,0.8,0)</f>
        <v/>
      </c>
      <c r="E115" s="6">
        <f>IF(I115=1,0.8,0)</f>
        <v/>
      </c>
      <c r="F115" s="6">
        <f>IF(I115=1,1.0,0)</f>
        <v/>
      </c>
      <c r="G115" s="5" t="s">
        <v>17</v>
      </c>
      <c r="H115" s="5" t="s">
        <v>17</v>
      </c>
      <c r="I115" s="8">
        <f>IF(OR(LOOKUP(A115,characters!A:A,characters!B:B)=-1, LOOKUP(A115,characters!A:A,characters!B:B)+0.1&gt;=B115),1,0)</f>
        <v/>
      </c>
    </row>
    <row r="117" spans="1:9">
      <c r="A117" s="3" t="s">
        <v>26</v>
      </c>
      <c r="B117" s="3" t="s">
        <v>9</v>
      </c>
      <c r="C117" s="3" t="s">
        <v>15</v>
      </c>
      <c r="D117" s="3" t="s">
        <v>10</v>
      </c>
      <c r="E117" s="3" t="s">
        <v>13</v>
      </c>
      <c r="F117" s="3" t="s">
        <v>14</v>
      </c>
    </row>
    <row r="118" spans="1:9">
      <c r="A118" s="4" t="s">
        <v>16</v>
      </c>
      <c r="B118" s="5" t="s">
        <v>17</v>
      </c>
      <c r="C118" s="6">
        <f>IF(SUM(G119:G127)=0,0,SUM(C119:C127)/SUM(G119:G127))</f>
        <v/>
      </c>
      <c r="D118" s="6">
        <f>IF(SUM(G119:G127)=0,0,SUM(D119:D127)/SUM(G119:G127))</f>
        <v/>
      </c>
      <c r="E118" s="6">
        <f>IF(SUM(G119:G127)=0,0,SUM(E119:E127)/SUM(G119:G127))</f>
        <v/>
      </c>
      <c r="F118" s="6">
        <f>IF(SUM(G119:G127)=0,0,SUM(F119:F127)/SUM(G119:G127))</f>
        <v/>
      </c>
    </row>
    <row r="119" spans="1:9">
      <c r="A119" s="4" t="s">
        <v>37</v>
      </c>
      <c r="B119" s="7">
        <v>0</v>
      </c>
      <c r="C119" s="6">
        <f>IF(G119=1,1.0,0)</f>
        <v/>
      </c>
      <c r="D119" s="5" t="s">
        <v>17</v>
      </c>
      <c r="E119" s="5" t="s">
        <v>17</v>
      </c>
      <c r="F119" s="5" t="s">
        <v>17</v>
      </c>
      <c r="G119" s="8">
        <f>IF(OR(LOOKUP(A119,characters!A:A,characters!B:B)=-1, LOOKUP(A119,characters!A:A,characters!B:B)+0.1&gt;=B119),1,0)</f>
        <v/>
      </c>
    </row>
    <row r="120" spans="1:9">
      <c r="A120" s="4" t="s">
        <v>40</v>
      </c>
      <c r="B120" s="7">
        <v>1</v>
      </c>
      <c r="C120" s="6">
        <f>IF(G120=1,1.0,0)</f>
        <v/>
      </c>
      <c r="D120" s="6">
        <f>IF(G120=1,0.9,0)</f>
        <v/>
      </c>
      <c r="E120" s="5" t="s">
        <v>17</v>
      </c>
      <c r="F120" s="5" t="s">
        <v>17</v>
      </c>
      <c r="G120" s="8">
        <f>IF(OR(LOOKUP(A120,characters!A:A,characters!B:B)=-1, LOOKUP(A120,characters!A:A,characters!B:B)+0.1&gt;=B120),1,0)</f>
        <v/>
      </c>
    </row>
    <row r="121" spans="1:9">
      <c r="A121" s="4" t="s">
        <v>39</v>
      </c>
      <c r="B121" s="7">
        <v>0.6</v>
      </c>
      <c r="C121" s="6">
        <f>IF(G121=1,0.99,0)</f>
        <v/>
      </c>
      <c r="D121" s="5" t="s">
        <v>17</v>
      </c>
      <c r="E121" s="6">
        <f>IF(G121=1,1.0,0)</f>
        <v/>
      </c>
      <c r="F121" s="6">
        <f>IF(G121=1,0.99,0)</f>
        <v/>
      </c>
      <c r="G121" s="8">
        <f>IF(OR(LOOKUP(A121,characters!A:A,characters!B:B)=-1, LOOKUP(A121,characters!A:A,characters!B:B)+0.1&gt;=B121),1,0)</f>
        <v/>
      </c>
    </row>
    <row r="122" spans="1:9">
      <c r="A122" s="4" t="s">
        <v>19</v>
      </c>
      <c r="B122" s="7">
        <v>0.2</v>
      </c>
      <c r="C122" s="5" t="s">
        <v>17</v>
      </c>
      <c r="D122" s="6">
        <f>IF(G122=1,1.0,0)</f>
        <v/>
      </c>
      <c r="E122" s="6">
        <f>IF(G122=1,0.9,0)</f>
        <v/>
      </c>
      <c r="F122" s="5" t="s">
        <v>17</v>
      </c>
      <c r="G122" s="8">
        <f>IF(OR(LOOKUP(A122,characters!A:A,characters!B:B)=-1, LOOKUP(A122,characters!A:A,characters!B:B)+0.1&gt;=B122),1,0)</f>
        <v/>
      </c>
    </row>
    <row r="123" spans="1:9">
      <c r="A123" s="4" t="s">
        <v>20</v>
      </c>
      <c r="B123" s="7">
        <v>0.2</v>
      </c>
      <c r="C123" s="6">
        <f>IF(G123=1,1.0,0)</f>
        <v/>
      </c>
      <c r="D123" s="6">
        <f>IF(G123=1,1.0,0)</f>
        <v/>
      </c>
      <c r="E123" s="5" t="s">
        <v>17</v>
      </c>
      <c r="F123" s="5" t="s">
        <v>17</v>
      </c>
      <c r="G123" s="8">
        <f>IF(OR(LOOKUP(A123,characters!A:A,characters!B:B)=-1, LOOKUP(A123,characters!A:A,characters!B:B)+0.1&gt;=B123),1,0)</f>
        <v/>
      </c>
    </row>
    <row r="124" spans="1:9">
      <c r="A124" s="4" t="s">
        <v>21</v>
      </c>
      <c r="B124" s="7">
        <v>0.2</v>
      </c>
      <c r="C124" s="6">
        <f>IF(G124=1,1.0,0)</f>
        <v/>
      </c>
      <c r="D124" s="6">
        <f>IF(G124=1,1.0,0)</f>
        <v/>
      </c>
      <c r="E124" s="5" t="s">
        <v>17</v>
      </c>
      <c r="F124" s="5" t="s">
        <v>17</v>
      </c>
      <c r="G124" s="8">
        <f>IF(OR(LOOKUP(A124,characters!A:A,characters!B:B)=-1, LOOKUP(A124,characters!A:A,characters!B:B)+0.1&gt;=B124),1,0)</f>
        <v/>
      </c>
    </row>
    <row r="125" spans="1:9">
      <c r="A125" s="4" t="s">
        <v>22</v>
      </c>
      <c r="B125" s="7">
        <v>0.2</v>
      </c>
      <c r="C125" s="6">
        <f>IF(G125=1,0.99,0)</f>
        <v/>
      </c>
      <c r="D125" s="6">
        <f>IF(G125=1,1.0,0)</f>
        <v/>
      </c>
      <c r="E125" s="5" t="s">
        <v>17</v>
      </c>
      <c r="F125" s="5" t="s">
        <v>17</v>
      </c>
      <c r="G125" s="8">
        <f>IF(OR(LOOKUP(A125,characters!A:A,characters!B:B)=-1, LOOKUP(A125,characters!A:A,characters!B:B)+0.1&gt;=B125),1,0)</f>
        <v/>
      </c>
    </row>
    <row r="126" spans="1:9">
      <c r="A126" s="4" t="s">
        <v>23</v>
      </c>
      <c r="B126" s="7">
        <v>0.2</v>
      </c>
      <c r="C126" s="5" t="s">
        <v>17</v>
      </c>
      <c r="D126" s="6">
        <f>IF(G126=1,1.0,0)</f>
        <v/>
      </c>
      <c r="E126" s="6">
        <f>IF(G126=1,0.9,0)</f>
        <v/>
      </c>
      <c r="F126" s="5" t="s">
        <v>17</v>
      </c>
      <c r="G126" s="8">
        <f>IF(OR(LOOKUP(A126,characters!A:A,characters!B:B)=-1, LOOKUP(A126,characters!A:A,characters!B:B)+0.1&gt;=B126),1,0)</f>
        <v/>
      </c>
    </row>
    <row r="127" spans="1:9">
      <c r="A127" s="4" t="s">
        <v>38</v>
      </c>
      <c r="B127" s="7">
        <v>0</v>
      </c>
      <c r="C127" s="6">
        <f>IF(G127=1,1.0,0)</f>
        <v/>
      </c>
      <c r="D127" s="5" t="s">
        <v>17</v>
      </c>
      <c r="E127" s="5" t="s">
        <v>17</v>
      </c>
      <c r="F127" s="5" t="s">
        <v>17</v>
      </c>
      <c r="G127" s="8">
        <f>IF(OR(LOOKUP(A127,characters!A:A,characters!B:B)=-1, LOOKUP(A127,characters!A:A,characters!B:B)+0.1&gt;=B127),1,0)</f>
        <v/>
      </c>
    </row>
    <row r="129" spans="1:9">
      <c r="A129" s="3" t="s">
        <v>27</v>
      </c>
      <c r="B129" s="3" t="s">
        <v>9</v>
      </c>
      <c r="C129" s="3" t="s">
        <v>41</v>
      </c>
      <c r="D129" s="3" t="s">
        <v>31</v>
      </c>
      <c r="E129" s="3" t="s">
        <v>28</v>
      </c>
      <c r="F129" s="3" t="s">
        <v>10</v>
      </c>
      <c r="G129" s="3" t="s">
        <v>30</v>
      </c>
      <c r="H129" s="3" t="s">
        <v>29</v>
      </c>
    </row>
    <row r="130" spans="1:9">
      <c r="A130" s="4" t="s">
        <v>16</v>
      </c>
      <c r="B130" s="5" t="s">
        <v>17</v>
      </c>
      <c r="C130" s="6">
        <f>IF(SUM(I131:I139)=0,0,SUM(C131:C139)/SUM(I131:I139))</f>
        <v/>
      </c>
      <c r="D130" s="6">
        <f>IF(SUM(I131:I139)=0,0,SUM(D131:D139)/SUM(I131:I139))</f>
        <v/>
      </c>
      <c r="E130" s="6">
        <f>IF(SUM(I131:I139)=0,0,SUM(E131:E139)/SUM(I131:I139))</f>
        <v/>
      </c>
      <c r="F130" s="6">
        <f>IF(SUM(I131:I139)=0,0,SUM(F131:F139)/SUM(I131:I139))</f>
        <v/>
      </c>
      <c r="G130" s="6">
        <f>IF(SUM(I131:I139)=0,0,SUM(G131:G139)/SUM(I131:I139))</f>
        <v/>
      </c>
      <c r="H130" s="6">
        <f>IF(SUM(I131:I139)=0,0,SUM(H131:H139)/SUM(I131:I139))</f>
        <v/>
      </c>
    </row>
    <row r="131" spans="1:9">
      <c r="A131" s="4" t="s">
        <v>37</v>
      </c>
      <c r="B131" s="7">
        <v>0</v>
      </c>
      <c r="C131" s="6">
        <f>IF(I131=1,1.0,0)</f>
        <v/>
      </c>
      <c r="D131" s="6">
        <f>IF(I131=1,0.99,0)</f>
        <v/>
      </c>
      <c r="E131" s="5" t="s">
        <v>17</v>
      </c>
      <c r="F131" s="5" t="s">
        <v>17</v>
      </c>
      <c r="G131" s="5" t="s">
        <v>17</v>
      </c>
      <c r="H131" s="5" t="s">
        <v>17</v>
      </c>
      <c r="I131" s="8">
        <f>IF(OR(LOOKUP(A131,characters!A:A,characters!B:B)=-1, LOOKUP(A131,characters!A:A,characters!B:B)+0.1&gt;=B131),1,0)</f>
        <v/>
      </c>
    </row>
    <row r="132" spans="1:9">
      <c r="A132" s="4" t="s">
        <v>40</v>
      </c>
      <c r="B132" s="7">
        <v>1</v>
      </c>
      <c r="C132" s="5" t="s">
        <v>17</v>
      </c>
      <c r="D132" s="6">
        <f>IF(I132=1,0.9,0)</f>
        <v/>
      </c>
      <c r="E132" s="6">
        <f>IF(I132=1,1.0,0)</f>
        <v/>
      </c>
      <c r="F132" s="6">
        <f>IF(I132=1,0.9,0)</f>
        <v/>
      </c>
      <c r="G132" s="5" t="s">
        <v>17</v>
      </c>
      <c r="H132" s="5" t="s">
        <v>17</v>
      </c>
      <c r="I132" s="8">
        <f>IF(OR(LOOKUP(A132,characters!A:A,characters!B:B)=-1, LOOKUP(A132,characters!A:A,characters!B:B)+0.1&gt;=B132),1,0)</f>
        <v/>
      </c>
    </row>
    <row r="133" spans="1:9">
      <c r="A133" s="4" t="s">
        <v>39</v>
      </c>
      <c r="B133" s="7">
        <v>0.6</v>
      </c>
      <c r="C133" s="6">
        <f>IF(I133=1,1.0,0)</f>
        <v/>
      </c>
      <c r="D133" s="6">
        <f>IF(I133=1,1.0,0)</f>
        <v/>
      </c>
      <c r="E133" s="5" t="s">
        <v>17</v>
      </c>
      <c r="F133" s="6">
        <f>IF(I133=1,1.0,0)</f>
        <v/>
      </c>
      <c r="G133" s="5" t="s">
        <v>17</v>
      </c>
      <c r="H133" s="5" t="s">
        <v>17</v>
      </c>
      <c r="I133" s="8">
        <f>IF(OR(LOOKUP(A133,characters!A:A,characters!B:B)=-1, LOOKUP(A133,characters!A:A,characters!B:B)+0.1&gt;=B133),1,0)</f>
        <v/>
      </c>
    </row>
    <row r="134" spans="1:9">
      <c r="A134" s="4" t="s">
        <v>19</v>
      </c>
      <c r="B134" s="7">
        <v>0.2</v>
      </c>
      <c r="C134" s="5" t="s">
        <v>17</v>
      </c>
      <c r="D134" s="5" t="s">
        <v>17</v>
      </c>
      <c r="E134" s="5" t="s">
        <v>17</v>
      </c>
      <c r="F134" s="6">
        <f>IF(I134=1,1.0,0)</f>
        <v/>
      </c>
      <c r="G134" s="5" t="s">
        <v>17</v>
      </c>
      <c r="H134" s="5" t="s">
        <v>17</v>
      </c>
      <c r="I134" s="8">
        <f>IF(OR(LOOKUP(A134,characters!A:A,characters!B:B)=-1, LOOKUP(A134,characters!A:A,characters!B:B)+0.1&gt;=B134),1,0)</f>
        <v/>
      </c>
    </row>
    <row r="135" spans="1:9">
      <c r="A135" s="4" t="s">
        <v>20</v>
      </c>
      <c r="B135" s="7">
        <v>0.2</v>
      </c>
      <c r="C135" s="5" t="s">
        <v>17</v>
      </c>
      <c r="D135" s="5" t="s">
        <v>17</v>
      </c>
      <c r="E135" s="5" t="s">
        <v>17</v>
      </c>
      <c r="F135" s="6">
        <f>IF(I135=1,0.9,0)</f>
        <v/>
      </c>
      <c r="G135" s="6">
        <f>IF(I135=1,1.0,0)</f>
        <v/>
      </c>
      <c r="H135" s="5" t="s">
        <v>17</v>
      </c>
      <c r="I135" s="8">
        <f>IF(OR(LOOKUP(A135,characters!A:A,characters!B:B)=-1, LOOKUP(A135,characters!A:A,characters!B:B)+0.1&gt;=B135),1,0)</f>
        <v/>
      </c>
    </row>
    <row r="136" spans="1:9">
      <c r="A136" s="4" t="s">
        <v>21</v>
      </c>
      <c r="B136" s="7">
        <v>0.2</v>
      </c>
      <c r="C136" s="5" t="s">
        <v>17</v>
      </c>
      <c r="D136" s="6">
        <f>IF(I136=1,1.0,0)</f>
        <v/>
      </c>
      <c r="E136" s="5" t="s">
        <v>17</v>
      </c>
      <c r="F136" s="5" t="s">
        <v>17</v>
      </c>
      <c r="G136" s="5" t="s">
        <v>17</v>
      </c>
      <c r="H136" s="5" t="s">
        <v>17</v>
      </c>
      <c r="I136" s="8">
        <f>IF(OR(LOOKUP(A136,characters!A:A,characters!B:B)=-1, LOOKUP(A136,characters!A:A,characters!B:B)+0.1&gt;=B136),1,0)</f>
        <v/>
      </c>
    </row>
    <row r="137" spans="1:9">
      <c r="A137" s="4" t="s">
        <v>22</v>
      </c>
      <c r="B137" s="7">
        <v>0.2</v>
      </c>
      <c r="C137" s="5" t="s">
        <v>17</v>
      </c>
      <c r="D137" s="5" t="s">
        <v>17</v>
      </c>
      <c r="E137" s="6">
        <f>IF(I137=1,0.99,0)</f>
        <v/>
      </c>
      <c r="F137" s="6">
        <f>IF(I137=1,1.0,0)</f>
        <v/>
      </c>
      <c r="G137" s="5" t="s">
        <v>17</v>
      </c>
      <c r="H137" s="5" t="s">
        <v>17</v>
      </c>
      <c r="I137" s="8">
        <f>IF(OR(LOOKUP(A137,characters!A:A,characters!B:B)=-1, LOOKUP(A137,characters!A:A,characters!B:B)+0.1&gt;=B137),1,0)</f>
        <v/>
      </c>
    </row>
    <row r="138" spans="1:9">
      <c r="A138" s="4" t="s">
        <v>23</v>
      </c>
      <c r="B138" s="7">
        <v>0.2</v>
      </c>
      <c r="C138" s="5" t="s">
        <v>17</v>
      </c>
      <c r="D138" s="5" t="s">
        <v>17</v>
      </c>
      <c r="E138" s="5" t="s">
        <v>17</v>
      </c>
      <c r="F138" s="6">
        <f>IF(I138=1,1.0,0)</f>
        <v/>
      </c>
      <c r="G138" s="5" t="s">
        <v>17</v>
      </c>
      <c r="H138" s="6">
        <f>IF(I138=1,0.9,0)</f>
        <v/>
      </c>
      <c r="I138" s="8">
        <f>IF(OR(LOOKUP(A138,characters!A:A,characters!B:B)=-1, LOOKUP(A138,characters!A:A,characters!B:B)+0.1&gt;=B138),1,0)</f>
        <v/>
      </c>
    </row>
    <row r="139" spans="1:9">
      <c r="A139" s="4" t="s">
        <v>38</v>
      </c>
      <c r="B139" s="7">
        <v>0</v>
      </c>
      <c r="C139" s="5" t="s">
        <v>17</v>
      </c>
      <c r="D139" s="6">
        <f>IF(I139=1,0.99,0)</f>
        <v/>
      </c>
      <c r="E139" s="6">
        <f>IF(I139=1,1.0,0)</f>
        <v/>
      </c>
      <c r="F139" s="5" t="s">
        <v>17</v>
      </c>
      <c r="G139" s="5" t="s">
        <v>17</v>
      </c>
      <c r="H139" s="5" t="s">
        <v>17</v>
      </c>
      <c r="I139" s="8">
        <f>IF(OR(LOOKUP(A139,characters!A:A,characters!B:B)=-1, LOOKUP(A139,characters!A:A,characters!B:B)+0.1&gt;=B139),1,0)</f>
        <v/>
      </c>
    </row>
    <row r="141" spans="1:9">
      <c r="A141" s="3" t="s">
        <v>32</v>
      </c>
      <c r="B141" s="3" t="s">
        <v>9</v>
      </c>
      <c r="C141" s="3" t="s">
        <v>10</v>
      </c>
      <c r="D141" s="3" t="s">
        <v>34</v>
      </c>
      <c r="E141" s="3" t="s">
        <v>42</v>
      </c>
      <c r="F141" s="3" t="s">
        <v>33</v>
      </c>
    </row>
    <row r="142" spans="1:9">
      <c r="A142" s="4" t="s">
        <v>16</v>
      </c>
      <c r="B142" s="5" t="s">
        <v>17</v>
      </c>
      <c r="C142" s="6">
        <f>IF(SUM(G143:G151)=0,0,SUM(C143:C151)/SUM(G143:G151))</f>
        <v/>
      </c>
      <c r="D142" s="6">
        <f>IF(SUM(G143:G151)=0,0,SUM(D143:D151)/SUM(G143:G151))</f>
        <v/>
      </c>
      <c r="E142" s="6">
        <f>IF(SUM(G143:G151)=0,0,SUM(E143:E151)/SUM(G143:G151))</f>
        <v/>
      </c>
      <c r="F142" s="6">
        <f>IF(SUM(G143:G151)=0,0,SUM(F143:F151)/SUM(G143:G151))</f>
        <v/>
      </c>
    </row>
    <row r="143" spans="1:9">
      <c r="A143" s="4" t="s">
        <v>37</v>
      </c>
      <c r="B143" s="7">
        <v>0</v>
      </c>
      <c r="C143" s="6">
        <f>IF(G143=1,1.0,0)</f>
        <v/>
      </c>
      <c r="D143" s="6">
        <f>IF(G143=1,1.0,0)</f>
        <v/>
      </c>
      <c r="E143" s="5" t="s">
        <v>17</v>
      </c>
      <c r="F143" s="5" t="s">
        <v>17</v>
      </c>
      <c r="G143" s="8">
        <f>IF(OR(LOOKUP(A143,characters!A:A,characters!B:B)=-1, LOOKUP(A143,characters!A:A,characters!B:B)+0.1&gt;=B143),1,0)</f>
        <v/>
      </c>
    </row>
    <row r="144" spans="1:9">
      <c r="A144" s="4" t="s">
        <v>40</v>
      </c>
      <c r="B144" s="7">
        <v>1</v>
      </c>
      <c r="C144" s="6">
        <f>IF(G144=1,1.0,0)</f>
        <v/>
      </c>
      <c r="D144" s="6">
        <f>IF(G144=1,1.0,0)</f>
        <v/>
      </c>
      <c r="E144" s="5" t="s">
        <v>17</v>
      </c>
      <c r="F144" s="5" t="s">
        <v>17</v>
      </c>
      <c r="G144" s="8">
        <f>IF(OR(LOOKUP(A144,characters!A:A,characters!B:B)=-1, LOOKUP(A144,characters!A:A,characters!B:B)+0.1&gt;=B144),1,0)</f>
        <v/>
      </c>
    </row>
    <row r="145" spans="1:7">
      <c r="A145" s="4" t="s">
        <v>39</v>
      </c>
      <c r="B145" s="7">
        <v>0.6</v>
      </c>
      <c r="C145" s="5" t="s">
        <v>17</v>
      </c>
      <c r="D145" s="5" t="s">
        <v>17</v>
      </c>
      <c r="E145" s="6">
        <f>IF(G145=1,1.0,0)</f>
        <v/>
      </c>
      <c r="F145" s="5" t="s">
        <v>17</v>
      </c>
      <c r="G145" s="8">
        <f>IF(OR(LOOKUP(A145,characters!A:A,characters!B:B)=-1, LOOKUP(A145,characters!A:A,characters!B:B)+0.1&gt;=B145),1,0)</f>
        <v/>
      </c>
    </row>
    <row r="146" spans="1:7">
      <c r="A146" s="4" t="s">
        <v>19</v>
      </c>
      <c r="B146" s="7">
        <v>0.2</v>
      </c>
      <c r="C146" s="6">
        <f>IF(G146=1,1.0,0)</f>
        <v/>
      </c>
      <c r="D146" s="5" t="s">
        <v>17</v>
      </c>
      <c r="E146" s="5" t="s">
        <v>17</v>
      </c>
      <c r="F146" s="6">
        <f>IF(G146=1,1.0,0)</f>
        <v/>
      </c>
      <c r="G146" s="8">
        <f>IF(OR(LOOKUP(A146,characters!A:A,characters!B:B)=-1, LOOKUP(A146,characters!A:A,characters!B:B)+0.1&gt;=B146),1,0)</f>
        <v/>
      </c>
    </row>
    <row r="147" spans="1:7">
      <c r="A147" s="4" t="s">
        <v>20</v>
      </c>
      <c r="B147" s="7">
        <v>0.2</v>
      </c>
      <c r="C147" s="6">
        <f>IF(G147=1,1.0,0)</f>
        <v/>
      </c>
      <c r="D147" s="5" t="s">
        <v>17</v>
      </c>
      <c r="E147" s="5" t="s">
        <v>17</v>
      </c>
      <c r="F147" s="6">
        <f>IF(G147=1,1.0,0)</f>
        <v/>
      </c>
      <c r="G147" s="8">
        <f>IF(OR(LOOKUP(A147,characters!A:A,characters!B:B)=-1, LOOKUP(A147,characters!A:A,characters!B:B)+0.1&gt;=B147),1,0)</f>
        <v/>
      </c>
    </row>
    <row r="148" spans="1:7">
      <c r="A148" s="4" t="s">
        <v>21</v>
      </c>
      <c r="B148" s="7">
        <v>0.2</v>
      </c>
      <c r="C148" s="6">
        <f>IF(G148=1,0.99,0)</f>
        <v/>
      </c>
      <c r="D148" s="5" t="s">
        <v>17</v>
      </c>
      <c r="E148" s="5" t="s">
        <v>17</v>
      </c>
      <c r="F148" s="6">
        <f>IF(G148=1,1.0,0)</f>
        <v/>
      </c>
      <c r="G148" s="8">
        <f>IF(OR(LOOKUP(A148,characters!A:A,characters!B:B)=-1, LOOKUP(A148,characters!A:A,characters!B:B)+0.1&gt;=B148),1,0)</f>
        <v/>
      </c>
    </row>
    <row r="149" spans="1:7">
      <c r="A149" s="4" t="s">
        <v>22</v>
      </c>
      <c r="B149" s="7">
        <v>0.2</v>
      </c>
      <c r="C149" s="5" t="s">
        <v>17</v>
      </c>
      <c r="D149" s="6">
        <f>IF(G149=1,1.0,0)</f>
        <v/>
      </c>
      <c r="E149" s="5" t="s">
        <v>17</v>
      </c>
      <c r="F149" s="6">
        <f>IF(G149=1,1.0,0)</f>
        <v/>
      </c>
      <c r="G149" s="8">
        <f>IF(OR(LOOKUP(A149,characters!A:A,characters!B:B)=-1, LOOKUP(A149,characters!A:A,characters!B:B)+0.1&gt;=B149),1,0)</f>
        <v/>
      </c>
    </row>
    <row r="150" spans="1:7">
      <c r="A150" s="4" t="s">
        <v>23</v>
      </c>
      <c r="B150" s="7">
        <v>0.2</v>
      </c>
      <c r="C150" s="6">
        <f>IF(G150=1,1.0,0)</f>
        <v/>
      </c>
      <c r="D150" s="5" t="s">
        <v>17</v>
      </c>
      <c r="E150" s="5" t="s">
        <v>17</v>
      </c>
      <c r="F150" s="6">
        <f>IF(G150=1,1.0,0)</f>
        <v/>
      </c>
      <c r="G150" s="8">
        <f>IF(OR(LOOKUP(A150,characters!A:A,characters!B:B)=-1, LOOKUP(A150,characters!A:A,characters!B:B)+0.1&gt;=B150),1,0)</f>
        <v/>
      </c>
    </row>
    <row r="151" spans="1:7">
      <c r="A151" s="4" t="s">
        <v>38</v>
      </c>
      <c r="B151" s="7">
        <v>0</v>
      </c>
      <c r="C151" s="6">
        <f>IF(G151=1,1.0,0)</f>
        <v/>
      </c>
      <c r="D151" s="6">
        <f>IF(G151=1,1.0,0)</f>
        <v/>
      </c>
      <c r="E151" s="5" t="s">
        <v>17</v>
      </c>
      <c r="F151" s="5" t="s">
        <v>17</v>
      </c>
      <c r="G151" s="8">
        <f>IF(OR(LOOKUP(A151,characters!A:A,characters!B:B)=-1, LOOKUP(A151,characters!A:A,characters!B:B)+0.1&gt;=B151),1,0)</f>
        <v/>
      </c>
    </row>
    <row r="158" spans="1:7">
      <c r="A158" s="3" t="s">
        <v>43</v>
      </c>
    </row>
    <row r="159" spans="1:7">
      <c r="A159" s="3" t="s">
        <v>8</v>
      </c>
      <c r="B159" s="3" t="s">
        <v>9</v>
      </c>
      <c r="C159" s="3" t="s">
        <v>13</v>
      </c>
      <c r="D159" s="3" t="s">
        <v>14</v>
      </c>
      <c r="E159" s="3" t="s">
        <v>10</v>
      </c>
      <c r="F159" s="3" t="s">
        <v>12</v>
      </c>
      <c r="G159" s="3" t="s">
        <v>11</v>
      </c>
    </row>
    <row r="160" spans="1:7">
      <c r="A160" s="4" t="s">
        <v>16</v>
      </c>
      <c r="B160" s="5" t="s">
        <v>17</v>
      </c>
      <c r="C160" s="6">
        <f>IF(SUM(H161)=0,0,SUM(C161)/SUM(H161))</f>
        <v/>
      </c>
      <c r="D160" s="6">
        <f>IF(SUM(H161)=0,0,SUM(D161)/SUM(H161))</f>
        <v/>
      </c>
      <c r="E160" s="6">
        <f>IF(SUM(H161)=0,0,SUM(E161)/SUM(H161))</f>
        <v/>
      </c>
      <c r="F160" s="6">
        <f>IF(SUM(H161)=0,0,SUM(F161)/SUM(H161))</f>
        <v/>
      </c>
      <c r="G160" s="6">
        <f>IF(SUM(H161)=0,0,SUM(G161)/SUM(H161))</f>
        <v/>
      </c>
    </row>
    <row r="161" spans="1:8">
      <c r="A161" s="4" t="s">
        <v>44</v>
      </c>
      <c r="B161" s="7">
        <v>0</v>
      </c>
      <c r="C161" s="6">
        <f>IF(H161=1,1.0,0)</f>
        <v/>
      </c>
      <c r="D161" s="6">
        <f>IF(H161=1,1.0,0)</f>
        <v/>
      </c>
      <c r="E161" s="6">
        <f>IF(H161=1,0.9,0)</f>
        <v/>
      </c>
      <c r="F161" s="6">
        <f>IF(H161=1,0.8,0)</f>
        <v/>
      </c>
      <c r="G161" s="6">
        <f>IF(H161=1,0.8,0)</f>
        <v/>
      </c>
      <c r="H161" s="8">
        <f>IF(OR(LOOKUP(A161,characters!A:A,characters!B:B)=-1, LOOKUP(A161,characters!A:A,characters!B:B)+0.1&gt;=B161),1,0)</f>
        <v/>
      </c>
    </row>
    <row r="163" spans="1:8">
      <c r="A163" s="3" t="s">
        <v>26</v>
      </c>
      <c r="B163" s="3" t="s">
        <v>9</v>
      </c>
      <c r="C163" s="3" t="s">
        <v>14</v>
      </c>
      <c r="D163" s="3" t="s">
        <v>13</v>
      </c>
    </row>
    <row r="164" spans="1:8">
      <c r="A164" s="4" t="s">
        <v>16</v>
      </c>
      <c r="B164" s="5" t="s">
        <v>17</v>
      </c>
      <c r="C164" s="6">
        <f>IF(SUM(E165)=0,0,SUM(C165)/SUM(E165))</f>
        <v/>
      </c>
      <c r="D164" s="6">
        <f>IF(SUM(E165)=0,0,SUM(D165)/SUM(E165))</f>
        <v/>
      </c>
    </row>
    <row r="165" spans="1:8">
      <c r="A165" s="4" t="s">
        <v>44</v>
      </c>
      <c r="B165" s="7">
        <v>0</v>
      </c>
      <c r="C165" s="6">
        <f>IF(E165=1,1.0,0)</f>
        <v/>
      </c>
      <c r="D165" s="6">
        <f>IF(E165=1,1.0,0)</f>
        <v/>
      </c>
      <c r="E165" s="8">
        <f>IF(OR(LOOKUP(A165,characters!A:A,characters!B:B)=-1, LOOKUP(A165,characters!A:A,characters!B:B)+0.1&gt;=B165),1,0)</f>
        <v/>
      </c>
    </row>
    <row r="167" spans="1:8">
      <c r="A167" s="3" t="s">
        <v>27</v>
      </c>
      <c r="B167" s="3" t="s">
        <v>9</v>
      </c>
      <c r="C167" s="3" t="s">
        <v>30</v>
      </c>
      <c r="D167" s="3" t="s">
        <v>10</v>
      </c>
      <c r="E167" s="3" t="s">
        <v>31</v>
      </c>
    </row>
    <row r="168" spans="1:8">
      <c r="A168" s="4" t="s">
        <v>16</v>
      </c>
      <c r="B168" s="5" t="s">
        <v>17</v>
      </c>
      <c r="C168" s="6">
        <f>IF(SUM(F169)=0,0,SUM(C169)/SUM(F169))</f>
        <v/>
      </c>
      <c r="D168" s="6">
        <f>IF(SUM(F169)=0,0,SUM(D169)/SUM(F169))</f>
        <v/>
      </c>
      <c r="E168" s="6">
        <f>IF(SUM(F169)=0,0,SUM(E169)/SUM(F169))</f>
        <v/>
      </c>
    </row>
    <row r="169" spans="1:8">
      <c r="A169" s="4" t="s">
        <v>44</v>
      </c>
      <c r="B169" s="7">
        <v>0</v>
      </c>
      <c r="C169" s="6">
        <f>IF(F169=1,1.0,0)</f>
        <v/>
      </c>
      <c r="D169" s="6">
        <f>IF(F169=1,0.9,0)</f>
        <v/>
      </c>
      <c r="E169" s="6">
        <f>IF(F169=1,0.9,0)</f>
        <v/>
      </c>
      <c r="F169" s="8">
        <f>IF(OR(LOOKUP(A169,characters!A:A,characters!B:B)=-1, LOOKUP(A169,characters!A:A,characters!B:B)+0.1&gt;=B169),1,0)</f>
        <v/>
      </c>
    </row>
    <row r="171" spans="1:8">
      <c r="A171" s="3" t="s">
        <v>32</v>
      </c>
      <c r="B171" s="3" t="s">
        <v>9</v>
      </c>
      <c r="C171" s="3" t="s">
        <v>10</v>
      </c>
    </row>
    <row r="172" spans="1:8">
      <c r="A172" s="4" t="s">
        <v>16</v>
      </c>
      <c r="B172" s="5" t="s">
        <v>17</v>
      </c>
      <c r="C172" s="6">
        <f>IF(SUM(D173)=0,0,SUM(C173)/SUM(D173))</f>
        <v/>
      </c>
    </row>
    <row r="173" spans="1:8">
      <c r="A173" s="4" t="s">
        <v>44</v>
      </c>
      <c r="B173" s="7">
        <v>0</v>
      </c>
      <c r="C173" s="6">
        <f>IF(D173=1,1.0,0)</f>
        <v/>
      </c>
      <c r="D173" s="8">
        <f>IF(OR(LOOKUP(A173,characters!A:A,characters!B:B)=-1, LOOKUP(A173,characters!A:A,characters!B:B)+0.1&gt;=B173),1,0)</f>
        <v/>
      </c>
    </row>
    <row r="180" spans="1:9">
      <c r="A180" s="3" t="s">
        <v>45</v>
      </c>
    </row>
    <row r="181" spans="1:9">
      <c r="A181" s="3" t="s">
        <v>8</v>
      </c>
      <c r="B181" s="3" t="s">
        <v>9</v>
      </c>
      <c r="C181" s="3" t="s">
        <v>10</v>
      </c>
      <c r="D181" s="3" t="s">
        <v>12</v>
      </c>
      <c r="E181" s="3" t="s">
        <v>11</v>
      </c>
      <c r="F181" s="3" t="s">
        <v>13</v>
      </c>
      <c r="G181" s="3" t="s">
        <v>14</v>
      </c>
      <c r="H181" s="3" t="s">
        <v>15</v>
      </c>
    </row>
    <row r="182" spans="1:9">
      <c r="A182" s="4" t="s">
        <v>16</v>
      </c>
      <c r="B182" s="5" t="s">
        <v>17</v>
      </c>
      <c r="C182" s="6">
        <f>IF(SUM(I183:I187)=0,0,SUM(C183:C187)/SUM(I183:I187))</f>
        <v/>
      </c>
      <c r="D182" s="6">
        <f>IF(SUM(I183:I187)=0,0,SUM(D183:D187)/SUM(I183:I187))</f>
        <v/>
      </c>
      <c r="E182" s="6">
        <f>IF(SUM(I183:I187)=0,0,SUM(E183:E187)/SUM(I183:I187))</f>
        <v/>
      </c>
      <c r="F182" s="6">
        <f>IF(SUM(I183:I187)=0,0,SUM(F183:F187)/SUM(I183:I187))</f>
        <v/>
      </c>
      <c r="G182" s="6">
        <f>IF(SUM(I183:I187)=0,0,SUM(G183:G187)/SUM(I183:I187))</f>
        <v/>
      </c>
      <c r="H182" s="6">
        <f>IF(SUM(I183:I187)=0,0,SUM(H183:H187)/SUM(I183:I187))</f>
        <v/>
      </c>
    </row>
    <row r="183" spans="1:9">
      <c r="A183" s="4" t="s">
        <v>46</v>
      </c>
      <c r="B183" s="7">
        <v>0</v>
      </c>
      <c r="C183" s="6">
        <f>IF(I183=1,0.9,0)</f>
        <v/>
      </c>
      <c r="D183" s="6">
        <f>IF(I183=1,0.8,0)</f>
        <v/>
      </c>
      <c r="E183" s="6">
        <f>IF(I183=1,0.8,0)</f>
        <v/>
      </c>
      <c r="F183" s="6">
        <f>IF(I183=1,1.0,0)</f>
        <v/>
      </c>
      <c r="G183" s="6">
        <f>IF(I183=1,1.0,0)</f>
        <v/>
      </c>
      <c r="H183" s="5" t="s">
        <v>17</v>
      </c>
      <c r="I183" s="8">
        <f>IF(OR(LOOKUP(A183,characters!A:A,characters!B:B)=-1, LOOKUP(A183,characters!A:A,characters!B:B)+0.1&gt;=B183),1,0)</f>
        <v/>
      </c>
    </row>
    <row r="184" spans="1:9">
      <c r="A184" s="4" t="s">
        <v>47</v>
      </c>
      <c r="B184" s="7">
        <v>0</v>
      </c>
      <c r="C184" s="6">
        <f>IF(I184=1,0.9,0)</f>
        <v/>
      </c>
      <c r="D184" s="6">
        <f>IF(I184=1,0.8,0)</f>
        <v/>
      </c>
      <c r="E184" s="6">
        <f>IF(I184=1,0.8,0)</f>
        <v/>
      </c>
      <c r="F184" s="5" t="s">
        <v>17</v>
      </c>
      <c r="G184" s="5" t="s">
        <v>17</v>
      </c>
      <c r="H184" s="6">
        <f>IF(I184=1,1.0,0)</f>
        <v/>
      </c>
      <c r="I184" s="8">
        <f>IF(OR(LOOKUP(A184,characters!A:A,characters!B:B)=-1, LOOKUP(A184,characters!A:A,characters!B:B)+0.1&gt;=B184),1,0)</f>
        <v/>
      </c>
    </row>
    <row r="185" spans="1:9">
      <c r="A185" s="4" t="s">
        <v>48</v>
      </c>
      <c r="B185" s="7">
        <v>0</v>
      </c>
      <c r="C185" s="6">
        <f>IF(I185=1,0.9,0)</f>
        <v/>
      </c>
      <c r="D185" s="6">
        <f>IF(I185=1,0.8,0)</f>
        <v/>
      </c>
      <c r="E185" s="6">
        <f>IF(I185=1,0.8,0)</f>
        <v/>
      </c>
      <c r="F185" s="6">
        <f>IF(I185=1,1.0,0)</f>
        <v/>
      </c>
      <c r="G185" s="6">
        <f>IF(I185=1,1.0,0)</f>
        <v/>
      </c>
      <c r="H185" s="5" t="s">
        <v>17</v>
      </c>
      <c r="I185" s="8">
        <f>IF(OR(LOOKUP(A185,characters!A:A,characters!B:B)=-1, LOOKUP(A185,characters!A:A,characters!B:B)+0.1&gt;=B185),1,0)</f>
        <v/>
      </c>
    </row>
    <row r="186" spans="1:9">
      <c r="A186" s="4" t="s">
        <v>49</v>
      </c>
      <c r="B186" s="7">
        <v>0</v>
      </c>
      <c r="C186" s="6">
        <f>IF(I186=1,0.9,0)</f>
        <v/>
      </c>
      <c r="D186" s="6">
        <f>IF(I186=1,0.8,0)</f>
        <v/>
      </c>
      <c r="E186" s="6">
        <f>IF(I186=1,0.8,0)</f>
        <v/>
      </c>
      <c r="F186" s="5" t="s">
        <v>17</v>
      </c>
      <c r="G186" s="5" t="s">
        <v>17</v>
      </c>
      <c r="H186" s="6">
        <f>IF(I186=1,1.0,0)</f>
        <v/>
      </c>
      <c r="I186" s="8">
        <f>IF(OR(LOOKUP(A186,characters!A:A,characters!B:B)=-1, LOOKUP(A186,characters!A:A,characters!B:B)+0.1&gt;=B186),1,0)</f>
        <v/>
      </c>
    </row>
    <row r="187" spans="1:9">
      <c r="A187" s="4" t="s">
        <v>50</v>
      </c>
      <c r="B187" s="7">
        <v>0.3</v>
      </c>
      <c r="C187" s="6">
        <f>IF(I187=1,0.9,0)</f>
        <v/>
      </c>
      <c r="D187" s="6">
        <f>IF(I187=1,0.8,0)</f>
        <v/>
      </c>
      <c r="E187" s="6">
        <f>IF(I187=1,0.8,0)</f>
        <v/>
      </c>
      <c r="F187" s="6">
        <f>IF(I187=1,1.0,0)</f>
        <v/>
      </c>
      <c r="G187" s="6">
        <f>IF(I187=1,1.0,0)</f>
        <v/>
      </c>
      <c r="H187" s="5" t="s">
        <v>17</v>
      </c>
      <c r="I187" s="8">
        <f>IF(OR(LOOKUP(A187,characters!A:A,characters!B:B)=-1, LOOKUP(A187,characters!A:A,characters!B:B)+0.1&gt;=B187),1,0)</f>
        <v/>
      </c>
    </row>
    <row r="189" spans="1:9">
      <c r="A189" s="3" t="s">
        <v>26</v>
      </c>
      <c r="B189" s="3" t="s">
        <v>9</v>
      </c>
      <c r="C189" s="3" t="s">
        <v>13</v>
      </c>
      <c r="D189" s="3" t="s">
        <v>14</v>
      </c>
      <c r="E189" s="3" t="s">
        <v>15</v>
      </c>
      <c r="F189" s="3" t="s">
        <v>10</v>
      </c>
    </row>
    <row r="190" spans="1:9">
      <c r="A190" s="4" t="s">
        <v>16</v>
      </c>
      <c r="B190" s="5" t="s">
        <v>17</v>
      </c>
      <c r="C190" s="6">
        <f>IF(SUM(G191:G195)=0,0,SUM(C191:C195)/SUM(G191:G195))</f>
        <v/>
      </c>
      <c r="D190" s="6">
        <f>IF(SUM(G191:G195)=0,0,SUM(D191:D195)/SUM(G191:G195))</f>
        <v/>
      </c>
      <c r="E190" s="6">
        <f>IF(SUM(G191:G195)=0,0,SUM(E191:E195)/SUM(G191:G195))</f>
        <v/>
      </c>
      <c r="F190" s="6">
        <f>IF(SUM(G191:G195)=0,0,SUM(F191:F195)/SUM(G191:G195))</f>
        <v/>
      </c>
    </row>
    <row r="191" spans="1:9">
      <c r="A191" s="4" t="s">
        <v>50</v>
      </c>
      <c r="B191" s="7">
        <v>0.3</v>
      </c>
      <c r="C191" s="6">
        <f>IF(G191=1,1.0,0)</f>
        <v/>
      </c>
      <c r="D191" s="6">
        <f>IF(G191=1,1.0,0)</f>
        <v/>
      </c>
      <c r="E191" s="5" t="s">
        <v>17</v>
      </c>
      <c r="F191" s="5" t="s">
        <v>17</v>
      </c>
      <c r="G191" s="8">
        <f>IF(OR(LOOKUP(A191,characters!A:A,characters!B:B)=-1, LOOKUP(A191,characters!A:A,characters!B:B)+0.1&gt;=B191),1,0)</f>
        <v/>
      </c>
    </row>
    <row r="192" spans="1:9">
      <c r="A192" s="4" t="s">
        <v>46</v>
      </c>
      <c r="B192" s="7">
        <v>0</v>
      </c>
      <c r="C192" s="6">
        <f>IF(G192=1,1.0,0)</f>
        <v/>
      </c>
      <c r="D192" s="6">
        <f>IF(G192=1,1.0,0)</f>
        <v/>
      </c>
      <c r="E192" s="5" t="s">
        <v>17</v>
      </c>
      <c r="F192" s="5" t="s">
        <v>17</v>
      </c>
      <c r="G192" s="8">
        <f>IF(OR(LOOKUP(A192,characters!A:A,characters!B:B)=-1, LOOKUP(A192,characters!A:A,characters!B:B)+0.1&gt;=B192),1,0)</f>
        <v/>
      </c>
    </row>
    <row r="193" spans="1:7">
      <c r="A193" s="4" t="s">
        <v>47</v>
      </c>
      <c r="B193" s="7">
        <v>0</v>
      </c>
      <c r="C193" s="5" t="s">
        <v>17</v>
      </c>
      <c r="D193" s="5" t="s">
        <v>17</v>
      </c>
      <c r="E193" s="6">
        <f>IF(G193=1,1.0,0)</f>
        <v/>
      </c>
      <c r="F193" s="5" t="s">
        <v>17</v>
      </c>
      <c r="G193" s="8">
        <f>IF(OR(LOOKUP(A193,characters!A:A,characters!B:B)=-1, LOOKUP(A193,characters!A:A,characters!B:B)+0.1&gt;=B193),1,0)</f>
        <v/>
      </c>
    </row>
    <row r="194" spans="1:7">
      <c r="A194" s="4" t="s">
        <v>48</v>
      </c>
      <c r="B194" s="7">
        <v>0</v>
      </c>
      <c r="C194" s="6">
        <f>IF(G194=1,1.0,0)</f>
        <v/>
      </c>
      <c r="D194" s="6">
        <f>IF(G194=1,1.0,0)</f>
        <v/>
      </c>
      <c r="E194" s="5" t="s">
        <v>17</v>
      </c>
      <c r="F194" s="5" t="s">
        <v>17</v>
      </c>
      <c r="G194" s="8">
        <f>IF(OR(LOOKUP(A194,characters!A:A,characters!B:B)=-1, LOOKUP(A194,characters!A:A,characters!B:B)+0.1&gt;=B194),1,0)</f>
        <v/>
      </c>
    </row>
    <row r="195" spans="1:7">
      <c r="A195" s="4" t="s">
        <v>49</v>
      </c>
      <c r="B195" s="7">
        <v>0</v>
      </c>
      <c r="C195" s="5" t="s">
        <v>17</v>
      </c>
      <c r="D195" s="5" t="s">
        <v>17</v>
      </c>
      <c r="E195" s="6">
        <f>IF(G195=1,1.0,0)</f>
        <v/>
      </c>
      <c r="F195" s="6">
        <f>IF(G195=1,0.9,0)</f>
        <v/>
      </c>
      <c r="G195" s="8">
        <f>IF(OR(LOOKUP(A195,characters!A:A,characters!B:B)=-1, LOOKUP(A195,characters!A:A,characters!B:B)+0.1&gt;=B195),1,0)</f>
        <v/>
      </c>
    </row>
    <row r="197" spans="1:7">
      <c r="A197" s="3" t="s">
        <v>27</v>
      </c>
      <c r="B197" s="3" t="s">
        <v>9</v>
      </c>
      <c r="C197" s="3" t="s">
        <v>51</v>
      </c>
      <c r="D197" s="3" t="s">
        <v>10</v>
      </c>
      <c r="E197" s="3" t="s">
        <v>31</v>
      </c>
    </row>
    <row r="198" spans="1:7">
      <c r="A198" s="4" t="s">
        <v>16</v>
      </c>
      <c r="B198" s="5" t="s">
        <v>17</v>
      </c>
      <c r="C198" s="6">
        <f>IF(SUM(F199:F203)=0,0,SUM(C199:C203)/SUM(F199:F203))</f>
        <v/>
      </c>
      <c r="D198" s="6">
        <f>IF(SUM(F199:F203)=0,0,SUM(D199:D203)/SUM(F199:F203))</f>
        <v/>
      </c>
      <c r="E198" s="6">
        <f>IF(SUM(F199:F203)=0,0,SUM(E199:E203)/SUM(F199:F203))</f>
        <v/>
      </c>
    </row>
    <row r="199" spans="1:7">
      <c r="A199" s="4" t="s">
        <v>50</v>
      </c>
      <c r="B199" s="7">
        <v>0.3</v>
      </c>
      <c r="C199" s="6">
        <f>IF(F199=1,1.0,0)</f>
        <v/>
      </c>
      <c r="D199" s="6">
        <f>IF(F199=1,0.99,0)</f>
        <v/>
      </c>
      <c r="E199" s="5" t="s">
        <v>17</v>
      </c>
      <c r="F199" s="8">
        <f>IF(OR(LOOKUP(A199,characters!A:A,characters!B:B)=-1, LOOKUP(A199,characters!A:A,characters!B:B)+0.1&gt;=B199),1,0)</f>
        <v/>
      </c>
    </row>
    <row r="200" spans="1:7">
      <c r="A200" s="4" t="s">
        <v>46</v>
      </c>
      <c r="B200" s="7">
        <v>0</v>
      </c>
      <c r="C200" s="6">
        <f>IF(F200=1,0.99,0)</f>
        <v/>
      </c>
      <c r="D200" s="6">
        <f>IF(F200=1,1.0,0)</f>
        <v/>
      </c>
      <c r="E200" s="5" t="s">
        <v>17</v>
      </c>
      <c r="F200" s="8">
        <f>IF(OR(LOOKUP(A200,characters!A:A,characters!B:B)=-1, LOOKUP(A200,characters!A:A,characters!B:B)+0.1&gt;=B200),1,0)</f>
        <v/>
      </c>
    </row>
    <row r="201" spans="1:7">
      <c r="A201" s="4" t="s">
        <v>47</v>
      </c>
      <c r="B201" s="7">
        <v>0</v>
      </c>
      <c r="C201" s="6">
        <f>IF(F201=1,1.0,0)</f>
        <v/>
      </c>
      <c r="D201" s="6">
        <f>IF(F201=1,0.89,0)</f>
        <v/>
      </c>
      <c r="E201" s="6">
        <f>IF(F201=1,0.9,0)</f>
        <v/>
      </c>
      <c r="F201" s="8">
        <f>IF(OR(LOOKUP(A201,characters!A:A,characters!B:B)=-1, LOOKUP(A201,characters!A:A,characters!B:B)+0.1&gt;=B201),1,0)</f>
        <v/>
      </c>
    </row>
    <row r="202" spans="1:7">
      <c r="A202" s="4" t="s">
        <v>48</v>
      </c>
      <c r="B202" s="7">
        <v>0</v>
      </c>
      <c r="C202" s="6">
        <f>IF(F202=1,0.99,0)</f>
        <v/>
      </c>
      <c r="D202" s="6">
        <f>IF(F202=1,1.0,0)</f>
        <v/>
      </c>
      <c r="E202" s="5" t="s">
        <v>17</v>
      </c>
      <c r="F202" s="8">
        <f>IF(OR(LOOKUP(A202,characters!A:A,characters!B:B)=-1, LOOKUP(A202,characters!A:A,characters!B:B)+0.1&gt;=B202),1,0)</f>
        <v/>
      </c>
    </row>
    <row r="203" spans="1:7">
      <c r="A203" s="4" t="s">
        <v>49</v>
      </c>
      <c r="B203" s="7">
        <v>0</v>
      </c>
      <c r="C203" s="6">
        <f>IF(F203=1,1.0,0)</f>
        <v/>
      </c>
      <c r="D203" s="6">
        <f>IF(F203=1,0.9,0)</f>
        <v/>
      </c>
      <c r="E203" s="6">
        <f>IF(F203=1,0.9,0)</f>
        <v/>
      </c>
      <c r="F203" s="8">
        <f>IF(OR(LOOKUP(A203,characters!A:A,characters!B:B)=-1, LOOKUP(A203,characters!A:A,characters!B:B)+0.1&gt;=B203),1,0)</f>
        <v/>
      </c>
    </row>
    <row r="205" spans="1:7">
      <c r="A205" s="3" t="s">
        <v>32</v>
      </c>
      <c r="B205" s="3" t="s">
        <v>9</v>
      </c>
      <c r="C205" s="3" t="s">
        <v>10</v>
      </c>
      <c r="D205" s="3" t="s">
        <v>34</v>
      </c>
    </row>
    <row r="206" spans="1:7">
      <c r="A206" s="4" t="s">
        <v>16</v>
      </c>
      <c r="B206" s="5" t="s">
        <v>17</v>
      </c>
      <c r="C206" s="6">
        <f>IF(SUM(E207:E211)=0,0,SUM(C207:C211)/SUM(E207:E211))</f>
        <v/>
      </c>
      <c r="D206" s="6">
        <f>IF(SUM(E207:E211)=0,0,SUM(D207:D211)/SUM(E207:E211))</f>
        <v/>
      </c>
    </row>
    <row r="207" spans="1:7">
      <c r="A207" s="4" t="s">
        <v>50</v>
      </c>
      <c r="B207" s="7">
        <v>0.3</v>
      </c>
      <c r="C207" s="6">
        <f>IF(E207=1,1.0,0)</f>
        <v/>
      </c>
      <c r="D207" s="5" t="s">
        <v>17</v>
      </c>
      <c r="E207" s="8">
        <f>IF(OR(LOOKUP(A207,characters!A:A,characters!B:B)=-1, LOOKUP(A207,characters!A:A,characters!B:B)+0.1&gt;=B207),1,0)</f>
        <v/>
      </c>
    </row>
    <row r="208" spans="1:7">
      <c r="A208" s="4" t="s">
        <v>46</v>
      </c>
      <c r="B208" s="7">
        <v>0</v>
      </c>
      <c r="C208" s="6">
        <f>IF(E208=1,1.0,0)</f>
        <v/>
      </c>
      <c r="D208" s="5" t="s">
        <v>17</v>
      </c>
      <c r="E208" s="8">
        <f>IF(OR(LOOKUP(A208,characters!A:A,characters!B:B)=-1, LOOKUP(A208,characters!A:A,characters!B:B)+0.1&gt;=B208),1,0)</f>
        <v/>
      </c>
    </row>
    <row r="209" spans="1:11">
      <c r="A209" s="4" t="s">
        <v>47</v>
      </c>
      <c r="B209" s="7">
        <v>0</v>
      </c>
      <c r="C209" s="6">
        <f>IF(E209=1,0.99,0)</f>
        <v/>
      </c>
      <c r="D209" s="6">
        <f>IF(E209=1,1.0,0)</f>
        <v/>
      </c>
      <c r="E209" s="8">
        <f>IF(OR(LOOKUP(A209,characters!A:A,characters!B:B)=-1, LOOKUP(A209,characters!A:A,characters!B:B)+0.1&gt;=B209),1,0)</f>
        <v/>
      </c>
    </row>
    <row r="210" spans="1:11">
      <c r="A210" s="4" t="s">
        <v>48</v>
      </c>
      <c r="B210" s="7">
        <v>0</v>
      </c>
      <c r="C210" s="6">
        <f>IF(E210=1,1.0,0)</f>
        <v/>
      </c>
      <c r="D210" s="5" t="s">
        <v>17</v>
      </c>
      <c r="E210" s="8">
        <f>IF(OR(LOOKUP(A210,characters!A:A,characters!B:B)=-1, LOOKUP(A210,characters!A:A,characters!B:B)+0.1&gt;=B210),1,0)</f>
        <v/>
      </c>
    </row>
    <row r="211" spans="1:11">
      <c r="A211" s="4" t="s">
        <v>49</v>
      </c>
      <c r="B211" s="7">
        <v>0</v>
      </c>
      <c r="C211" s="6">
        <f>IF(E211=1,1.0,0)</f>
        <v/>
      </c>
      <c r="D211" s="6">
        <f>IF(E211=1,1.0,0)</f>
        <v/>
      </c>
      <c r="E211" s="8">
        <f>IF(OR(LOOKUP(A211,characters!A:A,characters!B:B)=-1, LOOKUP(A211,characters!A:A,characters!B:B)+0.1&gt;=B211),1,0)</f>
        <v/>
      </c>
    </row>
    <row r="218" spans="1:11">
      <c r="A218" s="3" t="s">
        <v>52</v>
      </c>
    </row>
    <row r="219" spans="1:11">
      <c r="A219" s="3" t="s">
        <v>8</v>
      </c>
      <c r="B219" s="3" t="s">
        <v>9</v>
      </c>
      <c r="C219" s="3" t="s">
        <v>10</v>
      </c>
      <c r="D219" s="3" t="s">
        <v>12</v>
      </c>
      <c r="E219" s="3" t="s">
        <v>11</v>
      </c>
      <c r="F219" s="3" t="s">
        <v>15</v>
      </c>
      <c r="G219" s="3" t="s">
        <v>13</v>
      </c>
      <c r="H219" s="3" t="s">
        <v>14</v>
      </c>
      <c r="I219" s="3" t="s">
        <v>53</v>
      </c>
      <c r="J219" s="3" t="s">
        <v>54</v>
      </c>
    </row>
    <row r="220" spans="1:11">
      <c r="A220" s="4" t="s">
        <v>16</v>
      </c>
      <c r="B220" s="5" t="s">
        <v>17</v>
      </c>
      <c r="C220" s="6">
        <f>IF(SUM(K221:K236)=0,0,SUM(C221:C236)/SUM(K221:K236))</f>
        <v/>
      </c>
      <c r="D220" s="6">
        <f>IF(SUM(K221:K236)=0,0,SUM(D221:D236)/SUM(K221:K236))</f>
        <v/>
      </c>
      <c r="E220" s="6">
        <f>IF(SUM(K221:K236)=0,0,SUM(E221:E236)/SUM(K221:K236))</f>
        <v/>
      </c>
      <c r="F220" s="6">
        <f>IF(SUM(K221:K236)=0,0,SUM(F221:F236)/SUM(K221:K236))</f>
        <v/>
      </c>
      <c r="G220" s="6">
        <f>IF(SUM(K221:K236)=0,0,SUM(G221:G236)/SUM(K221:K236))</f>
        <v/>
      </c>
      <c r="H220" s="6">
        <f>IF(SUM(K221:K236)=0,0,SUM(H221:H236)/SUM(K221:K236))</f>
        <v/>
      </c>
      <c r="I220" s="6">
        <f>IF(SUM(K221:K236)=0,0,SUM(I221:I236)/SUM(K221:K236))</f>
        <v/>
      </c>
      <c r="J220" s="6">
        <f>IF(SUM(K221:K236)=0,0,SUM(J221:J236)/SUM(K221:K236))</f>
        <v/>
      </c>
    </row>
    <row r="221" spans="1:11">
      <c r="A221" s="4" t="s">
        <v>40</v>
      </c>
      <c r="B221" s="7">
        <v>0.1</v>
      </c>
      <c r="C221" s="6">
        <f>IF(K221=1,0.9,0)</f>
        <v/>
      </c>
      <c r="D221" s="6">
        <f>IF(K221=1,0.8,0)</f>
        <v/>
      </c>
      <c r="E221" s="6">
        <f>IF(K221=1,0.8,0)</f>
        <v/>
      </c>
      <c r="F221" s="6">
        <f>IF(K221=1,1.0,0)</f>
        <v/>
      </c>
      <c r="G221" s="5" t="s">
        <v>17</v>
      </c>
      <c r="H221" s="5" t="s">
        <v>17</v>
      </c>
      <c r="I221" s="5" t="s">
        <v>17</v>
      </c>
      <c r="J221" s="5" t="s">
        <v>17</v>
      </c>
      <c r="K221" s="8">
        <f>IF(OR(LOOKUP(A221,characters!A:A,characters!B:B)=-1, LOOKUP(A221,characters!A:A,characters!B:B)+0.1&gt;=B221),1,0)</f>
        <v/>
      </c>
    </row>
    <row r="222" spans="1:11">
      <c r="A222" s="4" t="s">
        <v>47</v>
      </c>
      <c r="B222" s="7">
        <v>0.1</v>
      </c>
      <c r="C222" s="6">
        <f>IF(K222=1,0.9,0)</f>
        <v/>
      </c>
      <c r="D222" s="6">
        <f>IF(K222=1,0.8,0)</f>
        <v/>
      </c>
      <c r="E222" s="6">
        <f>IF(K222=1,0.8,0)</f>
        <v/>
      </c>
      <c r="F222" s="6">
        <f>IF(K222=1,1.0,0)</f>
        <v/>
      </c>
      <c r="G222" s="5" t="s">
        <v>17</v>
      </c>
      <c r="H222" s="5" t="s">
        <v>17</v>
      </c>
      <c r="I222" s="5" t="s">
        <v>17</v>
      </c>
      <c r="J222" s="5" t="s">
        <v>17</v>
      </c>
      <c r="K222" s="8">
        <f>IF(OR(LOOKUP(A222,characters!A:A,characters!B:B)=-1, LOOKUP(A222,characters!A:A,characters!B:B)+0.1&gt;=B222),1,0)</f>
        <v/>
      </c>
    </row>
    <row r="223" spans="1:11">
      <c r="A223" s="4" t="s">
        <v>49</v>
      </c>
      <c r="B223" s="7">
        <v>0.1</v>
      </c>
      <c r="C223" s="6">
        <f>IF(K223=1,0.9,0)</f>
        <v/>
      </c>
      <c r="D223" s="6">
        <f>IF(K223=1,0.8,0)</f>
        <v/>
      </c>
      <c r="E223" s="6">
        <f>IF(K223=1,0.8,0)</f>
        <v/>
      </c>
      <c r="F223" s="6">
        <f>IF(K223=1,1.0,0)</f>
        <v/>
      </c>
      <c r="G223" s="5" t="s">
        <v>17</v>
      </c>
      <c r="H223" s="5" t="s">
        <v>17</v>
      </c>
      <c r="I223" s="5" t="s">
        <v>17</v>
      </c>
      <c r="J223" s="5" t="s">
        <v>17</v>
      </c>
      <c r="K223" s="8">
        <f>IF(OR(LOOKUP(A223,characters!A:A,characters!B:B)=-1, LOOKUP(A223,characters!A:A,characters!B:B)+0.1&gt;=B223),1,0)</f>
        <v/>
      </c>
    </row>
    <row r="224" spans="1:11">
      <c r="A224" s="4" t="s">
        <v>38</v>
      </c>
      <c r="B224" s="7">
        <v>0.1</v>
      </c>
      <c r="C224" s="6">
        <f>IF(K224=1,0.9,0)</f>
        <v/>
      </c>
      <c r="D224" s="6">
        <f>IF(K224=1,0.8,0)</f>
        <v/>
      </c>
      <c r="E224" s="6">
        <f>IF(K224=1,0.8,0)</f>
        <v/>
      </c>
      <c r="F224" s="6">
        <f>IF(K224=1,1.0,0)</f>
        <v/>
      </c>
      <c r="G224" s="5" t="s">
        <v>17</v>
      </c>
      <c r="H224" s="5" t="s">
        <v>17</v>
      </c>
      <c r="I224" s="5" t="s">
        <v>17</v>
      </c>
      <c r="J224" s="5" t="s">
        <v>17</v>
      </c>
      <c r="K224" s="8">
        <f>IF(OR(LOOKUP(A224,characters!A:A,characters!B:B)=-1, LOOKUP(A224,characters!A:A,characters!B:B)+0.1&gt;=B224),1,0)</f>
        <v/>
      </c>
    </row>
    <row r="225" spans="1:11">
      <c r="A225" s="4" t="s">
        <v>55</v>
      </c>
      <c r="B225" s="7">
        <v>0.2</v>
      </c>
      <c r="C225" s="6">
        <f>IF(K225=1,0.9,0)</f>
        <v/>
      </c>
      <c r="D225" s="6">
        <f>IF(K225=1,0.8,0)</f>
        <v/>
      </c>
      <c r="E225" s="6">
        <f>IF(K225=1,0.8,0)</f>
        <v/>
      </c>
      <c r="F225" s="5" t="s">
        <v>17</v>
      </c>
      <c r="G225" s="6">
        <f>IF(K225=1,1.0,0)</f>
        <v/>
      </c>
      <c r="H225" s="6">
        <f>IF(K225=1,1.0,0)</f>
        <v/>
      </c>
      <c r="I225" s="5" t="s">
        <v>17</v>
      </c>
      <c r="J225" s="5" t="s">
        <v>17</v>
      </c>
      <c r="K225" s="8">
        <f>IF(OR(LOOKUP(A225,characters!A:A,characters!B:B)=-1, LOOKUP(A225,characters!A:A,characters!B:B)+0.1&gt;=B225),1,0)</f>
        <v/>
      </c>
    </row>
    <row r="226" spans="1:11">
      <c r="A226" s="4" t="s">
        <v>37</v>
      </c>
      <c r="B226" s="7">
        <v>0.2</v>
      </c>
      <c r="C226" s="6">
        <f>IF(K226=1,0.9,0)</f>
        <v/>
      </c>
      <c r="D226" s="6">
        <f>IF(K226=1,0.8,0)</f>
        <v/>
      </c>
      <c r="E226" s="6">
        <f>IF(K226=1,0.8,0)</f>
        <v/>
      </c>
      <c r="F226" s="6">
        <f>IF(K226=1,1.0,0)</f>
        <v/>
      </c>
      <c r="G226" s="5" t="s">
        <v>17</v>
      </c>
      <c r="H226" s="5" t="s">
        <v>17</v>
      </c>
      <c r="I226" s="5" t="s">
        <v>17</v>
      </c>
      <c r="J226" s="5" t="s">
        <v>17</v>
      </c>
      <c r="K226" s="8">
        <f>IF(OR(LOOKUP(A226,characters!A:A,characters!B:B)=-1, LOOKUP(A226,characters!A:A,characters!B:B)+0.1&gt;=B226),1,0)</f>
        <v/>
      </c>
    </row>
    <row r="227" spans="1:11">
      <c r="A227" s="4" t="s">
        <v>56</v>
      </c>
      <c r="B227" s="7">
        <v>0.2</v>
      </c>
      <c r="C227" s="6">
        <f>IF(K227=1,0.9,0)</f>
        <v/>
      </c>
      <c r="D227" s="6">
        <f>IF(K227=1,0.8,0)</f>
        <v/>
      </c>
      <c r="E227" s="6">
        <f>IF(K227=1,0.8,0)</f>
        <v/>
      </c>
      <c r="F227" s="5" t="s">
        <v>17</v>
      </c>
      <c r="G227" s="6">
        <f>IF(K227=1,1.0,0)</f>
        <v/>
      </c>
      <c r="H227" s="6">
        <f>IF(K227=1,1.0,0)</f>
        <v/>
      </c>
      <c r="I227" s="5" t="s">
        <v>17</v>
      </c>
      <c r="J227" s="5" t="s">
        <v>17</v>
      </c>
      <c r="K227" s="8">
        <f>IF(OR(LOOKUP(A227,characters!A:A,characters!B:B)=-1, LOOKUP(A227,characters!A:A,characters!B:B)+0.1&gt;=B227),1,0)</f>
        <v/>
      </c>
    </row>
    <row r="228" spans="1:11">
      <c r="A228" s="4" t="s">
        <v>19</v>
      </c>
      <c r="B228" s="7">
        <v>0.2</v>
      </c>
      <c r="C228" s="6">
        <f>IF(K228=1,1.0,0)</f>
        <v/>
      </c>
      <c r="D228" s="6">
        <f>IF(K228=1,0.9,0)</f>
        <v/>
      </c>
      <c r="E228" s="6">
        <f>IF(K228=1,0.9,0)</f>
        <v/>
      </c>
      <c r="F228" s="5" t="s">
        <v>17</v>
      </c>
      <c r="G228" s="6">
        <f>IF(K228=1,1.0,0)</f>
        <v/>
      </c>
      <c r="H228" s="6">
        <f>IF(K228=1,1.0,0)</f>
        <v/>
      </c>
      <c r="I228" s="5" t="s">
        <v>17</v>
      </c>
      <c r="J228" s="5" t="s">
        <v>17</v>
      </c>
      <c r="K228" s="8">
        <f>IF(OR(LOOKUP(A228,characters!A:A,characters!B:B)=-1, LOOKUP(A228,characters!A:A,characters!B:B)+0.1&gt;=B228),1,0)</f>
        <v/>
      </c>
    </row>
    <row r="229" spans="1:11">
      <c r="A229" s="4" t="s">
        <v>57</v>
      </c>
      <c r="B229" s="7">
        <v>0.2</v>
      </c>
      <c r="C229" s="6">
        <f>IF(K229=1,0.9,0)</f>
        <v/>
      </c>
      <c r="D229" s="6">
        <f>IF(K229=1,0.8,0)</f>
        <v/>
      </c>
      <c r="E229" s="6">
        <f>IF(K229=1,0.8,0)</f>
        <v/>
      </c>
      <c r="F229" s="5" t="s">
        <v>17</v>
      </c>
      <c r="G229" s="6">
        <f>IF(K229=1,1.0,0)</f>
        <v/>
      </c>
      <c r="H229" s="6">
        <f>IF(K229=1,1.0,0)</f>
        <v/>
      </c>
      <c r="I229" s="5" t="s">
        <v>17</v>
      </c>
      <c r="J229" s="5" t="s">
        <v>17</v>
      </c>
      <c r="K229" s="8">
        <f>IF(OR(LOOKUP(A229,characters!A:A,characters!B:B)=-1, LOOKUP(A229,characters!A:A,characters!B:B)+0.1&gt;=B229),1,0)</f>
        <v/>
      </c>
    </row>
    <row r="230" spans="1:11">
      <c r="A230" s="4" t="s">
        <v>20</v>
      </c>
      <c r="B230" s="7">
        <v>0.2</v>
      </c>
      <c r="C230" s="6">
        <f>IF(K230=1,1.0,0)</f>
        <v/>
      </c>
      <c r="D230" s="6">
        <f>IF(K230=1,0.9,0)</f>
        <v/>
      </c>
      <c r="E230" s="6">
        <f>IF(K230=1,0.9,0)</f>
        <v/>
      </c>
      <c r="F230" s="6">
        <f>IF(K230=1,1.0,0)</f>
        <v/>
      </c>
      <c r="G230" s="5" t="s">
        <v>17</v>
      </c>
      <c r="H230" s="5" t="s">
        <v>17</v>
      </c>
      <c r="I230" s="5" t="s">
        <v>17</v>
      </c>
      <c r="J230" s="5" t="s">
        <v>17</v>
      </c>
      <c r="K230" s="8">
        <f>IF(OR(LOOKUP(A230,characters!A:A,characters!B:B)=-1, LOOKUP(A230,characters!A:A,characters!B:B)+0.1&gt;=B230),1,0)</f>
        <v/>
      </c>
    </row>
    <row r="231" spans="1:11">
      <c r="A231" s="4" t="s">
        <v>21</v>
      </c>
      <c r="B231" s="7">
        <v>0.2</v>
      </c>
      <c r="C231" s="6">
        <f>IF(K231=1,0.9,0)</f>
        <v/>
      </c>
      <c r="D231" s="6">
        <f>IF(K231=1,0.8,0)</f>
        <v/>
      </c>
      <c r="E231" s="6">
        <f>IF(K231=1,0.8,0)</f>
        <v/>
      </c>
      <c r="F231" s="6">
        <f>IF(K231=1,1.0,0)</f>
        <v/>
      </c>
      <c r="G231" s="5" t="s">
        <v>17</v>
      </c>
      <c r="H231" s="5" t="s">
        <v>17</v>
      </c>
      <c r="I231" s="5" t="s">
        <v>17</v>
      </c>
      <c r="J231" s="5" t="s">
        <v>17</v>
      </c>
      <c r="K231" s="8">
        <f>IF(OR(LOOKUP(A231,characters!A:A,characters!B:B)=-1, LOOKUP(A231,characters!A:A,characters!B:B)+0.1&gt;=B231),1,0)</f>
        <v/>
      </c>
    </row>
    <row r="232" spans="1:11">
      <c r="A232" s="4" t="s">
        <v>22</v>
      </c>
      <c r="B232" s="7">
        <v>0.2</v>
      </c>
      <c r="C232" s="6">
        <f>IF(K232=1,1.0,0)</f>
        <v/>
      </c>
      <c r="D232" s="6">
        <f>IF(K232=1,0.7,0)</f>
        <v/>
      </c>
      <c r="E232" s="6">
        <f>IF(K232=1,0.8,0)</f>
        <v/>
      </c>
      <c r="F232" s="6">
        <f>IF(K232=1,0.9,0)</f>
        <v/>
      </c>
      <c r="G232" s="5" t="s">
        <v>17</v>
      </c>
      <c r="H232" s="5" t="s">
        <v>17</v>
      </c>
      <c r="I232" s="5" t="s">
        <v>17</v>
      </c>
      <c r="J232" s="5" t="s">
        <v>17</v>
      </c>
      <c r="K232" s="8">
        <f>IF(OR(LOOKUP(A232,characters!A:A,characters!B:B)=-1, LOOKUP(A232,characters!A:A,characters!B:B)+0.1&gt;=B232),1,0)</f>
        <v/>
      </c>
    </row>
    <row r="233" spans="1:11">
      <c r="A233" s="4" t="s">
        <v>23</v>
      </c>
      <c r="B233" s="7">
        <v>0.2</v>
      </c>
      <c r="C233" s="6">
        <f>IF(K233=1,1.0,0)</f>
        <v/>
      </c>
      <c r="D233" s="6">
        <f>IF(K233=1,0.9,0)</f>
        <v/>
      </c>
      <c r="E233" s="6">
        <f>IF(K233=1,0.9,0)</f>
        <v/>
      </c>
      <c r="F233" s="5" t="s">
        <v>17</v>
      </c>
      <c r="G233" s="6">
        <f>IF(K233=1,1.0,0)</f>
        <v/>
      </c>
      <c r="H233" s="6">
        <f>IF(K233=1,1.0,0)</f>
        <v/>
      </c>
      <c r="I233" s="5" t="s">
        <v>17</v>
      </c>
      <c r="J233" s="5" t="s">
        <v>17</v>
      </c>
      <c r="K233" s="8">
        <f>IF(OR(LOOKUP(A233,characters!A:A,characters!B:B)=-1, LOOKUP(A233,characters!A:A,characters!B:B)+0.1&gt;=B233),1,0)</f>
        <v/>
      </c>
    </row>
    <row r="234" spans="1:11">
      <c r="A234" s="4" t="s">
        <v>39</v>
      </c>
      <c r="B234" s="7">
        <v>0.7</v>
      </c>
      <c r="C234" s="6">
        <f>IF(K234=1,1.0,0)</f>
        <v/>
      </c>
      <c r="D234" s="6">
        <f>IF(K234=1,0.8,0)</f>
        <v/>
      </c>
      <c r="E234" s="6">
        <f>IF(K234=1,0.9,0)</f>
        <v/>
      </c>
      <c r="F234" s="6">
        <f>IF(K234=1,1.0,0)</f>
        <v/>
      </c>
      <c r="G234" s="6">
        <f>IF(K234=1,1.0,0)</f>
        <v/>
      </c>
      <c r="H234" s="6">
        <f>IF(K234=1,1.0,0)</f>
        <v/>
      </c>
      <c r="I234" s="5" t="s">
        <v>17</v>
      </c>
      <c r="J234" s="5" t="s">
        <v>17</v>
      </c>
      <c r="K234" s="8">
        <f>IF(OR(LOOKUP(A234,characters!A:A,characters!B:B)=-1, LOOKUP(A234,characters!A:A,characters!B:B)+0.1&gt;=B234),1,0)</f>
        <v/>
      </c>
    </row>
    <row r="235" spans="1:11">
      <c r="A235" s="4" t="s">
        <v>58</v>
      </c>
      <c r="B235" s="7">
        <v>1</v>
      </c>
      <c r="C235" s="6">
        <f>IF(K235=1,0.9,0)</f>
        <v/>
      </c>
      <c r="D235" s="6">
        <f>IF(K235=1,0.8,0)</f>
        <v/>
      </c>
      <c r="E235" s="6">
        <f>IF(K235=1,0.8,0)</f>
        <v/>
      </c>
      <c r="F235" s="6">
        <f>IF(K235=1,1.0,0)</f>
        <v/>
      </c>
      <c r="G235" s="6">
        <f>IF(K235=1,1.0,0)</f>
        <v/>
      </c>
      <c r="H235" s="6">
        <f>IF(K235=1,1.0,0)</f>
        <v/>
      </c>
      <c r="I235" s="5" t="s">
        <v>17</v>
      </c>
      <c r="J235" s="5" t="s">
        <v>17</v>
      </c>
      <c r="K235" s="8">
        <f>IF(OR(LOOKUP(A235,characters!A:A,characters!B:B)=-1, LOOKUP(A235,characters!A:A,characters!B:B)+0.1&gt;=B235),1,0)</f>
        <v/>
      </c>
    </row>
    <row r="236" spans="1:11">
      <c r="A236" s="4" t="s">
        <v>59</v>
      </c>
      <c r="B236" s="7">
        <v>2.3</v>
      </c>
      <c r="C236" s="5" t="s">
        <v>17</v>
      </c>
      <c r="D236" s="6">
        <f>IF(K236=1,0.7,0)</f>
        <v/>
      </c>
      <c r="E236" s="5" t="s">
        <v>17</v>
      </c>
      <c r="F236" s="5" t="s">
        <v>17</v>
      </c>
      <c r="G236" s="6">
        <f>IF(K236=1,0.9,0)</f>
        <v/>
      </c>
      <c r="H236" s="6">
        <f>IF(K236=1,0.9,0)</f>
        <v/>
      </c>
      <c r="I236" s="6">
        <f>IF(K236=1,1.0,0)</f>
        <v/>
      </c>
      <c r="J236" s="6">
        <f>IF(K236=1,0.8,0)</f>
        <v/>
      </c>
      <c r="K236" s="8">
        <f>IF(OR(LOOKUP(A236,characters!A:A,characters!B:B)=-1, LOOKUP(A236,characters!A:A,characters!B:B)+0.1&gt;=B236),1,0)</f>
        <v/>
      </c>
    </row>
    <row r="238" spans="1:11">
      <c r="A238" s="3" t="s">
        <v>26</v>
      </c>
      <c r="B238" s="3" t="s">
        <v>9</v>
      </c>
      <c r="C238" s="3" t="s">
        <v>13</v>
      </c>
      <c r="D238" s="3" t="s">
        <v>14</v>
      </c>
      <c r="E238" s="3" t="s">
        <v>53</v>
      </c>
      <c r="F238" s="3" t="s">
        <v>15</v>
      </c>
      <c r="G238" s="3" t="s">
        <v>10</v>
      </c>
    </row>
    <row r="239" spans="1:11">
      <c r="A239" s="4" t="s">
        <v>16</v>
      </c>
      <c r="B239" s="5" t="s">
        <v>17</v>
      </c>
      <c r="C239" s="6">
        <f>IF(SUM(H240:H255)=0,0,SUM(C240:C255)/SUM(H240:H255))</f>
        <v/>
      </c>
      <c r="D239" s="6">
        <f>IF(SUM(H240:H255)=0,0,SUM(D240:D255)/SUM(H240:H255))</f>
        <v/>
      </c>
      <c r="E239" s="6">
        <f>IF(SUM(H240:H255)=0,0,SUM(E240:E255)/SUM(H240:H255))</f>
        <v/>
      </c>
      <c r="F239" s="6">
        <f>IF(SUM(H240:H255)=0,0,SUM(F240:F255)/SUM(H240:H255))</f>
        <v/>
      </c>
      <c r="G239" s="6">
        <f>IF(SUM(H240:H255)=0,0,SUM(G240:G255)/SUM(H240:H255))</f>
        <v/>
      </c>
    </row>
    <row r="240" spans="1:11">
      <c r="A240" s="4" t="s">
        <v>55</v>
      </c>
      <c r="B240" s="7">
        <v>0.2</v>
      </c>
      <c r="C240" s="6">
        <f>IF(H240=1,1.0,0)</f>
        <v/>
      </c>
      <c r="D240" s="6">
        <f>IF(H240=1,0.99,0)</f>
        <v/>
      </c>
      <c r="E240" s="5" t="s">
        <v>17</v>
      </c>
      <c r="F240" s="5" t="s">
        <v>17</v>
      </c>
      <c r="G240" s="5" t="s">
        <v>17</v>
      </c>
      <c r="H240" s="8">
        <f>IF(OR(LOOKUP(A240,characters!A:A,characters!B:B)=-1, LOOKUP(A240,characters!A:A,characters!B:B)+0.1&gt;=B240),1,0)</f>
        <v/>
      </c>
    </row>
    <row r="241" spans="1:8">
      <c r="A241" s="4" t="s">
        <v>59</v>
      </c>
      <c r="B241" s="7">
        <v>2.3</v>
      </c>
      <c r="C241" s="5" t="s">
        <v>17</v>
      </c>
      <c r="D241" s="6">
        <f>IF(H241=1,0.9,0)</f>
        <v/>
      </c>
      <c r="E241" s="6">
        <f>IF(H241=1,1.0,0)</f>
        <v/>
      </c>
      <c r="F241" s="5" t="s">
        <v>17</v>
      </c>
      <c r="G241" s="5" t="s">
        <v>17</v>
      </c>
      <c r="H241" s="8">
        <f>IF(OR(LOOKUP(A241,characters!A:A,characters!B:B)=-1, LOOKUP(A241,characters!A:A,characters!B:B)+0.1&gt;=B241),1,0)</f>
        <v/>
      </c>
    </row>
    <row r="242" spans="1:8">
      <c r="A242" s="4" t="s">
        <v>37</v>
      </c>
      <c r="B242" s="7">
        <v>0.2</v>
      </c>
      <c r="C242" s="5" t="s">
        <v>17</v>
      </c>
      <c r="D242" s="5" t="s">
        <v>17</v>
      </c>
      <c r="E242" s="5" t="s">
        <v>17</v>
      </c>
      <c r="F242" s="6">
        <f>IF(H242=1,1.0,0)</f>
        <v/>
      </c>
      <c r="G242" s="5" t="s">
        <v>17</v>
      </c>
      <c r="H242" s="8">
        <f>IF(OR(LOOKUP(A242,characters!A:A,characters!B:B)=-1, LOOKUP(A242,characters!A:A,characters!B:B)+0.1&gt;=B242),1,0)</f>
        <v/>
      </c>
    </row>
    <row r="243" spans="1:8">
      <c r="A243" s="4" t="s">
        <v>58</v>
      </c>
      <c r="B243" s="7">
        <v>1</v>
      </c>
      <c r="C243" s="6">
        <f>IF(H243=1,1.0,0)</f>
        <v/>
      </c>
      <c r="D243" s="5" t="s">
        <v>17</v>
      </c>
      <c r="E243" s="5" t="s">
        <v>17</v>
      </c>
      <c r="F243" s="6">
        <f>IF(H243=1,1.0,0)</f>
        <v/>
      </c>
      <c r="G243" s="5" t="s">
        <v>17</v>
      </c>
      <c r="H243" s="8">
        <f>IF(OR(LOOKUP(A243,characters!A:A,characters!B:B)=-1, LOOKUP(A243,characters!A:A,characters!B:B)+0.1&gt;=B243),1,0)</f>
        <v/>
      </c>
    </row>
    <row r="244" spans="1:8">
      <c r="A244" s="4" t="s">
        <v>40</v>
      </c>
      <c r="B244" s="7">
        <v>0.1</v>
      </c>
      <c r="C244" s="5" t="s">
        <v>17</v>
      </c>
      <c r="D244" s="5" t="s">
        <v>17</v>
      </c>
      <c r="E244" s="5" t="s">
        <v>17</v>
      </c>
      <c r="F244" s="6">
        <f>IF(H244=1,1.0,0)</f>
        <v/>
      </c>
      <c r="G244" s="6">
        <f>IF(H244=1,0.9,0)</f>
        <v/>
      </c>
      <c r="H244" s="8">
        <f>IF(OR(LOOKUP(A244,characters!A:A,characters!B:B)=-1, LOOKUP(A244,characters!A:A,characters!B:B)+0.1&gt;=B244),1,0)</f>
        <v/>
      </c>
    </row>
    <row r="245" spans="1:8">
      <c r="A245" s="4" t="s">
        <v>47</v>
      </c>
      <c r="B245" s="7">
        <v>0.1</v>
      </c>
      <c r="C245" s="5" t="s">
        <v>17</v>
      </c>
      <c r="D245" s="5" t="s">
        <v>17</v>
      </c>
      <c r="E245" s="5" t="s">
        <v>17</v>
      </c>
      <c r="F245" s="6">
        <f>IF(H245=1,1.0,0)</f>
        <v/>
      </c>
      <c r="G245" s="5" t="s">
        <v>17</v>
      </c>
      <c r="H245" s="8">
        <f>IF(OR(LOOKUP(A245,characters!A:A,characters!B:B)=-1, LOOKUP(A245,characters!A:A,characters!B:B)+0.1&gt;=B245),1,0)</f>
        <v/>
      </c>
    </row>
    <row r="246" spans="1:8">
      <c r="A246" s="4" t="s">
        <v>56</v>
      </c>
      <c r="B246" s="7">
        <v>0.2</v>
      </c>
      <c r="C246" s="6">
        <f>IF(H246=1,1.0,0)</f>
        <v/>
      </c>
      <c r="D246" s="6">
        <f>IF(H246=1,0.99,0)</f>
        <v/>
      </c>
      <c r="E246" s="5" t="s">
        <v>17</v>
      </c>
      <c r="F246" s="5" t="s">
        <v>17</v>
      </c>
      <c r="G246" s="5" t="s">
        <v>17</v>
      </c>
      <c r="H246" s="8">
        <f>IF(OR(LOOKUP(A246,characters!A:A,characters!B:B)=-1, LOOKUP(A246,characters!A:A,characters!B:B)+0.1&gt;=B246),1,0)</f>
        <v/>
      </c>
    </row>
    <row r="247" spans="1:8">
      <c r="A247" s="4" t="s">
        <v>39</v>
      </c>
      <c r="B247" s="7">
        <v>0.7</v>
      </c>
      <c r="C247" s="6">
        <f>IF(H247=1,1.0,0)</f>
        <v/>
      </c>
      <c r="D247" s="6">
        <f>IF(H247=1,0.99,0)</f>
        <v/>
      </c>
      <c r="E247" s="5" t="s">
        <v>17</v>
      </c>
      <c r="F247" s="6">
        <f>IF(H247=1,0.99,0)</f>
        <v/>
      </c>
      <c r="G247" s="5" t="s">
        <v>17</v>
      </c>
      <c r="H247" s="8">
        <f>IF(OR(LOOKUP(A247,characters!A:A,characters!B:B)=-1, LOOKUP(A247,characters!A:A,characters!B:B)+0.1&gt;=B247),1,0)</f>
        <v/>
      </c>
    </row>
    <row r="248" spans="1:8">
      <c r="A248" s="4" t="s">
        <v>19</v>
      </c>
      <c r="B248" s="7">
        <v>0.2</v>
      </c>
      <c r="C248" s="6">
        <f>IF(H248=1,0.9,0)</f>
        <v/>
      </c>
      <c r="D248" s="5" t="s">
        <v>17</v>
      </c>
      <c r="E248" s="5" t="s">
        <v>17</v>
      </c>
      <c r="F248" s="5" t="s">
        <v>17</v>
      </c>
      <c r="G248" s="6">
        <f>IF(H248=1,1.0,0)</f>
        <v/>
      </c>
      <c r="H248" s="8">
        <f>IF(OR(LOOKUP(A248,characters!A:A,characters!B:B)=-1, LOOKUP(A248,characters!A:A,characters!B:B)+0.1&gt;=B248),1,0)</f>
        <v/>
      </c>
    </row>
    <row r="249" spans="1:8">
      <c r="A249" s="4" t="s">
        <v>57</v>
      </c>
      <c r="B249" s="7">
        <v>0.2</v>
      </c>
      <c r="C249" s="6">
        <f>IF(H249=1,1.0,0)</f>
        <v/>
      </c>
      <c r="D249" s="6">
        <f>IF(H249=1,0.99,0)</f>
        <v/>
      </c>
      <c r="E249" s="5" t="s">
        <v>17</v>
      </c>
      <c r="F249" s="5" t="s">
        <v>17</v>
      </c>
      <c r="G249" s="5" t="s">
        <v>17</v>
      </c>
      <c r="H249" s="8">
        <f>IF(OR(LOOKUP(A249,characters!A:A,characters!B:B)=-1, LOOKUP(A249,characters!A:A,characters!B:B)+0.1&gt;=B249),1,0)</f>
        <v/>
      </c>
    </row>
    <row r="250" spans="1:8">
      <c r="A250" s="4" t="s">
        <v>20</v>
      </c>
      <c r="B250" s="7">
        <v>0.2</v>
      </c>
      <c r="C250" s="5" t="s">
        <v>17</v>
      </c>
      <c r="D250" s="5" t="s">
        <v>17</v>
      </c>
      <c r="E250" s="5" t="s">
        <v>17</v>
      </c>
      <c r="F250" s="6">
        <f>IF(H250=1,1.0,0)</f>
        <v/>
      </c>
      <c r="G250" s="6">
        <f>IF(H250=1,1.0,0)</f>
        <v/>
      </c>
      <c r="H250" s="8">
        <f>IF(OR(LOOKUP(A250,characters!A:A,characters!B:B)=-1, LOOKUP(A250,characters!A:A,characters!B:B)+0.1&gt;=B250),1,0)</f>
        <v/>
      </c>
    </row>
    <row r="251" spans="1:8">
      <c r="A251" s="4" t="s">
        <v>49</v>
      </c>
      <c r="B251" s="7">
        <v>0.1</v>
      </c>
      <c r="C251" s="5" t="s">
        <v>17</v>
      </c>
      <c r="D251" s="5" t="s">
        <v>17</v>
      </c>
      <c r="E251" s="5" t="s">
        <v>17</v>
      </c>
      <c r="F251" s="6">
        <f>IF(H251=1,1.0,0)</f>
        <v/>
      </c>
      <c r="G251" s="6">
        <f>IF(H251=1,0.9,0)</f>
        <v/>
      </c>
      <c r="H251" s="8">
        <f>IF(OR(LOOKUP(A251,characters!A:A,characters!B:B)=-1, LOOKUP(A251,characters!A:A,characters!B:B)+0.1&gt;=B251),1,0)</f>
        <v/>
      </c>
    </row>
    <row r="252" spans="1:8">
      <c r="A252" s="4" t="s">
        <v>21</v>
      </c>
      <c r="B252" s="7">
        <v>0.2</v>
      </c>
      <c r="C252" s="5" t="s">
        <v>17</v>
      </c>
      <c r="D252" s="5" t="s">
        <v>17</v>
      </c>
      <c r="E252" s="5" t="s">
        <v>17</v>
      </c>
      <c r="F252" s="6">
        <f>IF(H252=1,1.0,0)</f>
        <v/>
      </c>
      <c r="G252" s="6">
        <f>IF(H252=1,1.0,0)</f>
        <v/>
      </c>
      <c r="H252" s="8">
        <f>IF(OR(LOOKUP(A252,characters!A:A,characters!B:B)=-1, LOOKUP(A252,characters!A:A,characters!B:B)+0.1&gt;=B252),1,0)</f>
        <v/>
      </c>
    </row>
    <row r="253" spans="1:8">
      <c r="A253" s="4" t="s">
        <v>22</v>
      </c>
      <c r="B253" s="7">
        <v>0.2</v>
      </c>
      <c r="C253" s="5" t="s">
        <v>17</v>
      </c>
      <c r="D253" s="5" t="s">
        <v>17</v>
      </c>
      <c r="E253" s="5" t="s">
        <v>17</v>
      </c>
      <c r="F253" s="6">
        <f>IF(H253=1,0.99,0)</f>
        <v/>
      </c>
      <c r="G253" s="6">
        <f>IF(H253=1,1.0,0)</f>
        <v/>
      </c>
      <c r="H253" s="8">
        <f>IF(OR(LOOKUP(A253,characters!A:A,characters!B:B)=-1, LOOKUP(A253,characters!A:A,characters!B:B)+0.1&gt;=B253),1,0)</f>
        <v/>
      </c>
    </row>
    <row r="254" spans="1:8">
      <c r="A254" s="4" t="s">
        <v>23</v>
      </c>
      <c r="B254" s="7">
        <v>0.2</v>
      </c>
      <c r="C254" s="6">
        <f>IF(H254=1,0.9,0)</f>
        <v/>
      </c>
      <c r="D254" s="5" t="s">
        <v>17</v>
      </c>
      <c r="E254" s="5" t="s">
        <v>17</v>
      </c>
      <c r="F254" s="5" t="s">
        <v>17</v>
      </c>
      <c r="G254" s="6">
        <f>IF(H254=1,1.0,0)</f>
        <v/>
      </c>
      <c r="H254" s="8">
        <f>IF(OR(LOOKUP(A254,characters!A:A,characters!B:B)=-1, LOOKUP(A254,characters!A:A,characters!B:B)+0.1&gt;=B254),1,0)</f>
        <v/>
      </c>
    </row>
    <row r="255" spans="1:8">
      <c r="A255" s="4" t="s">
        <v>38</v>
      </c>
      <c r="B255" s="7">
        <v>0.1</v>
      </c>
      <c r="C255" s="5" t="s">
        <v>17</v>
      </c>
      <c r="D255" s="5" t="s">
        <v>17</v>
      </c>
      <c r="E255" s="5" t="s">
        <v>17</v>
      </c>
      <c r="F255" s="6">
        <f>IF(H255=1,1.0,0)</f>
        <v/>
      </c>
      <c r="G255" s="5" t="s">
        <v>17</v>
      </c>
      <c r="H255" s="8">
        <f>IF(OR(LOOKUP(A255,characters!A:A,characters!B:B)=-1, LOOKUP(A255,characters!A:A,characters!B:B)+0.1&gt;=B255),1,0)</f>
        <v/>
      </c>
    </row>
    <row r="257" spans="1:11">
      <c r="A257" s="3" t="s">
        <v>27</v>
      </c>
      <c r="B257" s="3" t="s">
        <v>9</v>
      </c>
      <c r="C257" s="3" t="s">
        <v>28</v>
      </c>
      <c r="D257" s="3" t="s">
        <v>53</v>
      </c>
      <c r="E257" s="3" t="s">
        <v>41</v>
      </c>
      <c r="F257" s="3" t="s">
        <v>31</v>
      </c>
      <c r="G257" s="3" t="s">
        <v>51</v>
      </c>
      <c r="H257" s="3" t="s">
        <v>10</v>
      </c>
      <c r="I257" s="3" t="s">
        <v>29</v>
      </c>
      <c r="J257" s="3" t="s">
        <v>30</v>
      </c>
    </row>
    <row r="258" spans="1:11">
      <c r="A258" s="4" t="s">
        <v>16</v>
      </c>
      <c r="B258" s="5" t="s">
        <v>17</v>
      </c>
      <c r="C258" s="6">
        <f>IF(SUM(K259:K274)=0,0,SUM(C259:C274)/SUM(K259:K274))</f>
        <v/>
      </c>
      <c r="D258" s="6">
        <f>IF(SUM(K259:K274)=0,0,SUM(D259:D274)/SUM(K259:K274))</f>
        <v/>
      </c>
      <c r="E258" s="6">
        <f>IF(SUM(K259:K274)=0,0,SUM(E259:E274)/SUM(K259:K274))</f>
        <v/>
      </c>
      <c r="F258" s="6">
        <f>IF(SUM(K259:K274)=0,0,SUM(F259:F274)/SUM(K259:K274))</f>
        <v/>
      </c>
      <c r="G258" s="6">
        <f>IF(SUM(K259:K274)=0,0,SUM(G259:G274)/SUM(K259:K274))</f>
        <v/>
      </c>
      <c r="H258" s="6">
        <f>IF(SUM(K259:K274)=0,0,SUM(H259:H274)/SUM(K259:K274))</f>
        <v/>
      </c>
      <c r="I258" s="6">
        <f>IF(SUM(K259:K274)=0,0,SUM(I259:I274)/SUM(K259:K274))</f>
        <v/>
      </c>
      <c r="J258" s="6">
        <f>IF(SUM(K259:K274)=0,0,SUM(J259:J274)/SUM(K259:K274))</f>
        <v/>
      </c>
    </row>
    <row r="259" spans="1:11">
      <c r="A259" s="4" t="s">
        <v>55</v>
      </c>
      <c r="B259" s="7">
        <v>0.2</v>
      </c>
      <c r="C259" s="6">
        <f>IF(K259=1,1.0,0)</f>
        <v/>
      </c>
      <c r="D259" s="5" t="s">
        <v>17</v>
      </c>
      <c r="E259" s="5" t="s">
        <v>17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8">
        <f>IF(OR(LOOKUP(A259,characters!A:A,characters!B:B)=-1, LOOKUP(A259,characters!A:A,characters!B:B)+0.1&gt;=B259),1,0)</f>
        <v/>
      </c>
    </row>
    <row r="260" spans="1:11">
      <c r="A260" s="4" t="s">
        <v>59</v>
      </c>
      <c r="B260" s="7">
        <v>2.3</v>
      </c>
      <c r="C260" s="5" t="s">
        <v>17</v>
      </c>
      <c r="D260" s="6">
        <f>IF(K260=1,1.0,0)</f>
        <v/>
      </c>
      <c r="E260" s="6">
        <f>IF(K260=1,1.0,0)</f>
        <v/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8">
        <f>IF(OR(LOOKUP(A260,characters!A:A,characters!B:B)=-1, LOOKUP(A260,characters!A:A,characters!B:B)+0.1&gt;=B260),1,0)</f>
        <v/>
      </c>
    </row>
    <row r="261" spans="1:11">
      <c r="A261" s="4" t="s">
        <v>37</v>
      </c>
      <c r="B261" s="7">
        <v>0.2</v>
      </c>
      <c r="C261" s="5" t="s">
        <v>17</v>
      </c>
      <c r="D261" s="5" t="s">
        <v>17</v>
      </c>
      <c r="E261" s="6">
        <f>IF(K261=1,1.0,0)</f>
        <v/>
      </c>
      <c r="F261" s="6">
        <f>IF(K261=1,0.99,0)</f>
        <v/>
      </c>
      <c r="G261" s="5" t="s">
        <v>17</v>
      </c>
      <c r="H261" s="5" t="s">
        <v>17</v>
      </c>
      <c r="I261" s="5" t="s">
        <v>17</v>
      </c>
      <c r="J261" s="5" t="s">
        <v>17</v>
      </c>
      <c r="K261" s="8">
        <f>IF(OR(LOOKUP(A261,characters!A:A,characters!B:B)=-1, LOOKUP(A261,characters!A:A,characters!B:B)+0.1&gt;=B261),1,0)</f>
        <v/>
      </c>
    </row>
    <row r="262" spans="1:11">
      <c r="A262" s="4" t="s">
        <v>58</v>
      </c>
      <c r="B262" s="7">
        <v>1</v>
      </c>
      <c r="C262" s="5" t="s">
        <v>17</v>
      </c>
      <c r="D262" s="5" t="s">
        <v>17</v>
      </c>
      <c r="E262" s="5" t="s">
        <v>17</v>
      </c>
      <c r="F262" s="6">
        <f>IF(K262=1,0.9,0)</f>
        <v/>
      </c>
      <c r="G262" s="6">
        <f>IF(K262=1,1.0,0)</f>
        <v/>
      </c>
      <c r="H262" s="6">
        <f>IF(K262=1,0.9,0)</f>
        <v/>
      </c>
      <c r="I262" s="5" t="s">
        <v>17</v>
      </c>
      <c r="J262" s="5" t="s">
        <v>17</v>
      </c>
      <c r="K262" s="8">
        <f>IF(OR(LOOKUP(A262,characters!A:A,characters!B:B)=-1, LOOKUP(A262,characters!A:A,characters!B:B)+0.1&gt;=B262),1,0)</f>
        <v/>
      </c>
    </row>
    <row r="263" spans="1:11">
      <c r="A263" s="4" t="s">
        <v>40</v>
      </c>
      <c r="B263" s="7">
        <v>0.1</v>
      </c>
      <c r="C263" s="6">
        <f>IF(K263=1,1.0,0)</f>
        <v/>
      </c>
      <c r="D263" s="5" t="s">
        <v>17</v>
      </c>
      <c r="E263" s="5" t="s">
        <v>17</v>
      </c>
      <c r="F263" s="6">
        <f>IF(K263=1,0.9,0)</f>
        <v/>
      </c>
      <c r="G263" s="5" t="s">
        <v>17</v>
      </c>
      <c r="H263" s="6">
        <f>IF(K263=1,0.9,0)</f>
        <v/>
      </c>
      <c r="I263" s="5" t="s">
        <v>17</v>
      </c>
      <c r="J263" s="5" t="s">
        <v>17</v>
      </c>
      <c r="K263" s="8">
        <f>IF(OR(LOOKUP(A263,characters!A:A,characters!B:B)=-1, LOOKUP(A263,characters!A:A,characters!B:B)+0.1&gt;=B263),1,0)</f>
        <v/>
      </c>
    </row>
    <row r="264" spans="1:11">
      <c r="A264" s="4" t="s">
        <v>47</v>
      </c>
      <c r="B264" s="7">
        <v>0.1</v>
      </c>
      <c r="C264" s="5" t="s">
        <v>17</v>
      </c>
      <c r="D264" s="5" t="s">
        <v>17</v>
      </c>
      <c r="E264" s="5" t="s">
        <v>17</v>
      </c>
      <c r="F264" s="6">
        <f>IF(K264=1,0.9,0)</f>
        <v/>
      </c>
      <c r="G264" s="6">
        <f>IF(K264=1,1.0,0)</f>
        <v/>
      </c>
      <c r="H264" s="6">
        <f>IF(K264=1,0.89,0)</f>
        <v/>
      </c>
      <c r="I264" s="5" t="s">
        <v>17</v>
      </c>
      <c r="J264" s="5" t="s">
        <v>17</v>
      </c>
      <c r="K264" s="8">
        <f>IF(OR(LOOKUP(A264,characters!A:A,characters!B:B)=-1, LOOKUP(A264,characters!A:A,characters!B:B)+0.1&gt;=B264),1,0)</f>
        <v/>
      </c>
    </row>
    <row r="265" spans="1:11">
      <c r="A265" s="4" t="s">
        <v>56</v>
      </c>
      <c r="B265" s="7">
        <v>0.2</v>
      </c>
      <c r="C265" s="5" t="s">
        <v>17</v>
      </c>
      <c r="D265" s="5" t="s">
        <v>17</v>
      </c>
      <c r="E265" s="6">
        <f>IF(K265=1,1.0,0)</f>
        <v/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8">
        <f>IF(OR(LOOKUP(A265,characters!A:A,characters!B:B)=-1, LOOKUP(A265,characters!A:A,characters!B:B)+0.1&gt;=B265),1,0)</f>
        <v/>
      </c>
    </row>
    <row r="266" spans="1:11">
      <c r="A266" s="4" t="s">
        <v>39</v>
      </c>
      <c r="B266" s="7">
        <v>0.7</v>
      </c>
      <c r="C266" s="5" t="s">
        <v>17</v>
      </c>
      <c r="D266" s="5" t="s">
        <v>17</v>
      </c>
      <c r="E266" s="6">
        <f>IF(K266=1,1.0,0)</f>
        <v/>
      </c>
      <c r="F266" s="6">
        <f>IF(K266=1,1.0,0)</f>
        <v/>
      </c>
      <c r="G266" s="5" t="s">
        <v>17</v>
      </c>
      <c r="H266" s="6">
        <f>IF(K266=1,1.0,0)</f>
        <v/>
      </c>
      <c r="I266" s="5" t="s">
        <v>17</v>
      </c>
      <c r="J266" s="5" t="s">
        <v>17</v>
      </c>
      <c r="K266" s="8">
        <f>IF(OR(LOOKUP(A266,characters!A:A,characters!B:B)=-1, LOOKUP(A266,characters!A:A,characters!B:B)+0.1&gt;=B266),1,0)</f>
        <v/>
      </c>
    </row>
    <row r="267" spans="1:11">
      <c r="A267" s="4" t="s">
        <v>19</v>
      </c>
      <c r="B267" s="7">
        <v>0.2</v>
      </c>
      <c r="C267" s="5" t="s">
        <v>17</v>
      </c>
      <c r="D267" s="5" t="s">
        <v>17</v>
      </c>
      <c r="E267" s="5" t="s">
        <v>17</v>
      </c>
      <c r="F267" s="5" t="s">
        <v>17</v>
      </c>
      <c r="G267" s="5" t="s">
        <v>17</v>
      </c>
      <c r="H267" s="6">
        <f>IF(K267=1,1.0,0)</f>
        <v/>
      </c>
      <c r="I267" s="5" t="s">
        <v>17</v>
      </c>
      <c r="J267" s="5" t="s">
        <v>17</v>
      </c>
      <c r="K267" s="8">
        <f>IF(OR(LOOKUP(A267,characters!A:A,characters!B:B)=-1, LOOKUP(A267,characters!A:A,characters!B:B)+0.1&gt;=B267),1,0)</f>
        <v/>
      </c>
    </row>
    <row r="268" spans="1:11">
      <c r="A268" s="4" t="s">
        <v>57</v>
      </c>
      <c r="B268" s="7">
        <v>0.2</v>
      </c>
      <c r="C268" s="5" t="s">
        <v>17</v>
      </c>
      <c r="D268" s="5" t="s">
        <v>17</v>
      </c>
      <c r="E268" s="5" t="s">
        <v>17</v>
      </c>
      <c r="F268" s="5" t="s">
        <v>17</v>
      </c>
      <c r="G268" s="5" t="s">
        <v>17</v>
      </c>
      <c r="H268" s="5" t="s">
        <v>17</v>
      </c>
      <c r="I268" s="6">
        <f>IF(K268=1,1.0,0)</f>
        <v/>
      </c>
      <c r="J268" s="5" t="s">
        <v>17</v>
      </c>
      <c r="K268" s="8">
        <f>IF(OR(LOOKUP(A268,characters!A:A,characters!B:B)=-1, LOOKUP(A268,characters!A:A,characters!B:B)+0.1&gt;=B268),1,0)</f>
        <v/>
      </c>
    </row>
    <row r="269" spans="1:11">
      <c r="A269" s="4" t="s">
        <v>20</v>
      </c>
      <c r="B269" s="7">
        <v>0.2</v>
      </c>
      <c r="C269" s="5" t="s">
        <v>17</v>
      </c>
      <c r="D269" s="5" t="s">
        <v>17</v>
      </c>
      <c r="E269" s="5" t="s">
        <v>17</v>
      </c>
      <c r="F269" s="5" t="s">
        <v>17</v>
      </c>
      <c r="G269" s="5" t="s">
        <v>17</v>
      </c>
      <c r="H269" s="6">
        <f>IF(K269=1,0.9,0)</f>
        <v/>
      </c>
      <c r="I269" s="5" t="s">
        <v>17</v>
      </c>
      <c r="J269" s="6">
        <f>IF(K269=1,1.0,0)</f>
        <v/>
      </c>
      <c r="K269" s="8">
        <f>IF(OR(LOOKUP(A269,characters!A:A,characters!B:B)=-1, LOOKUP(A269,characters!A:A,characters!B:B)+0.1&gt;=B269),1,0)</f>
        <v/>
      </c>
    </row>
    <row r="270" spans="1:11">
      <c r="A270" s="4" t="s">
        <v>49</v>
      </c>
      <c r="B270" s="7">
        <v>0.1</v>
      </c>
      <c r="C270" s="5" t="s">
        <v>17</v>
      </c>
      <c r="D270" s="5" t="s">
        <v>17</v>
      </c>
      <c r="E270" s="5" t="s">
        <v>17</v>
      </c>
      <c r="F270" s="6">
        <f>IF(K270=1,0.9,0)</f>
        <v/>
      </c>
      <c r="G270" s="6">
        <f>IF(K270=1,1.0,0)</f>
        <v/>
      </c>
      <c r="H270" s="6">
        <f>IF(K270=1,0.9,0)</f>
        <v/>
      </c>
      <c r="I270" s="5" t="s">
        <v>17</v>
      </c>
      <c r="J270" s="5" t="s">
        <v>17</v>
      </c>
      <c r="K270" s="8">
        <f>IF(OR(LOOKUP(A270,characters!A:A,characters!B:B)=-1, LOOKUP(A270,characters!A:A,characters!B:B)+0.1&gt;=B270),1,0)</f>
        <v/>
      </c>
    </row>
    <row r="271" spans="1:11">
      <c r="A271" s="4" t="s">
        <v>21</v>
      </c>
      <c r="B271" s="7">
        <v>0.2</v>
      </c>
      <c r="C271" s="5" t="s">
        <v>17</v>
      </c>
      <c r="D271" s="5" t="s">
        <v>17</v>
      </c>
      <c r="E271" s="5" t="s">
        <v>17</v>
      </c>
      <c r="F271" s="6">
        <f>IF(K271=1,1.0,0)</f>
        <v/>
      </c>
      <c r="G271" s="5" t="s">
        <v>17</v>
      </c>
      <c r="H271" s="5" t="s">
        <v>17</v>
      </c>
      <c r="I271" s="5" t="s">
        <v>17</v>
      </c>
      <c r="J271" s="5" t="s">
        <v>17</v>
      </c>
      <c r="K271" s="8">
        <f>IF(OR(LOOKUP(A271,characters!A:A,characters!B:B)=-1, LOOKUP(A271,characters!A:A,characters!B:B)+0.1&gt;=B271),1,0)</f>
        <v/>
      </c>
    </row>
    <row r="272" spans="1:11">
      <c r="A272" s="4" t="s">
        <v>22</v>
      </c>
      <c r="B272" s="7">
        <v>0.2</v>
      </c>
      <c r="C272" s="6">
        <f>IF(K272=1,0.99,0)</f>
        <v/>
      </c>
      <c r="D272" s="5" t="s">
        <v>17</v>
      </c>
      <c r="E272" s="5" t="s">
        <v>17</v>
      </c>
      <c r="F272" s="5" t="s">
        <v>17</v>
      </c>
      <c r="G272" s="5" t="s">
        <v>17</v>
      </c>
      <c r="H272" s="6">
        <f>IF(K272=1,1.0,0)</f>
        <v/>
      </c>
      <c r="I272" s="5" t="s">
        <v>17</v>
      </c>
      <c r="J272" s="5" t="s">
        <v>17</v>
      </c>
      <c r="K272" s="8">
        <f>IF(OR(LOOKUP(A272,characters!A:A,characters!B:B)=-1, LOOKUP(A272,characters!A:A,characters!B:B)+0.1&gt;=B272),1,0)</f>
        <v/>
      </c>
    </row>
    <row r="273" spans="1:11">
      <c r="A273" s="4" t="s">
        <v>23</v>
      </c>
      <c r="B273" s="7">
        <v>0.2</v>
      </c>
      <c r="C273" s="5" t="s">
        <v>17</v>
      </c>
      <c r="D273" s="5" t="s">
        <v>17</v>
      </c>
      <c r="E273" s="5" t="s">
        <v>17</v>
      </c>
      <c r="F273" s="5" t="s">
        <v>17</v>
      </c>
      <c r="G273" s="5" t="s">
        <v>17</v>
      </c>
      <c r="H273" s="6">
        <f>IF(K273=1,1.0,0)</f>
        <v/>
      </c>
      <c r="I273" s="6">
        <f>IF(K273=1,0.9,0)</f>
        <v/>
      </c>
      <c r="J273" s="5" t="s">
        <v>17</v>
      </c>
      <c r="K273" s="8">
        <f>IF(OR(LOOKUP(A273,characters!A:A,characters!B:B)=-1, LOOKUP(A273,characters!A:A,characters!B:B)+0.1&gt;=B273),1,0)</f>
        <v/>
      </c>
    </row>
    <row r="274" spans="1:11">
      <c r="A274" s="4" t="s">
        <v>38</v>
      </c>
      <c r="B274" s="7">
        <v>0.1</v>
      </c>
      <c r="C274" s="6">
        <f>IF(K274=1,1.0,0)</f>
        <v/>
      </c>
      <c r="D274" s="5" t="s">
        <v>17</v>
      </c>
      <c r="E274" s="5" t="s">
        <v>17</v>
      </c>
      <c r="F274" s="6">
        <f>IF(K274=1,0.99,0)</f>
        <v/>
      </c>
      <c r="G274" s="5" t="s">
        <v>17</v>
      </c>
      <c r="H274" s="5" t="s">
        <v>17</v>
      </c>
      <c r="I274" s="5" t="s">
        <v>17</v>
      </c>
      <c r="J274" s="5" t="s">
        <v>17</v>
      </c>
      <c r="K274" s="8">
        <f>IF(OR(LOOKUP(A274,characters!A:A,characters!B:B)=-1, LOOKUP(A274,characters!A:A,characters!B:B)+0.1&gt;=B274),1,0)</f>
        <v/>
      </c>
    </row>
    <row r="276" spans="1:11">
      <c r="A276" s="3" t="s">
        <v>32</v>
      </c>
      <c r="B276" s="3" t="s">
        <v>9</v>
      </c>
      <c r="C276" s="3" t="s">
        <v>42</v>
      </c>
      <c r="D276" s="3" t="s">
        <v>53</v>
      </c>
      <c r="E276" s="3" t="s">
        <v>33</v>
      </c>
      <c r="F276" s="3" t="s">
        <v>10</v>
      </c>
      <c r="G276" s="3" t="s">
        <v>34</v>
      </c>
    </row>
    <row r="277" spans="1:11">
      <c r="A277" s="4" t="s">
        <v>16</v>
      </c>
      <c r="B277" s="5" t="s">
        <v>17</v>
      </c>
      <c r="C277" s="6">
        <f>IF(SUM(H278:H293)=0,0,SUM(C278:C293)/SUM(H278:H293))</f>
        <v/>
      </c>
      <c r="D277" s="6">
        <f>IF(SUM(H278:H293)=0,0,SUM(D278:D293)/SUM(H278:H293))</f>
        <v/>
      </c>
      <c r="E277" s="6">
        <f>IF(SUM(H278:H293)=0,0,SUM(E278:E293)/SUM(H278:H293))</f>
        <v/>
      </c>
      <c r="F277" s="6">
        <f>IF(SUM(H278:H293)=0,0,SUM(F278:F293)/SUM(H278:H293))</f>
        <v/>
      </c>
      <c r="G277" s="6">
        <f>IF(SUM(H278:H293)=0,0,SUM(G278:G293)/SUM(H278:H293))</f>
        <v/>
      </c>
    </row>
    <row r="278" spans="1:11">
      <c r="A278" s="4" t="s">
        <v>55</v>
      </c>
      <c r="B278" s="7">
        <v>0.2</v>
      </c>
      <c r="C278" s="6">
        <f>IF(H278=1,1.0,0)</f>
        <v/>
      </c>
      <c r="D278" s="5" t="s">
        <v>17</v>
      </c>
      <c r="E278" s="5" t="s">
        <v>17</v>
      </c>
      <c r="F278" s="5" t="s">
        <v>17</v>
      </c>
      <c r="G278" s="5" t="s">
        <v>17</v>
      </c>
      <c r="H278" s="8">
        <f>IF(OR(LOOKUP(A278,characters!A:A,characters!B:B)=-1, LOOKUP(A278,characters!A:A,characters!B:B)+0.1&gt;=B278),1,0)</f>
        <v/>
      </c>
    </row>
    <row r="279" spans="1:11">
      <c r="A279" s="4" t="s">
        <v>59</v>
      </c>
      <c r="B279" s="7">
        <v>2.3</v>
      </c>
      <c r="C279" s="5" t="s">
        <v>17</v>
      </c>
      <c r="D279" s="6">
        <f>IF(H279=1,1.0,0)</f>
        <v/>
      </c>
      <c r="E279" s="6">
        <f>IF(H279=1,1.0,0)</f>
        <v/>
      </c>
      <c r="F279" s="5" t="s">
        <v>17</v>
      </c>
      <c r="G279" s="5" t="s">
        <v>17</v>
      </c>
      <c r="H279" s="8">
        <f>IF(OR(LOOKUP(A279,characters!A:A,characters!B:B)=-1, LOOKUP(A279,characters!A:A,characters!B:B)+0.1&gt;=B279),1,0)</f>
        <v/>
      </c>
    </row>
    <row r="280" spans="1:11">
      <c r="A280" s="4" t="s">
        <v>37</v>
      </c>
      <c r="B280" s="7">
        <v>0.2</v>
      </c>
      <c r="C280" s="5" t="s">
        <v>17</v>
      </c>
      <c r="D280" s="5" t="s">
        <v>17</v>
      </c>
      <c r="E280" s="5" t="s">
        <v>17</v>
      </c>
      <c r="F280" s="6">
        <f>IF(H280=1,1.0,0)</f>
        <v/>
      </c>
      <c r="G280" s="6">
        <f>IF(H280=1,1.0,0)</f>
        <v/>
      </c>
      <c r="H280" s="8">
        <f>IF(OR(LOOKUP(A280,characters!A:A,characters!B:B)=-1, LOOKUP(A280,characters!A:A,characters!B:B)+0.1&gt;=B280),1,0)</f>
        <v/>
      </c>
    </row>
    <row r="281" spans="1:11">
      <c r="A281" s="4" t="s">
        <v>58</v>
      </c>
      <c r="B281" s="7">
        <v>1</v>
      </c>
      <c r="C281" s="6">
        <f>IF(H281=1,1.0,0)</f>
        <v/>
      </c>
      <c r="D281" s="5" t="s">
        <v>17</v>
      </c>
      <c r="E281" s="5" t="s">
        <v>17</v>
      </c>
      <c r="F281" s="5" t="s">
        <v>17</v>
      </c>
      <c r="G281" s="5" t="s">
        <v>17</v>
      </c>
      <c r="H281" s="8">
        <f>IF(OR(LOOKUP(A281,characters!A:A,characters!B:B)=-1, LOOKUP(A281,characters!A:A,characters!B:B)+0.1&gt;=B281),1,0)</f>
        <v/>
      </c>
    </row>
    <row r="282" spans="1:11">
      <c r="A282" s="4" t="s">
        <v>40</v>
      </c>
      <c r="B282" s="7">
        <v>0.1</v>
      </c>
      <c r="C282" s="5" t="s">
        <v>17</v>
      </c>
      <c r="D282" s="5" t="s">
        <v>17</v>
      </c>
      <c r="E282" s="5" t="s">
        <v>17</v>
      </c>
      <c r="F282" s="6">
        <f>IF(H282=1,1.0,0)</f>
        <v/>
      </c>
      <c r="G282" s="6">
        <f>IF(H282=1,1.0,0)</f>
        <v/>
      </c>
      <c r="H282" s="8">
        <f>IF(OR(LOOKUP(A282,characters!A:A,characters!B:B)=-1, LOOKUP(A282,characters!A:A,characters!B:B)+0.1&gt;=B282),1,0)</f>
        <v/>
      </c>
    </row>
    <row r="283" spans="1:11">
      <c r="A283" s="4" t="s">
        <v>47</v>
      </c>
      <c r="B283" s="7">
        <v>0.1</v>
      </c>
      <c r="C283" s="5" t="s">
        <v>17</v>
      </c>
      <c r="D283" s="5" t="s">
        <v>17</v>
      </c>
      <c r="E283" s="5" t="s">
        <v>17</v>
      </c>
      <c r="F283" s="6">
        <f>IF(H283=1,0.99,0)</f>
        <v/>
      </c>
      <c r="G283" s="6">
        <f>IF(H283=1,1.0,0)</f>
        <v/>
      </c>
      <c r="H283" s="8">
        <f>IF(OR(LOOKUP(A283,characters!A:A,characters!B:B)=-1, LOOKUP(A283,characters!A:A,characters!B:B)+0.1&gt;=B283),1,0)</f>
        <v/>
      </c>
    </row>
    <row r="284" spans="1:11">
      <c r="A284" s="4" t="s">
        <v>56</v>
      </c>
      <c r="B284" s="7">
        <v>0.2</v>
      </c>
      <c r="C284" s="6">
        <f>IF(H284=1,1.0,0)</f>
        <v/>
      </c>
      <c r="D284" s="5" t="s">
        <v>17</v>
      </c>
      <c r="E284" s="5" t="s">
        <v>17</v>
      </c>
      <c r="F284" s="5" t="s">
        <v>17</v>
      </c>
      <c r="G284" s="5" t="s">
        <v>17</v>
      </c>
      <c r="H284" s="8">
        <f>IF(OR(LOOKUP(A284,characters!A:A,characters!B:B)=-1, LOOKUP(A284,characters!A:A,characters!B:B)+0.1&gt;=B284),1,0)</f>
        <v/>
      </c>
    </row>
    <row r="285" spans="1:11">
      <c r="A285" s="4" t="s">
        <v>39</v>
      </c>
      <c r="B285" s="7">
        <v>0.7</v>
      </c>
      <c r="C285" s="6">
        <f>IF(H285=1,1.0,0)</f>
        <v/>
      </c>
      <c r="D285" s="5" t="s">
        <v>17</v>
      </c>
      <c r="E285" s="5" t="s">
        <v>17</v>
      </c>
      <c r="F285" s="5" t="s">
        <v>17</v>
      </c>
      <c r="G285" s="5" t="s">
        <v>17</v>
      </c>
      <c r="H285" s="8">
        <f>IF(OR(LOOKUP(A285,characters!A:A,characters!B:B)=-1, LOOKUP(A285,characters!A:A,characters!B:B)+0.1&gt;=B285),1,0)</f>
        <v/>
      </c>
    </row>
    <row r="286" spans="1:11">
      <c r="A286" s="4" t="s">
        <v>19</v>
      </c>
      <c r="B286" s="7">
        <v>0.2</v>
      </c>
      <c r="C286" s="5" t="s">
        <v>17</v>
      </c>
      <c r="D286" s="5" t="s">
        <v>17</v>
      </c>
      <c r="E286" s="6">
        <f>IF(H286=1,1.0,0)</f>
        <v/>
      </c>
      <c r="F286" s="6">
        <f>IF(H286=1,1.0,0)</f>
        <v/>
      </c>
      <c r="G286" s="5" t="s">
        <v>17</v>
      </c>
      <c r="H286" s="8">
        <f>IF(OR(LOOKUP(A286,characters!A:A,characters!B:B)=-1, LOOKUP(A286,characters!A:A,characters!B:B)+0.1&gt;=B286),1,0)</f>
        <v/>
      </c>
    </row>
    <row r="287" spans="1:11">
      <c r="A287" s="4" t="s">
        <v>57</v>
      </c>
      <c r="B287" s="7">
        <v>0.2</v>
      </c>
      <c r="C287" s="6">
        <f>IF(H287=1,1.0,0)</f>
        <v/>
      </c>
      <c r="D287" s="5" t="s">
        <v>17</v>
      </c>
      <c r="E287" s="5" t="s">
        <v>17</v>
      </c>
      <c r="F287" s="5" t="s">
        <v>17</v>
      </c>
      <c r="G287" s="5" t="s">
        <v>17</v>
      </c>
      <c r="H287" s="8">
        <f>IF(OR(LOOKUP(A287,characters!A:A,characters!B:B)=-1, LOOKUP(A287,characters!A:A,characters!B:B)+0.1&gt;=B287),1,0)</f>
        <v/>
      </c>
    </row>
    <row r="288" spans="1:11">
      <c r="A288" s="4" t="s">
        <v>20</v>
      </c>
      <c r="B288" s="7">
        <v>0.2</v>
      </c>
      <c r="C288" s="5" t="s">
        <v>17</v>
      </c>
      <c r="D288" s="5" t="s">
        <v>17</v>
      </c>
      <c r="E288" s="6">
        <f>IF(H288=1,1.0,0)</f>
        <v/>
      </c>
      <c r="F288" s="6">
        <f>IF(H288=1,1.0,0)</f>
        <v/>
      </c>
      <c r="G288" s="5" t="s">
        <v>17</v>
      </c>
      <c r="H288" s="8">
        <f>IF(OR(LOOKUP(A288,characters!A:A,characters!B:B)=-1, LOOKUP(A288,characters!A:A,characters!B:B)+0.1&gt;=B288),1,0)</f>
        <v/>
      </c>
    </row>
    <row r="289" spans="1:11">
      <c r="A289" s="4" t="s">
        <v>49</v>
      </c>
      <c r="B289" s="7">
        <v>0.1</v>
      </c>
      <c r="C289" s="5" t="s">
        <v>17</v>
      </c>
      <c r="D289" s="5" t="s">
        <v>17</v>
      </c>
      <c r="E289" s="5" t="s">
        <v>17</v>
      </c>
      <c r="F289" s="6">
        <f>IF(H289=1,1.0,0)</f>
        <v/>
      </c>
      <c r="G289" s="6">
        <f>IF(H289=1,1.0,0)</f>
        <v/>
      </c>
      <c r="H289" s="8">
        <f>IF(OR(LOOKUP(A289,characters!A:A,characters!B:B)=-1, LOOKUP(A289,characters!A:A,characters!B:B)+0.1&gt;=B289),1,0)</f>
        <v/>
      </c>
    </row>
    <row r="290" spans="1:11">
      <c r="A290" s="4" t="s">
        <v>21</v>
      </c>
      <c r="B290" s="7">
        <v>0.2</v>
      </c>
      <c r="C290" s="5" t="s">
        <v>17</v>
      </c>
      <c r="D290" s="5" t="s">
        <v>17</v>
      </c>
      <c r="E290" s="6">
        <f>IF(H290=1,1.0,0)</f>
        <v/>
      </c>
      <c r="F290" s="6">
        <f>IF(H290=1,0.99,0)</f>
        <v/>
      </c>
      <c r="G290" s="5" t="s">
        <v>17</v>
      </c>
      <c r="H290" s="8">
        <f>IF(OR(LOOKUP(A290,characters!A:A,characters!B:B)=-1, LOOKUP(A290,characters!A:A,characters!B:B)+0.1&gt;=B290),1,0)</f>
        <v/>
      </c>
    </row>
    <row r="291" spans="1:11">
      <c r="A291" s="4" t="s">
        <v>22</v>
      </c>
      <c r="B291" s="7">
        <v>0.2</v>
      </c>
      <c r="C291" s="5" t="s">
        <v>17</v>
      </c>
      <c r="D291" s="5" t="s">
        <v>17</v>
      </c>
      <c r="E291" s="6">
        <f>IF(H291=1,1.0,0)</f>
        <v/>
      </c>
      <c r="F291" s="5" t="s">
        <v>17</v>
      </c>
      <c r="G291" s="6">
        <f>IF(H291=1,1.0,0)</f>
        <v/>
      </c>
      <c r="H291" s="8">
        <f>IF(OR(LOOKUP(A291,characters!A:A,characters!B:B)=-1, LOOKUP(A291,characters!A:A,characters!B:B)+0.1&gt;=B291),1,0)</f>
        <v/>
      </c>
    </row>
    <row r="292" spans="1:11">
      <c r="A292" s="4" t="s">
        <v>23</v>
      </c>
      <c r="B292" s="7">
        <v>0.2</v>
      </c>
      <c r="C292" s="5" t="s">
        <v>17</v>
      </c>
      <c r="D292" s="5" t="s">
        <v>17</v>
      </c>
      <c r="E292" s="6">
        <f>IF(H292=1,1.0,0)</f>
        <v/>
      </c>
      <c r="F292" s="6">
        <f>IF(H292=1,1.0,0)</f>
        <v/>
      </c>
      <c r="G292" s="5" t="s">
        <v>17</v>
      </c>
      <c r="H292" s="8">
        <f>IF(OR(LOOKUP(A292,characters!A:A,characters!B:B)=-1, LOOKUP(A292,characters!A:A,characters!B:B)+0.1&gt;=B292),1,0)</f>
        <v/>
      </c>
    </row>
    <row r="293" spans="1:11">
      <c r="A293" s="4" t="s">
        <v>38</v>
      </c>
      <c r="B293" s="7">
        <v>0.1</v>
      </c>
      <c r="C293" s="5" t="s">
        <v>17</v>
      </c>
      <c r="D293" s="5" t="s">
        <v>17</v>
      </c>
      <c r="E293" s="5" t="s">
        <v>17</v>
      </c>
      <c r="F293" s="6">
        <f>IF(H293=1,1.0,0)</f>
        <v/>
      </c>
      <c r="G293" s="6">
        <f>IF(H293=1,1.0,0)</f>
        <v/>
      </c>
      <c r="H293" s="8">
        <f>IF(OR(LOOKUP(A293,characters!A:A,characters!B:B)=-1, LOOKUP(A293,characters!A:A,characters!B:B)+0.1&gt;=B293),1,0)</f>
        <v/>
      </c>
    </row>
    <row r="300" spans="1:11">
      <c r="A300" s="3" t="s">
        <v>60</v>
      </c>
    </row>
    <row r="301" spans="1:11">
      <c r="A301" s="3" t="s">
        <v>8</v>
      </c>
      <c r="B301" s="3" t="s">
        <v>9</v>
      </c>
      <c r="C301" s="3" t="s">
        <v>10</v>
      </c>
      <c r="D301" s="3" t="s">
        <v>12</v>
      </c>
      <c r="E301" s="3" t="s">
        <v>11</v>
      </c>
      <c r="F301" s="3" t="s">
        <v>13</v>
      </c>
      <c r="G301" s="3" t="s">
        <v>14</v>
      </c>
      <c r="H301" s="3" t="s">
        <v>15</v>
      </c>
      <c r="I301" s="3" t="s">
        <v>53</v>
      </c>
      <c r="J301" s="3" t="s">
        <v>54</v>
      </c>
    </row>
    <row r="302" spans="1:11">
      <c r="A302" s="4" t="s">
        <v>16</v>
      </c>
      <c r="B302" s="5" t="s">
        <v>17</v>
      </c>
      <c r="C302" s="6">
        <f>IF(SUM(K303:K327)=0,0,SUM(C303:C327)/SUM(K303:K327))</f>
        <v/>
      </c>
      <c r="D302" s="6">
        <f>IF(SUM(K303:K327)=0,0,SUM(D303:D327)/SUM(K303:K327))</f>
        <v/>
      </c>
      <c r="E302" s="6">
        <f>IF(SUM(K303:K327)=0,0,SUM(E303:E327)/SUM(K303:K327))</f>
        <v/>
      </c>
      <c r="F302" s="6">
        <f>IF(SUM(K303:K327)=0,0,SUM(F303:F327)/SUM(K303:K327))</f>
        <v/>
      </c>
      <c r="G302" s="6">
        <f>IF(SUM(K303:K327)=0,0,SUM(G303:G327)/SUM(K303:K327))</f>
        <v/>
      </c>
      <c r="H302" s="6">
        <f>IF(SUM(K303:K327)=0,0,SUM(H303:H327)/SUM(K303:K327))</f>
        <v/>
      </c>
      <c r="I302" s="6">
        <f>IF(SUM(K303:K327)=0,0,SUM(I303:I327)/SUM(K303:K327))</f>
        <v/>
      </c>
      <c r="J302" s="6">
        <f>IF(SUM(K303:K327)=0,0,SUM(J303:J327)/SUM(K303:K327))</f>
        <v/>
      </c>
    </row>
    <row r="303" spans="1:11">
      <c r="A303" s="4" t="s">
        <v>61</v>
      </c>
      <c r="B303" s="7">
        <v>0.2</v>
      </c>
      <c r="C303" s="6">
        <f>IF(K303=1,0.9,0)</f>
        <v/>
      </c>
      <c r="D303" s="6">
        <f>IF(K303=1,0.8,0)</f>
        <v/>
      </c>
      <c r="E303" s="6">
        <f>IF(K303=1,0.8,0)</f>
        <v/>
      </c>
      <c r="F303" s="6">
        <f>IF(K303=1,1.0,0)</f>
        <v/>
      </c>
      <c r="G303" s="6">
        <f>IF(K303=1,1.0,0)</f>
        <v/>
      </c>
      <c r="H303" s="5" t="s">
        <v>17</v>
      </c>
      <c r="I303" s="5" t="s">
        <v>17</v>
      </c>
      <c r="J303" s="5" t="s">
        <v>17</v>
      </c>
      <c r="K303" s="8">
        <f>IF(OR(LOOKUP(A303,characters!A:A,characters!B:B)=-1, LOOKUP(A303,characters!A:A,characters!B:B)+0.1&gt;=B303),1,0)</f>
        <v/>
      </c>
    </row>
    <row r="304" spans="1:11">
      <c r="A304" s="4" t="s">
        <v>18</v>
      </c>
      <c r="B304" s="7">
        <v>0.2</v>
      </c>
      <c r="C304" s="6">
        <f>IF(K304=1,1.0,0)</f>
        <v/>
      </c>
      <c r="D304" s="6">
        <f>IF(K304=1,0.7,0)</f>
        <v/>
      </c>
      <c r="E304" s="6">
        <f>IF(K304=1,0.9,0)</f>
        <v/>
      </c>
      <c r="F304" s="6">
        <f>IF(K304=1,0.8,0)</f>
        <v/>
      </c>
      <c r="G304" s="6">
        <f>IF(K304=1,0.8,0)</f>
        <v/>
      </c>
      <c r="H304" s="6">
        <f>IF(K304=1,0.8,0)</f>
        <v/>
      </c>
      <c r="I304" s="5" t="s">
        <v>17</v>
      </c>
      <c r="J304" s="5" t="s">
        <v>17</v>
      </c>
      <c r="K304" s="8">
        <f>IF(OR(LOOKUP(A304,characters!A:A,characters!B:B)=-1, LOOKUP(A304,characters!A:A,characters!B:B)+0.1&gt;=B304),1,0)</f>
        <v/>
      </c>
    </row>
    <row r="305" spans="1:11">
      <c r="A305" s="4" t="s">
        <v>50</v>
      </c>
      <c r="B305" s="7">
        <v>0.2</v>
      </c>
      <c r="C305" s="6">
        <f>IF(K305=1,0.9,0)</f>
        <v/>
      </c>
      <c r="D305" s="6">
        <f>IF(K305=1,0.8,0)</f>
        <v/>
      </c>
      <c r="E305" s="6">
        <f>IF(K305=1,0.8,0)</f>
        <v/>
      </c>
      <c r="F305" s="6">
        <f>IF(K305=1,1.0,0)</f>
        <v/>
      </c>
      <c r="G305" s="6">
        <f>IF(K305=1,1.0,0)</f>
        <v/>
      </c>
      <c r="H305" s="5" t="s">
        <v>17</v>
      </c>
      <c r="I305" s="5" t="s">
        <v>17</v>
      </c>
      <c r="J305" s="5" t="s">
        <v>17</v>
      </c>
      <c r="K305" s="8">
        <f>IF(OR(LOOKUP(A305,characters!A:A,characters!B:B)=-1, LOOKUP(A305,characters!A:A,characters!B:B)+0.1&gt;=B305),1,0)</f>
        <v/>
      </c>
    </row>
    <row r="306" spans="1:11">
      <c r="A306" s="4" t="s">
        <v>46</v>
      </c>
      <c r="B306" s="7">
        <v>0.2</v>
      </c>
      <c r="C306" s="6">
        <f>IF(K306=1,0.9,0)</f>
        <v/>
      </c>
      <c r="D306" s="6">
        <f>IF(K306=1,0.8,0)</f>
        <v/>
      </c>
      <c r="E306" s="6">
        <f>IF(K306=1,0.8,0)</f>
        <v/>
      </c>
      <c r="F306" s="6">
        <f>IF(K306=1,1.0,0)</f>
        <v/>
      </c>
      <c r="G306" s="6">
        <f>IF(K306=1,1.0,0)</f>
        <v/>
      </c>
      <c r="H306" s="5" t="s">
        <v>17</v>
      </c>
      <c r="I306" s="5" t="s">
        <v>17</v>
      </c>
      <c r="J306" s="5" t="s">
        <v>17</v>
      </c>
      <c r="K306" s="8">
        <f>IF(OR(LOOKUP(A306,characters!A:A,characters!B:B)=-1, LOOKUP(A306,characters!A:A,characters!B:B)+0.1&gt;=B306),1,0)</f>
        <v/>
      </c>
    </row>
    <row r="307" spans="1:11">
      <c r="A307" s="4" t="s">
        <v>62</v>
      </c>
      <c r="B307" s="7">
        <v>0.2</v>
      </c>
      <c r="C307" s="6">
        <f>IF(K307=1,0.9,0)</f>
        <v/>
      </c>
      <c r="D307" s="6">
        <f>IF(K307=1,0.8,0)</f>
        <v/>
      </c>
      <c r="E307" s="6">
        <f>IF(K307=1,0.8,0)</f>
        <v/>
      </c>
      <c r="F307" s="6">
        <f>IF(K307=1,1.0,0)</f>
        <v/>
      </c>
      <c r="G307" s="6">
        <f>IF(K307=1,1.0,0)</f>
        <v/>
      </c>
      <c r="H307" s="5" t="s">
        <v>17</v>
      </c>
      <c r="I307" s="5" t="s">
        <v>17</v>
      </c>
      <c r="J307" s="5" t="s">
        <v>17</v>
      </c>
      <c r="K307" s="8">
        <f>IF(OR(LOOKUP(A307,characters!A:A,characters!B:B)=-1, LOOKUP(A307,characters!A:A,characters!B:B)+0.1&gt;=B307),1,0)</f>
        <v/>
      </c>
    </row>
    <row r="308" spans="1:11">
      <c r="A308" s="4" t="s">
        <v>40</v>
      </c>
      <c r="B308" s="7">
        <v>0.2</v>
      </c>
      <c r="C308" s="6">
        <f>IF(K308=1,0.9,0)</f>
        <v/>
      </c>
      <c r="D308" s="6">
        <f>IF(K308=1,0.8,0)</f>
        <v/>
      </c>
      <c r="E308" s="6">
        <f>IF(K308=1,0.8,0)</f>
        <v/>
      </c>
      <c r="F308" s="5" t="s">
        <v>17</v>
      </c>
      <c r="G308" s="5" t="s">
        <v>17</v>
      </c>
      <c r="H308" s="6">
        <f>IF(K308=1,1.0,0)</f>
        <v/>
      </c>
      <c r="I308" s="5" t="s">
        <v>17</v>
      </c>
      <c r="J308" s="5" t="s">
        <v>17</v>
      </c>
      <c r="K308" s="8">
        <f>IF(OR(LOOKUP(A308,characters!A:A,characters!B:B)=-1, LOOKUP(A308,characters!A:A,characters!B:B)+0.1&gt;=B308),1,0)</f>
        <v/>
      </c>
    </row>
    <row r="309" spans="1:11">
      <c r="A309" s="4" t="s">
        <v>24</v>
      </c>
      <c r="B309" s="7">
        <v>0.2</v>
      </c>
      <c r="C309" s="6">
        <f>IF(K309=1,1.0,0)</f>
        <v/>
      </c>
      <c r="D309" s="6">
        <f>IF(K309=1,0.9,0)</f>
        <v/>
      </c>
      <c r="E309" s="6">
        <f>IF(K309=1,0.9,0)</f>
        <v/>
      </c>
      <c r="F309" s="6">
        <f>IF(K309=1,1.0,0)</f>
        <v/>
      </c>
      <c r="G309" s="6">
        <f>IF(K309=1,1.0,0)</f>
        <v/>
      </c>
      <c r="H309" s="5" t="s">
        <v>17</v>
      </c>
      <c r="I309" s="5" t="s">
        <v>17</v>
      </c>
      <c r="J309" s="5" t="s">
        <v>17</v>
      </c>
      <c r="K309" s="8">
        <f>IF(OR(LOOKUP(A309,characters!A:A,characters!B:B)=-1, LOOKUP(A309,characters!A:A,characters!B:B)+0.1&gt;=B309),1,0)</f>
        <v/>
      </c>
    </row>
    <row r="310" spans="1:11">
      <c r="A310" s="4" t="s">
        <v>47</v>
      </c>
      <c r="B310" s="7">
        <v>0.2</v>
      </c>
      <c r="C310" s="6">
        <f>IF(K310=1,0.9,0)</f>
        <v/>
      </c>
      <c r="D310" s="6">
        <f>IF(K310=1,0.8,0)</f>
        <v/>
      </c>
      <c r="E310" s="6">
        <f>IF(K310=1,0.8,0)</f>
        <v/>
      </c>
      <c r="F310" s="5" t="s">
        <v>17</v>
      </c>
      <c r="G310" s="5" t="s">
        <v>17</v>
      </c>
      <c r="H310" s="6">
        <f>IF(K310=1,1.0,0)</f>
        <v/>
      </c>
      <c r="I310" s="5" t="s">
        <v>17</v>
      </c>
      <c r="J310" s="5" t="s">
        <v>17</v>
      </c>
      <c r="K310" s="8">
        <f>IF(OR(LOOKUP(A310,characters!A:A,characters!B:B)=-1, LOOKUP(A310,characters!A:A,characters!B:B)+0.1&gt;=B310),1,0)</f>
        <v/>
      </c>
    </row>
    <row r="311" spans="1:11">
      <c r="A311" s="4" t="s">
        <v>25</v>
      </c>
      <c r="B311" s="7">
        <v>0.2</v>
      </c>
      <c r="C311" s="6">
        <f>IF(K311=1,0.99,0)</f>
        <v/>
      </c>
      <c r="D311" s="6">
        <f>IF(K311=1,0.89,0)</f>
        <v/>
      </c>
      <c r="E311" s="6">
        <f>IF(K311=1,0.89,0)</f>
        <v/>
      </c>
      <c r="F311" s="6">
        <f>IF(K311=1,1.0,0)</f>
        <v/>
      </c>
      <c r="G311" s="6">
        <f>IF(K311=1,0.99,0)</f>
        <v/>
      </c>
      <c r="H311" s="6">
        <f>IF(K311=1,0.89,0)</f>
        <v/>
      </c>
      <c r="I311" s="5" t="s">
        <v>17</v>
      </c>
      <c r="J311" s="5" t="s">
        <v>17</v>
      </c>
      <c r="K311" s="8">
        <f>IF(OR(LOOKUP(A311,characters!A:A,characters!B:B)=-1, LOOKUP(A311,characters!A:A,characters!B:B)+0.1&gt;=B311),1,0)</f>
        <v/>
      </c>
    </row>
    <row r="312" spans="1:11">
      <c r="A312" s="4" t="s">
        <v>48</v>
      </c>
      <c r="B312" s="7">
        <v>0.2</v>
      </c>
      <c r="C312" s="6">
        <f>IF(K312=1,0.9,0)</f>
        <v/>
      </c>
      <c r="D312" s="6">
        <f>IF(K312=1,0.8,0)</f>
        <v/>
      </c>
      <c r="E312" s="6">
        <f>IF(K312=1,0.8,0)</f>
        <v/>
      </c>
      <c r="F312" s="6">
        <f>IF(K312=1,1.0,0)</f>
        <v/>
      </c>
      <c r="G312" s="6">
        <f>IF(K312=1,1.0,0)</f>
        <v/>
      </c>
      <c r="H312" s="5" t="s">
        <v>17</v>
      </c>
      <c r="I312" s="5" t="s">
        <v>17</v>
      </c>
      <c r="J312" s="5" t="s">
        <v>17</v>
      </c>
      <c r="K312" s="8">
        <f>IF(OR(LOOKUP(A312,characters!A:A,characters!B:B)=-1, LOOKUP(A312,characters!A:A,characters!B:B)+0.1&gt;=B312),1,0)</f>
        <v/>
      </c>
    </row>
    <row r="313" spans="1:11">
      <c r="A313" s="4" t="s">
        <v>49</v>
      </c>
      <c r="B313" s="7">
        <v>0.2</v>
      </c>
      <c r="C313" s="6">
        <f>IF(K313=1,0.9,0)</f>
        <v/>
      </c>
      <c r="D313" s="6">
        <f>IF(K313=1,0.8,0)</f>
        <v/>
      </c>
      <c r="E313" s="6">
        <f>IF(K313=1,0.8,0)</f>
        <v/>
      </c>
      <c r="F313" s="5" t="s">
        <v>17</v>
      </c>
      <c r="G313" s="5" t="s">
        <v>17</v>
      </c>
      <c r="H313" s="6">
        <f>IF(K313=1,1.0,0)</f>
        <v/>
      </c>
      <c r="I313" s="5" t="s">
        <v>17</v>
      </c>
      <c r="J313" s="5" t="s">
        <v>17</v>
      </c>
      <c r="K313" s="8">
        <f>IF(OR(LOOKUP(A313,characters!A:A,characters!B:B)=-1, LOOKUP(A313,characters!A:A,characters!B:B)+0.1&gt;=B313),1,0)</f>
        <v/>
      </c>
    </row>
    <row r="314" spans="1:11">
      <c r="A314" s="4" t="s">
        <v>63</v>
      </c>
      <c r="B314" s="7">
        <v>0.2</v>
      </c>
      <c r="C314" s="6">
        <f>IF(K314=1,0.9,0)</f>
        <v/>
      </c>
      <c r="D314" s="6">
        <f>IF(K314=1,0.8,0)</f>
        <v/>
      </c>
      <c r="E314" s="6">
        <f>IF(K314=1,0.8,0)</f>
        <v/>
      </c>
      <c r="F314" s="6">
        <f>IF(K314=1,1.0,0)</f>
        <v/>
      </c>
      <c r="G314" s="6">
        <f>IF(K314=1,1.0,0)</f>
        <v/>
      </c>
      <c r="H314" s="5" t="s">
        <v>17</v>
      </c>
      <c r="I314" s="5" t="s">
        <v>17</v>
      </c>
      <c r="J314" s="5" t="s">
        <v>17</v>
      </c>
      <c r="K314" s="8">
        <f>IF(OR(LOOKUP(A314,characters!A:A,characters!B:B)=-1, LOOKUP(A314,characters!A:A,characters!B:B)+0.1&gt;=B314),1,0)</f>
        <v/>
      </c>
    </row>
    <row r="315" spans="1:11">
      <c r="A315" s="4" t="s">
        <v>44</v>
      </c>
      <c r="B315" s="7">
        <v>0.2</v>
      </c>
      <c r="C315" s="6">
        <f>IF(K315=1,0.9,0)</f>
        <v/>
      </c>
      <c r="D315" s="6">
        <f>IF(K315=1,0.8,0)</f>
        <v/>
      </c>
      <c r="E315" s="6">
        <f>IF(K315=1,0.8,0)</f>
        <v/>
      </c>
      <c r="F315" s="6">
        <f>IF(K315=1,1.0,0)</f>
        <v/>
      </c>
      <c r="G315" s="6">
        <f>IF(K315=1,1.0,0)</f>
        <v/>
      </c>
      <c r="H315" s="5" t="s">
        <v>17</v>
      </c>
      <c r="I315" s="5" t="s">
        <v>17</v>
      </c>
      <c r="J315" s="5" t="s">
        <v>17</v>
      </c>
      <c r="K315" s="8">
        <f>IF(OR(LOOKUP(A315,characters!A:A,characters!B:B)=-1, LOOKUP(A315,characters!A:A,characters!B:B)+0.1&gt;=B315),1,0)</f>
        <v/>
      </c>
    </row>
    <row r="316" spans="1:11">
      <c r="A316" s="4" t="s">
        <v>37</v>
      </c>
      <c r="B316" s="7">
        <v>0.3</v>
      </c>
      <c r="C316" s="6">
        <f>IF(K316=1,0.9,0)</f>
        <v/>
      </c>
      <c r="D316" s="6">
        <f>IF(K316=1,0.8,0)</f>
        <v/>
      </c>
      <c r="E316" s="6">
        <f>IF(K316=1,0.8,0)</f>
        <v/>
      </c>
      <c r="F316" s="5" t="s">
        <v>17</v>
      </c>
      <c r="G316" s="5" t="s">
        <v>17</v>
      </c>
      <c r="H316" s="6">
        <f>IF(K316=1,1.0,0)</f>
        <v/>
      </c>
      <c r="I316" s="5" t="s">
        <v>17</v>
      </c>
      <c r="J316" s="5" t="s">
        <v>17</v>
      </c>
      <c r="K316" s="8">
        <f>IF(OR(LOOKUP(A316,characters!A:A,characters!B:B)=-1, LOOKUP(A316,characters!A:A,characters!B:B)+0.1&gt;=B316),1,0)</f>
        <v/>
      </c>
    </row>
    <row r="317" spans="1:11">
      <c r="A317" s="4" t="s">
        <v>39</v>
      </c>
      <c r="B317" s="7">
        <v>0.4</v>
      </c>
      <c r="C317" s="6">
        <f>IF(K317=1,1.0,0)</f>
        <v/>
      </c>
      <c r="D317" s="6">
        <f>IF(K317=1,0.8,0)</f>
        <v/>
      </c>
      <c r="E317" s="6">
        <f>IF(K317=1,0.9,0)</f>
        <v/>
      </c>
      <c r="F317" s="6">
        <f>IF(K317=1,1.0,0)</f>
        <v/>
      </c>
      <c r="G317" s="6">
        <f>IF(K317=1,1.0,0)</f>
        <v/>
      </c>
      <c r="H317" s="6">
        <f>IF(K317=1,1.0,0)</f>
        <v/>
      </c>
      <c r="I317" s="5" t="s">
        <v>17</v>
      </c>
      <c r="J317" s="5" t="s">
        <v>17</v>
      </c>
      <c r="K317" s="8">
        <f>IF(OR(LOOKUP(A317,characters!A:A,characters!B:B)=-1, LOOKUP(A317,characters!A:A,characters!B:B)+0.1&gt;=B317),1,0)</f>
        <v/>
      </c>
    </row>
    <row r="318" spans="1:11">
      <c r="A318" s="4" t="s">
        <v>38</v>
      </c>
      <c r="B318" s="7">
        <v>0.4</v>
      </c>
      <c r="C318" s="6">
        <f>IF(K318=1,0.9,0)</f>
        <v/>
      </c>
      <c r="D318" s="6">
        <f>IF(K318=1,0.8,0)</f>
        <v/>
      </c>
      <c r="E318" s="6">
        <f>IF(K318=1,0.8,0)</f>
        <v/>
      </c>
      <c r="F318" s="5" t="s">
        <v>17</v>
      </c>
      <c r="G318" s="5" t="s">
        <v>17</v>
      </c>
      <c r="H318" s="6">
        <f>IF(K318=1,1.0,0)</f>
        <v/>
      </c>
      <c r="I318" s="5" t="s">
        <v>17</v>
      </c>
      <c r="J318" s="5" t="s">
        <v>17</v>
      </c>
      <c r="K318" s="8">
        <f>IF(OR(LOOKUP(A318,characters!A:A,characters!B:B)=-1, LOOKUP(A318,characters!A:A,characters!B:B)+0.1&gt;=B318),1,0)</f>
        <v/>
      </c>
    </row>
    <row r="319" spans="1:11">
      <c r="A319" s="4" t="s">
        <v>55</v>
      </c>
      <c r="B319" s="7">
        <v>0.5</v>
      </c>
      <c r="C319" s="6">
        <f>IF(K319=1,0.9,0)</f>
        <v/>
      </c>
      <c r="D319" s="6">
        <f>IF(K319=1,0.8,0)</f>
        <v/>
      </c>
      <c r="E319" s="6">
        <f>IF(K319=1,0.8,0)</f>
        <v/>
      </c>
      <c r="F319" s="6">
        <f>IF(K319=1,1.0,0)</f>
        <v/>
      </c>
      <c r="G319" s="6">
        <f>IF(K319=1,1.0,0)</f>
        <v/>
      </c>
      <c r="H319" s="5" t="s">
        <v>17</v>
      </c>
      <c r="I319" s="5" t="s">
        <v>17</v>
      </c>
      <c r="J319" s="5" t="s">
        <v>17</v>
      </c>
      <c r="K319" s="8">
        <f>IF(OR(LOOKUP(A319,characters!A:A,characters!B:B)=-1, LOOKUP(A319,characters!A:A,characters!B:B)+0.1&gt;=B319),1,0)</f>
        <v/>
      </c>
    </row>
    <row r="320" spans="1:11">
      <c r="A320" s="4" t="s">
        <v>56</v>
      </c>
      <c r="B320" s="7">
        <v>0.5</v>
      </c>
      <c r="C320" s="6">
        <f>IF(K320=1,0.9,0)</f>
        <v/>
      </c>
      <c r="D320" s="6">
        <f>IF(K320=1,0.8,0)</f>
        <v/>
      </c>
      <c r="E320" s="6">
        <f>IF(K320=1,0.8,0)</f>
        <v/>
      </c>
      <c r="F320" s="6">
        <f>IF(K320=1,1.0,0)</f>
        <v/>
      </c>
      <c r="G320" s="6">
        <f>IF(K320=1,1.0,0)</f>
        <v/>
      </c>
      <c r="H320" s="5" t="s">
        <v>17</v>
      </c>
      <c r="I320" s="5" t="s">
        <v>17</v>
      </c>
      <c r="J320" s="5" t="s">
        <v>17</v>
      </c>
      <c r="K320" s="8">
        <f>IF(OR(LOOKUP(A320,characters!A:A,characters!B:B)=-1, LOOKUP(A320,characters!A:A,characters!B:B)+0.1&gt;=B320),1,0)</f>
        <v/>
      </c>
    </row>
    <row r="321" spans="1:11">
      <c r="A321" s="4" t="s">
        <v>57</v>
      </c>
      <c r="B321" s="7">
        <v>0.5</v>
      </c>
      <c r="C321" s="6">
        <f>IF(K321=1,0.9,0)</f>
        <v/>
      </c>
      <c r="D321" s="6">
        <f>IF(K321=1,0.8,0)</f>
        <v/>
      </c>
      <c r="E321" s="6">
        <f>IF(K321=1,0.8,0)</f>
        <v/>
      </c>
      <c r="F321" s="6">
        <f>IF(K321=1,1.0,0)</f>
        <v/>
      </c>
      <c r="G321" s="6">
        <f>IF(K321=1,1.0,0)</f>
        <v/>
      </c>
      <c r="H321" s="5" t="s">
        <v>17</v>
      </c>
      <c r="I321" s="5" t="s">
        <v>17</v>
      </c>
      <c r="J321" s="5" t="s">
        <v>17</v>
      </c>
      <c r="K321" s="8">
        <f>IF(OR(LOOKUP(A321,characters!A:A,characters!B:B)=-1, LOOKUP(A321,characters!A:A,characters!B:B)+0.1&gt;=B321),1,0)</f>
        <v/>
      </c>
    </row>
    <row r="322" spans="1:11">
      <c r="A322" s="4" t="s">
        <v>19</v>
      </c>
      <c r="B322" s="7">
        <v>1.1</v>
      </c>
      <c r="C322" s="6">
        <f>IF(K322=1,1.0,0)</f>
        <v/>
      </c>
      <c r="D322" s="6">
        <f>IF(K322=1,0.9,0)</f>
        <v/>
      </c>
      <c r="E322" s="6">
        <f>IF(K322=1,0.9,0)</f>
        <v/>
      </c>
      <c r="F322" s="6">
        <f>IF(K322=1,1.0,0)</f>
        <v/>
      </c>
      <c r="G322" s="6">
        <f>IF(K322=1,1.0,0)</f>
        <v/>
      </c>
      <c r="H322" s="5" t="s">
        <v>17</v>
      </c>
      <c r="I322" s="5" t="s">
        <v>17</v>
      </c>
      <c r="J322" s="5" t="s">
        <v>17</v>
      </c>
      <c r="K322" s="8">
        <f>IF(OR(LOOKUP(A322,characters!A:A,characters!B:B)=-1, LOOKUP(A322,characters!A:A,characters!B:B)+0.1&gt;=B322),1,0)</f>
        <v/>
      </c>
    </row>
    <row r="323" spans="1:11">
      <c r="A323" s="4" t="s">
        <v>22</v>
      </c>
      <c r="B323" s="7">
        <v>1.1</v>
      </c>
      <c r="C323" s="6">
        <f>IF(K323=1,1.0,0)</f>
        <v/>
      </c>
      <c r="D323" s="6">
        <f>IF(K323=1,0.7,0)</f>
        <v/>
      </c>
      <c r="E323" s="6">
        <f>IF(K323=1,0.8,0)</f>
        <v/>
      </c>
      <c r="F323" s="5" t="s">
        <v>17</v>
      </c>
      <c r="G323" s="5" t="s">
        <v>17</v>
      </c>
      <c r="H323" s="6">
        <f>IF(K323=1,0.9,0)</f>
        <v/>
      </c>
      <c r="I323" s="5" t="s">
        <v>17</v>
      </c>
      <c r="J323" s="5" t="s">
        <v>17</v>
      </c>
      <c r="K323" s="8">
        <f>IF(OR(LOOKUP(A323,characters!A:A,characters!B:B)=-1, LOOKUP(A323,characters!A:A,characters!B:B)+0.1&gt;=B323),1,0)</f>
        <v/>
      </c>
    </row>
    <row r="324" spans="1:11">
      <c r="A324" s="4" t="s">
        <v>23</v>
      </c>
      <c r="B324" s="7">
        <v>1.1</v>
      </c>
      <c r="C324" s="6">
        <f>IF(K324=1,1.0,0)</f>
        <v/>
      </c>
      <c r="D324" s="6">
        <f>IF(K324=1,0.9,0)</f>
        <v/>
      </c>
      <c r="E324" s="6">
        <f>IF(K324=1,0.9,0)</f>
        <v/>
      </c>
      <c r="F324" s="6">
        <f>IF(K324=1,1.0,0)</f>
        <v/>
      </c>
      <c r="G324" s="6">
        <f>IF(K324=1,1.0,0)</f>
        <v/>
      </c>
      <c r="H324" s="5" t="s">
        <v>17</v>
      </c>
      <c r="I324" s="5" t="s">
        <v>17</v>
      </c>
      <c r="J324" s="5" t="s">
        <v>17</v>
      </c>
      <c r="K324" s="8">
        <f>IF(OR(LOOKUP(A324,characters!A:A,characters!B:B)=-1, LOOKUP(A324,characters!A:A,characters!B:B)+0.1&gt;=B324),1,0)</f>
        <v/>
      </c>
    </row>
    <row r="325" spans="1:11">
      <c r="A325" s="4" t="s">
        <v>20</v>
      </c>
      <c r="B325" s="7">
        <v>1.2</v>
      </c>
      <c r="C325" s="6">
        <f>IF(K325=1,1.0,0)</f>
        <v/>
      </c>
      <c r="D325" s="6">
        <f>IF(K325=1,0.9,0)</f>
        <v/>
      </c>
      <c r="E325" s="6">
        <f>IF(K325=1,0.9,0)</f>
        <v/>
      </c>
      <c r="F325" s="5" t="s">
        <v>17</v>
      </c>
      <c r="G325" s="5" t="s">
        <v>17</v>
      </c>
      <c r="H325" s="6">
        <f>IF(K325=1,1.0,0)</f>
        <v/>
      </c>
      <c r="I325" s="5" t="s">
        <v>17</v>
      </c>
      <c r="J325" s="5" t="s">
        <v>17</v>
      </c>
      <c r="K325" s="8">
        <f>IF(OR(LOOKUP(A325,characters!A:A,characters!B:B)=-1, LOOKUP(A325,characters!A:A,characters!B:B)+0.1&gt;=B325),1,0)</f>
        <v/>
      </c>
    </row>
    <row r="326" spans="1:11">
      <c r="A326" s="4" t="s">
        <v>21</v>
      </c>
      <c r="B326" s="7">
        <v>1.3</v>
      </c>
      <c r="C326" s="6">
        <f>IF(K326=1,0.9,0)</f>
        <v/>
      </c>
      <c r="D326" s="6">
        <f>IF(K326=1,0.8,0)</f>
        <v/>
      </c>
      <c r="E326" s="6">
        <f>IF(K326=1,0.8,0)</f>
        <v/>
      </c>
      <c r="F326" s="5" t="s">
        <v>17</v>
      </c>
      <c r="G326" s="5" t="s">
        <v>17</v>
      </c>
      <c r="H326" s="6">
        <f>IF(K326=1,1.0,0)</f>
        <v/>
      </c>
      <c r="I326" s="5" t="s">
        <v>17</v>
      </c>
      <c r="J326" s="5" t="s">
        <v>17</v>
      </c>
      <c r="K326" s="8">
        <f>IF(OR(LOOKUP(A326,characters!A:A,characters!B:B)=-1, LOOKUP(A326,characters!A:A,characters!B:B)+0.1&gt;=B326),1,0)</f>
        <v/>
      </c>
    </row>
    <row r="327" spans="1:11">
      <c r="A327" s="4" t="s">
        <v>59</v>
      </c>
      <c r="B327" s="7">
        <v>2.600000000000001</v>
      </c>
      <c r="C327" s="5" t="s">
        <v>17</v>
      </c>
      <c r="D327" s="6">
        <f>IF(K327=1,0.7,0)</f>
        <v/>
      </c>
      <c r="E327" s="5" t="s">
        <v>17</v>
      </c>
      <c r="F327" s="6">
        <f>IF(K327=1,0.9,0)</f>
        <v/>
      </c>
      <c r="G327" s="6">
        <f>IF(K327=1,0.9,0)</f>
        <v/>
      </c>
      <c r="H327" s="5" t="s">
        <v>17</v>
      </c>
      <c r="I327" s="6">
        <f>IF(K327=1,1.0,0)</f>
        <v/>
      </c>
      <c r="J327" s="6">
        <f>IF(K327=1,0.8,0)</f>
        <v/>
      </c>
      <c r="K327" s="8">
        <f>IF(OR(LOOKUP(A327,characters!A:A,characters!B:B)=-1, LOOKUP(A327,characters!A:A,characters!B:B)+0.1&gt;=B327),1,0)</f>
        <v/>
      </c>
    </row>
    <row r="329" spans="1:11">
      <c r="A329" s="3" t="s">
        <v>26</v>
      </c>
      <c r="B329" s="3" t="s">
        <v>9</v>
      </c>
      <c r="C329" s="3" t="s">
        <v>13</v>
      </c>
      <c r="D329" s="3" t="s">
        <v>14</v>
      </c>
      <c r="E329" s="3" t="s">
        <v>10</v>
      </c>
      <c r="F329" s="3" t="s">
        <v>53</v>
      </c>
      <c r="G329" s="3" t="s">
        <v>15</v>
      </c>
    </row>
    <row r="330" spans="1:11">
      <c r="A330" s="4" t="s">
        <v>16</v>
      </c>
      <c r="B330" s="5" t="s">
        <v>17</v>
      </c>
      <c r="C330" s="6">
        <f>IF(SUM(H331:H355)=0,0,SUM(C331:C355)/SUM(H331:H355))</f>
        <v/>
      </c>
      <c r="D330" s="6">
        <f>IF(SUM(H331:H355)=0,0,SUM(D331:D355)/SUM(H331:H355))</f>
        <v/>
      </c>
      <c r="E330" s="6">
        <f>IF(SUM(H331:H355)=0,0,SUM(E331:E355)/SUM(H331:H355))</f>
        <v/>
      </c>
      <c r="F330" s="6">
        <f>IF(SUM(H331:H355)=0,0,SUM(F331:F355)/SUM(H331:H355))</f>
        <v/>
      </c>
      <c r="G330" s="6">
        <f>IF(SUM(H331:H355)=0,0,SUM(G331:G355)/SUM(H331:H355))</f>
        <v/>
      </c>
    </row>
    <row r="331" spans="1:11">
      <c r="A331" s="4" t="s">
        <v>55</v>
      </c>
      <c r="B331" s="7">
        <v>0.5</v>
      </c>
      <c r="C331" s="6">
        <f>IF(H331=1,1.0,0)</f>
        <v/>
      </c>
      <c r="D331" s="6">
        <f>IF(H331=1,0.99,0)</f>
        <v/>
      </c>
      <c r="E331" s="5" t="s">
        <v>17</v>
      </c>
      <c r="F331" s="5" t="s">
        <v>17</v>
      </c>
      <c r="G331" s="5" t="s">
        <v>17</v>
      </c>
      <c r="H331" s="8">
        <f>IF(OR(LOOKUP(A331,characters!A:A,characters!B:B)=-1, LOOKUP(A331,characters!A:A,characters!B:B)+0.1&gt;=B331),1,0)</f>
        <v/>
      </c>
    </row>
    <row r="332" spans="1:11">
      <c r="A332" s="4" t="s">
        <v>61</v>
      </c>
      <c r="B332" s="7">
        <v>0.2</v>
      </c>
      <c r="C332" s="6">
        <f>IF(H332=1,1.0,0)</f>
        <v/>
      </c>
      <c r="D332" s="6">
        <f>IF(H332=1,0.99,0)</f>
        <v/>
      </c>
      <c r="E332" s="5" t="s">
        <v>17</v>
      </c>
      <c r="F332" s="5" t="s">
        <v>17</v>
      </c>
      <c r="G332" s="5" t="s">
        <v>17</v>
      </c>
      <c r="H332" s="8">
        <f>IF(OR(LOOKUP(A332,characters!A:A,characters!B:B)=-1, LOOKUP(A332,characters!A:A,characters!B:B)+0.1&gt;=B332),1,0)</f>
        <v/>
      </c>
    </row>
    <row r="333" spans="1:11">
      <c r="A333" s="4" t="s">
        <v>18</v>
      </c>
      <c r="B333" s="7">
        <v>0.2</v>
      </c>
      <c r="C333" s="5" t="s">
        <v>17</v>
      </c>
      <c r="D333" s="5" t="s">
        <v>17</v>
      </c>
      <c r="E333" s="6">
        <f>IF(H333=1,1.0,0)</f>
        <v/>
      </c>
      <c r="F333" s="5" t="s">
        <v>17</v>
      </c>
      <c r="G333" s="5" t="s">
        <v>17</v>
      </c>
      <c r="H333" s="8">
        <f>IF(OR(LOOKUP(A333,characters!A:A,characters!B:B)=-1, LOOKUP(A333,characters!A:A,characters!B:B)+0.1&gt;=B333),1,0)</f>
        <v/>
      </c>
    </row>
    <row r="334" spans="1:11">
      <c r="A334" s="4" t="s">
        <v>59</v>
      </c>
      <c r="B334" s="7">
        <v>2.600000000000001</v>
      </c>
      <c r="C334" s="5" t="s">
        <v>17</v>
      </c>
      <c r="D334" s="6">
        <f>IF(H334=1,0.9,0)</f>
        <v/>
      </c>
      <c r="E334" s="5" t="s">
        <v>17</v>
      </c>
      <c r="F334" s="6">
        <f>IF(H334=1,1.0,0)</f>
        <v/>
      </c>
      <c r="G334" s="5" t="s">
        <v>17</v>
      </c>
      <c r="H334" s="8">
        <f>IF(OR(LOOKUP(A334,characters!A:A,characters!B:B)=-1, LOOKUP(A334,characters!A:A,characters!B:B)+0.1&gt;=B334),1,0)</f>
        <v/>
      </c>
    </row>
    <row r="335" spans="1:11">
      <c r="A335" s="4" t="s">
        <v>50</v>
      </c>
      <c r="B335" s="7">
        <v>0.2</v>
      </c>
      <c r="C335" s="6">
        <f>IF(H335=1,1.0,0)</f>
        <v/>
      </c>
      <c r="D335" s="6">
        <f>IF(H335=1,1.0,0)</f>
        <v/>
      </c>
      <c r="E335" s="5" t="s">
        <v>17</v>
      </c>
      <c r="F335" s="5" t="s">
        <v>17</v>
      </c>
      <c r="G335" s="5" t="s">
        <v>17</v>
      </c>
      <c r="H335" s="8">
        <f>IF(OR(LOOKUP(A335,characters!A:A,characters!B:B)=-1, LOOKUP(A335,characters!A:A,characters!B:B)+0.1&gt;=B335),1,0)</f>
        <v/>
      </c>
    </row>
    <row r="336" spans="1:11">
      <c r="A336" s="4" t="s">
        <v>37</v>
      </c>
      <c r="B336" s="7">
        <v>0.3</v>
      </c>
      <c r="C336" s="5" t="s">
        <v>17</v>
      </c>
      <c r="D336" s="5" t="s">
        <v>17</v>
      </c>
      <c r="E336" s="5" t="s">
        <v>17</v>
      </c>
      <c r="F336" s="5" t="s">
        <v>17</v>
      </c>
      <c r="G336" s="6">
        <f>IF(H336=1,1.0,0)</f>
        <v/>
      </c>
      <c r="H336" s="8">
        <f>IF(OR(LOOKUP(A336,characters!A:A,characters!B:B)=-1, LOOKUP(A336,characters!A:A,characters!B:B)+0.1&gt;=B336),1,0)</f>
        <v/>
      </c>
    </row>
    <row r="337" spans="1:8">
      <c r="A337" s="4" t="s">
        <v>46</v>
      </c>
      <c r="B337" s="7">
        <v>0.2</v>
      </c>
      <c r="C337" s="6">
        <f>IF(H337=1,1.0,0)</f>
        <v/>
      </c>
      <c r="D337" s="6">
        <f>IF(H337=1,1.0,0)</f>
        <v/>
      </c>
      <c r="E337" s="5" t="s">
        <v>17</v>
      </c>
      <c r="F337" s="5" t="s">
        <v>17</v>
      </c>
      <c r="G337" s="5" t="s">
        <v>17</v>
      </c>
      <c r="H337" s="8">
        <f>IF(OR(LOOKUP(A337,characters!A:A,characters!B:B)=-1, LOOKUP(A337,characters!A:A,characters!B:B)+0.1&gt;=B337),1,0)</f>
        <v/>
      </c>
    </row>
    <row r="338" spans="1:8">
      <c r="A338" s="4" t="s">
        <v>62</v>
      </c>
      <c r="B338" s="7">
        <v>0.2</v>
      </c>
      <c r="C338" s="6">
        <f>IF(H338=1,1.0,0)</f>
        <v/>
      </c>
      <c r="D338" s="6">
        <f>IF(H338=1,1.0,0)</f>
        <v/>
      </c>
      <c r="E338" s="5" t="s">
        <v>17</v>
      </c>
      <c r="F338" s="5" t="s">
        <v>17</v>
      </c>
      <c r="G338" s="5" t="s">
        <v>17</v>
      </c>
      <c r="H338" s="8">
        <f>IF(OR(LOOKUP(A338,characters!A:A,characters!B:B)=-1, LOOKUP(A338,characters!A:A,characters!B:B)+0.1&gt;=B338),1,0)</f>
        <v/>
      </c>
    </row>
    <row r="339" spans="1:8">
      <c r="A339" s="4" t="s">
        <v>40</v>
      </c>
      <c r="B339" s="7">
        <v>0.2</v>
      </c>
      <c r="C339" s="5" t="s">
        <v>17</v>
      </c>
      <c r="D339" s="5" t="s">
        <v>17</v>
      </c>
      <c r="E339" s="6">
        <f>IF(H339=1,0.9,0)</f>
        <v/>
      </c>
      <c r="F339" s="5" t="s">
        <v>17</v>
      </c>
      <c r="G339" s="6">
        <f>IF(H339=1,1.0,0)</f>
        <v/>
      </c>
      <c r="H339" s="8">
        <f>IF(OR(LOOKUP(A339,characters!A:A,characters!B:B)=-1, LOOKUP(A339,characters!A:A,characters!B:B)+0.1&gt;=B339),1,0)</f>
        <v/>
      </c>
    </row>
    <row r="340" spans="1:8">
      <c r="A340" s="4" t="s">
        <v>24</v>
      </c>
      <c r="B340" s="7">
        <v>0.2</v>
      </c>
      <c r="C340" s="6">
        <f>IF(H340=1,0.99,0)</f>
        <v/>
      </c>
      <c r="D340" s="6">
        <f>IF(H340=1,1.0,0)</f>
        <v/>
      </c>
      <c r="E340" s="5" t="s">
        <v>17</v>
      </c>
      <c r="F340" s="5" t="s">
        <v>17</v>
      </c>
      <c r="G340" s="5" t="s">
        <v>17</v>
      </c>
      <c r="H340" s="8">
        <f>IF(OR(LOOKUP(A340,characters!A:A,characters!B:B)=-1, LOOKUP(A340,characters!A:A,characters!B:B)+0.1&gt;=B340),1,0)</f>
        <v/>
      </c>
    </row>
    <row r="341" spans="1:8">
      <c r="A341" s="4" t="s">
        <v>47</v>
      </c>
      <c r="B341" s="7">
        <v>0.2</v>
      </c>
      <c r="C341" s="5" t="s">
        <v>17</v>
      </c>
      <c r="D341" s="5" t="s">
        <v>17</v>
      </c>
      <c r="E341" s="5" t="s">
        <v>17</v>
      </c>
      <c r="F341" s="5" t="s">
        <v>17</v>
      </c>
      <c r="G341" s="6">
        <f>IF(H341=1,1.0,0)</f>
        <v/>
      </c>
      <c r="H341" s="8">
        <f>IF(OR(LOOKUP(A341,characters!A:A,characters!B:B)=-1, LOOKUP(A341,characters!A:A,characters!B:B)+0.1&gt;=B341),1,0)</f>
        <v/>
      </c>
    </row>
    <row r="342" spans="1:8">
      <c r="A342" s="4" t="s">
        <v>56</v>
      </c>
      <c r="B342" s="7">
        <v>0.5</v>
      </c>
      <c r="C342" s="6">
        <f>IF(H342=1,1.0,0)</f>
        <v/>
      </c>
      <c r="D342" s="6">
        <f>IF(H342=1,0.99,0)</f>
        <v/>
      </c>
      <c r="E342" s="5" t="s">
        <v>17</v>
      </c>
      <c r="F342" s="5" t="s">
        <v>17</v>
      </c>
      <c r="G342" s="5" t="s">
        <v>17</v>
      </c>
      <c r="H342" s="8">
        <f>IF(OR(LOOKUP(A342,characters!A:A,characters!B:B)=-1, LOOKUP(A342,characters!A:A,characters!B:B)+0.1&gt;=B342),1,0)</f>
        <v/>
      </c>
    </row>
    <row r="343" spans="1:8">
      <c r="A343" s="4" t="s">
        <v>39</v>
      </c>
      <c r="B343" s="7">
        <v>0.4</v>
      </c>
      <c r="C343" s="6">
        <f>IF(H343=1,1.0,0)</f>
        <v/>
      </c>
      <c r="D343" s="6">
        <f>IF(H343=1,0.99,0)</f>
        <v/>
      </c>
      <c r="E343" s="5" t="s">
        <v>17</v>
      </c>
      <c r="F343" s="5" t="s">
        <v>17</v>
      </c>
      <c r="G343" s="6">
        <f>IF(H343=1,0.99,0)</f>
        <v/>
      </c>
      <c r="H343" s="8">
        <f>IF(OR(LOOKUP(A343,characters!A:A,characters!B:B)=-1, LOOKUP(A343,characters!A:A,characters!B:B)+0.1&gt;=B343),1,0)</f>
        <v/>
      </c>
    </row>
    <row r="344" spans="1:8">
      <c r="A344" s="4" t="s">
        <v>19</v>
      </c>
      <c r="B344" s="7">
        <v>1.1</v>
      </c>
      <c r="C344" s="6">
        <f>IF(H344=1,0.9,0)</f>
        <v/>
      </c>
      <c r="D344" s="5" t="s">
        <v>17</v>
      </c>
      <c r="E344" s="6">
        <f>IF(H344=1,1.0,0)</f>
        <v/>
      </c>
      <c r="F344" s="5" t="s">
        <v>17</v>
      </c>
      <c r="G344" s="5" t="s">
        <v>17</v>
      </c>
      <c r="H344" s="8">
        <f>IF(OR(LOOKUP(A344,characters!A:A,characters!B:B)=-1, LOOKUP(A344,characters!A:A,characters!B:B)+0.1&gt;=B344),1,0)</f>
        <v/>
      </c>
    </row>
    <row r="345" spans="1:8">
      <c r="A345" s="4" t="s">
        <v>57</v>
      </c>
      <c r="B345" s="7">
        <v>0.5</v>
      </c>
      <c r="C345" s="6">
        <f>IF(H345=1,1.0,0)</f>
        <v/>
      </c>
      <c r="D345" s="6">
        <f>IF(H345=1,0.99,0)</f>
        <v/>
      </c>
      <c r="E345" s="5" t="s">
        <v>17</v>
      </c>
      <c r="F345" s="5" t="s">
        <v>17</v>
      </c>
      <c r="G345" s="5" t="s">
        <v>17</v>
      </c>
      <c r="H345" s="8">
        <f>IF(OR(LOOKUP(A345,characters!A:A,characters!B:B)=-1, LOOKUP(A345,characters!A:A,characters!B:B)+0.1&gt;=B345),1,0)</f>
        <v/>
      </c>
    </row>
    <row r="346" spans="1:8">
      <c r="A346" s="4" t="s">
        <v>25</v>
      </c>
      <c r="B346" s="7">
        <v>0.2</v>
      </c>
      <c r="C346" s="6">
        <f>IF(H346=1,1.0,0)</f>
        <v/>
      </c>
      <c r="D346" s="5" t="s">
        <v>17</v>
      </c>
      <c r="E346" s="6">
        <f>IF(H346=1,0.99,0)</f>
        <v/>
      </c>
      <c r="F346" s="5" t="s">
        <v>17</v>
      </c>
      <c r="G346" s="5" t="s">
        <v>17</v>
      </c>
      <c r="H346" s="8">
        <f>IF(OR(LOOKUP(A346,characters!A:A,characters!B:B)=-1, LOOKUP(A346,characters!A:A,characters!B:B)+0.1&gt;=B346),1,0)</f>
        <v/>
      </c>
    </row>
    <row r="347" spans="1:8">
      <c r="A347" s="4" t="s">
        <v>48</v>
      </c>
      <c r="B347" s="7">
        <v>0.2</v>
      </c>
      <c r="C347" s="6">
        <f>IF(H347=1,1.0,0)</f>
        <v/>
      </c>
      <c r="D347" s="6">
        <f>IF(H347=1,1.0,0)</f>
        <v/>
      </c>
      <c r="E347" s="5" t="s">
        <v>17</v>
      </c>
      <c r="F347" s="5" t="s">
        <v>17</v>
      </c>
      <c r="G347" s="5" t="s">
        <v>17</v>
      </c>
      <c r="H347" s="8">
        <f>IF(OR(LOOKUP(A347,characters!A:A,characters!B:B)=-1, LOOKUP(A347,characters!A:A,characters!B:B)+0.1&gt;=B347),1,0)</f>
        <v/>
      </c>
    </row>
    <row r="348" spans="1:8">
      <c r="A348" s="4" t="s">
        <v>20</v>
      </c>
      <c r="B348" s="7">
        <v>1.2</v>
      </c>
      <c r="C348" s="5" t="s">
        <v>17</v>
      </c>
      <c r="D348" s="5" t="s">
        <v>17</v>
      </c>
      <c r="E348" s="6">
        <f>IF(H348=1,1.0,0)</f>
        <v/>
      </c>
      <c r="F348" s="5" t="s">
        <v>17</v>
      </c>
      <c r="G348" s="6">
        <f>IF(H348=1,1.0,0)</f>
        <v/>
      </c>
      <c r="H348" s="8">
        <f>IF(OR(LOOKUP(A348,characters!A:A,characters!B:B)=-1, LOOKUP(A348,characters!A:A,characters!B:B)+0.1&gt;=B348),1,0)</f>
        <v/>
      </c>
    </row>
    <row r="349" spans="1:8">
      <c r="A349" s="4" t="s">
        <v>49</v>
      </c>
      <c r="B349" s="7">
        <v>0.2</v>
      </c>
      <c r="C349" s="5" t="s">
        <v>17</v>
      </c>
      <c r="D349" s="5" t="s">
        <v>17</v>
      </c>
      <c r="E349" s="6">
        <f>IF(H349=1,0.9,0)</f>
        <v/>
      </c>
      <c r="F349" s="5" t="s">
        <v>17</v>
      </c>
      <c r="G349" s="6">
        <f>IF(H349=1,1.0,0)</f>
        <v/>
      </c>
      <c r="H349" s="8">
        <f>IF(OR(LOOKUP(A349,characters!A:A,characters!B:B)=-1, LOOKUP(A349,characters!A:A,characters!B:B)+0.1&gt;=B349),1,0)</f>
        <v/>
      </c>
    </row>
    <row r="350" spans="1:8">
      <c r="A350" s="4" t="s">
        <v>21</v>
      </c>
      <c r="B350" s="7">
        <v>1.3</v>
      </c>
      <c r="C350" s="5" t="s">
        <v>17</v>
      </c>
      <c r="D350" s="5" t="s">
        <v>17</v>
      </c>
      <c r="E350" s="6">
        <f>IF(H350=1,1.0,0)</f>
        <v/>
      </c>
      <c r="F350" s="5" t="s">
        <v>17</v>
      </c>
      <c r="G350" s="6">
        <f>IF(H350=1,1.0,0)</f>
        <v/>
      </c>
      <c r="H350" s="8">
        <f>IF(OR(LOOKUP(A350,characters!A:A,characters!B:B)=-1, LOOKUP(A350,characters!A:A,characters!B:B)+0.1&gt;=B350),1,0)</f>
        <v/>
      </c>
    </row>
    <row r="351" spans="1:8">
      <c r="A351" s="4" t="s">
        <v>22</v>
      </c>
      <c r="B351" s="7">
        <v>1.1</v>
      </c>
      <c r="C351" s="5" t="s">
        <v>17</v>
      </c>
      <c r="D351" s="5" t="s">
        <v>17</v>
      </c>
      <c r="E351" s="6">
        <f>IF(H351=1,1.0,0)</f>
        <v/>
      </c>
      <c r="F351" s="5" t="s">
        <v>17</v>
      </c>
      <c r="G351" s="6">
        <f>IF(H351=1,0.99,0)</f>
        <v/>
      </c>
      <c r="H351" s="8">
        <f>IF(OR(LOOKUP(A351,characters!A:A,characters!B:B)=-1, LOOKUP(A351,characters!A:A,characters!B:B)+0.1&gt;=B351),1,0)</f>
        <v/>
      </c>
    </row>
    <row r="352" spans="1:8">
      <c r="A352" s="4" t="s">
        <v>63</v>
      </c>
      <c r="B352" s="7">
        <v>0.2</v>
      </c>
      <c r="C352" s="6">
        <f>IF(H352=1,1.0,0)</f>
        <v/>
      </c>
      <c r="D352" s="6">
        <f>IF(H352=1,1.0,0)</f>
        <v/>
      </c>
      <c r="E352" s="5" t="s">
        <v>17</v>
      </c>
      <c r="F352" s="5" t="s">
        <v>17</v>
      </c>
      <c r="G352" s="5" t="s">
        <v>17</v>
      </c>
      <c r="H352" s="8">
        <f>IF(OR(LOOKUP(A352,characters!A:A,characters!B:B)=-1, LOOKUP(A352,characters!A:A,characters!B:B)+0.1&gt;=B352),1,0)</f>
        <v/>
      </c>
    </row>
    <row r="353" spans="1:11">
      <c r="A353" s="4" t="s">
        <v>23</v>
      </c>
      <c r="B353" s="7">
        <v>1.1</v>
      </c>
      <c r="C353" s="6">
        <f>IF(H353=1,0.9,0)</f>
        <v/>
      </c>
      <c r="D353" s="5" t="s">
        <v>17</v>
      </c>
      <c r="E353" s="6">
        <f>IF(H353=1,1.0,0)</f>
        <v/>
      </c>
      <c r="F353" s="5" t="s">
        <v>17</v>
      </c>
      <c r="G353" s="5" t="s">
        <v>17</v>
      </c>
      <c r="H353" s="8">
        <f>IF(OR(LOOKUP(A353,characters!A:A,characters!B:B)=-1, LOOKUP(A353,characters!A:A,characters!B:B)+0.1&gt;=B353),1,0)</f>
        <v/>
      </c>
    </row>
    <row r="354" spans="1:11">
      <c r="A354" s="4" t="s">
        <v>38</v>
      </c>
      <c r="B354" s="7">
        <v>0.4</v>
      </c>
      <c r="C354" s="5" t="s">
        <v>17</v>
      </c>
      <c r="D354" s="5" t="s">
        <v>17</v>
      </c>
      <c r="E354" s="5" t="s">
        <v>17</v>
      </c>
      <c r="F354" s="5" t="s">
        <v>17</v>
      </c>
      <c r="G354" s="6">
        <f>IF(H354=1,1.0,0)</f>
        <v/>
      </c>
      <c r="H354" s="8">
        <f>IF(OR(LOOKUP(A354,characters!A:A,characters!B:B)=-1, LOOKUP(A354,characters!A:A,characters!B:B)+0.1&gt;=B354),1,0)</f>
        <v/>
      </c>
    </row>
    <row r="355" spans="1:11">
      <c r="A355" s="4" t="s">
        <v>44</v>
      </c>
      <c r="B355" s="7">
        <v>0.2</v>
      </c>
      <c r="C355" s="6">
        <f>IF(H355=1,1.0,0)</f>
        <v/>
      </c>
      <c r="D355" s="6">
        <f>IF(H355=1,1.0,0)</f>
        <v/>
      </c>
      <c r="E355" s="5" t="s">
        <v>17</v>
      </c>
      <c r="F355" s="5" t="s">
        <v>17</v>
      </c>
      <c r="G355" s="5" t="s">
        <v>17</v>
      </c>
      <c r="H355" s="8">
        <f>IF(OR(LOOKUP(A355,characters!A:A,characters!B:B)=-1, LOOKUP(A355,characters!A:A,characters!B:B)+0.1&gt;=B355),1,0)</f>
        <v/>
      </c>
    </row>
    <row r="357" spans="1:11">
      <c r="A357" s="3" t="s">
        <v>27</v>
      </c>
      <c r="B357" s="3" t="s">
        <v>9</v>
      </c>
      <c r="C357" s="3" t="s">
        <v>28</v>
      </c>
      <c r="D357" s="3" t="s">
        <v>10</v>
      </c>
      <c r="E357" s="3" t="s">
        <v>53</v>
      </c>
      <c r="F357" s="3" t="s">
        <v>41</v>
      </c>
      <c r="G357" s="3" t="s">
        <v>51</v>
      </c>
      <c r="H357" s="3" t="s">
        <v>31</v>
      </c>
      <c r="I357" s="3" t="s">
        <v>29</v>
      </c>
      <c r="J357" s="3" t="s">
        <v>30</v>
      </c>
    </row>
    <row r="358" spans="1:11">
      <c r="A358" s="4" t="s">
        <v>16</v>
      </c>
      <c r="B358" s="5" t="s">
        <v>17</v>
      </c>
      <c r="C358" s="6">
        <f>IF(SUM(K359:K383)=0,0,SUM(C359:C383)/SUM(K359:K383))</f>
        <v/>
      </c>
      <c r="D358" s="6">
        <f>IF(SUM(K359:K383)=0,0,SUM(D359:D383)/SUM(K359:K383))</f>
        <v/>
      </c>
      <c r="E358" s="6">
        <f>IF(SUM(K359:K383)=0,0,SUM(E359:E383)/SUM(K359:K383))</f>
        <v/>
      </c>
      <c r="F358" s="6">
        <f>IF(SUM(K359:K383)=0,0,SUM(F359:F383)/SUM(K359:K383))</f>
        <v/>
      </c>
      <c r="G358" s="6">
        <f>IF(SUM(K359:K383)=0,0,SUM(G359:G383)/SUM(K359:K383))</f>
        <v/>
      </c>
      <c r="H358" s="6">
        <f>IF(SUM(K359:K383)=0,0,SUM(H359:H383)/SUM(K359:K383))</f>
        <v/>
      </c>
      <c r="I358" s="6">
        <f>IF(SUM(K359:K383)=0,0,SUM(I359:I383)/SUM(K359:K383))</f>
        <v/>
      </c>
      <c r="J358" s="6">
        <f>IF(SUM(K359:K383)=0,0,SUM(J359:J383)/SUM(K359:K383))</f>
        <v/>
      </c>
    </row>
    <row r="359" spans="1:11">
      <c r="A359" s="4" t="s">
        <v>55</v>
      </c>
      <c r="B359" s="7">
        <v>0.5</v>
      </c>
      <c r="C359" s="6">
        <f>IF(K359=1,1.0,0)</f>
        <v/>
      </c>
      <c r="D359" s="5" t="s">
        <v>17</v>
      </c>
      <c r="E359" s="5" t="s">
        <v>17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8">
        <f>IF(OR(LOOKUP(A359,characters!A:A,characters!B:B)=-1, LOOKUP(A359,characters!A:A,characters!B:B)+0.1&gt;=B359),1,0)</f>
        <v/>
      </c>
    </row>
    <row r="360" spans="1:11">
      <c r="A360" s="4" t="s">
        <v>61</v>
      </c>
      <c r="B360" s="7">
        <v>0.2</v>
      </c>
      <c r="C360" s="6">
        <f>IF(K360=1,1.0,0)</f>
        <v/>
      </c>
      <c r="D360" s="5" t="s">
        <v>17</v>
      </c>
      <c r="E360" s="5" t="s">
        <v>17</v>
      </c>
      <c r="F360" s="5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8">
        <f>IF(OR(LOOKUP(A360,characters!A:A,characters!B:B)=-1, LOOKUP(A360,characters!A:A,characters!B:B)+0.1&gt;=B360),1,0)</f>
        <v/>
      </c>
    </row>
    <row r="361" spans="1:11">
      <c r="A361" s="4" t="s">
        <v>18</v>
      </c>
      <c r="B361" s="7">
        <v>0.2</v>
      </c>
      <c r="C361" s="5" t="s">
        <v>17</v>
      </c>
      <c r="D361" s="6">
        <f>IF(K361=1,1.0,0)</f>
        <v/>
      </c>
      <c r="E361" s="5" t="s">
        <v>17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8">
        <f>IF(OR(LOOKUP(A361,characters!A:A,characters!B:B)=-1, LOOKUP(A361,characters!A:A,characters!B:B)+0.1&gt;=B361),1,0)</f>
        <v/>
      </c>
    </row>
    <row r="362" spans="1:11">
      <c r="A362" s="4" t="s">
        <v>59</v>
      </c>
      <c r="B362" s="7">
        <v>2.600000000000001</v>
      </c>
      <c r="C362" s="5" t="s">
        <v>17</v>
      </c>
      <c r="D362" s="5" t="s">
        <v>17</v>
      </c>
      <c r="E362" s="6">
        <f>IF(K362=1,1.0,0)</f>
        <v/>
      </c>
      <c r="F362" s="6">
        <f>IF(K362=1,1.0,0)</f>
        <v/>
      </c>
      <c r="G362" s="5" t="s">
        <v>17</v>
      </c>
      <c r="H362" s="5" t="s">
        <v>17</v>
      </c>
      <c r="I362" s="5" t="s">
        <v>17</v>
      </c>
      <c r="J362" s="5" t="s">
        <v>17</v>
      </c>
      <c r="K362" s="8">
        <f>IF(OR(LOOKUP(A362,characters!A:A,characters!B:B)=-1, LOOKUP(A362,characters!A:A,characters!B:B)+0.1&gt;=B362),1,0)</f>
        <v/>
      </c>
    </row>
    <row r="363" spans="1:11">
      <c r="A363" s="4" t="s">
        <v>50</v>
      </c>
      <c r="B363" s="7">
        <v>0.2</v>
      </c>
      <c r="C363" s="5" t="s">
        <v>17</v>
      </c>
      <c r="D363" s="6">
        <f>IF(K363=1,0.99,0)</f>
        <v/>
      </c>
      <c r="E363" s="5" t="s">
        <v>17</v>
      </c>
      <c r="F363" s="5" t="s">
        <v>17</v>
      </c>
      <c r="G363" s="6">
        <f>IF(K363=1,1.0,0)</f>
        <v/>
      </c>
      <c r="H363" s="5" t="s">
        <v>17</v>
      </c>
      <c r="I363" s="5" t="s">
        <v>17</v>
      </c>
      <c r="J363" s="5" t="s">
        <v>17</v>
      </c>
      <c r="K363" s="8">
        <f>IF(OR(LOOKUP(A363,characters!A:A,characters!B:B)=-1, LOOKUP(A363,characters!A:A,characters!B:B)+0.1&gt;=B363),1,0)</f>
        <v/>
      </c>
    </row>
    <row r="364" spans="1:11">
      <c r="A364" s="4" t="s">
        <v>37</v>
      </c>
      <c r="B364" s="7">
        <v>0.3</v>
      </c>
      <c r="C364" s="5" t="s">
        <v>17</v>
      </c>
      <c r="D364" s="5" t="s">
        <v>17</v>
      </c>
      <c r="E364" s="5" t="s">
        <v>17</v>
      </c>
      <c r="F364" s="6">
        <f>IF(K364=1,1.0,0)</f>
        <v/>
      </c>
      <c r="G364" s="5" t="s">
        <v>17</v>
      </c>
      <c r="H364" s="6">
        <f>IF(K364=1,0.99,0)</f>
        <v/>
      </c>
      <c r="I364" s="5" t="s">
        <v>17</v>
      </c>
      <c r="J364" s="5" t="s">
        <v>17</v>
      </c>
      <c r="K364" s="8">
        <f>IF(OR(LOOKUP(A364,characters!A:A,characters!B:B)=-1, LOOKUP(A364,characters!A:A,characters!B:B)+0.1&gt;=B364),1,0)</f>
        <v/>
      </c>
    </row>
    <row r="365" spans="1:11">
      <c r="A365" s="4" t="s">
        <v>46</v>
      </c>
      <c r="B365" s="7">
        <v>0.2</v>
      </c>
      <c r="C365" s="5" t="s">
        <v>17</v>
      </c>
      <c r="D365" s="6">
        <f>IF(K365=1,1.0,0)</f>
        <v/>
      </c>
      <c r="E365" s="5" t="s">
        <v>17</v>
      </c>
      <c r="F365" s="5" t="s">
        <v>17</v>
      </c>
      <c r="G365" s="6">
        <f>IF(K365=1,0.99,0)</f>
        <v/>
      </c>
      <c r="H365" s="5" t="s">
        <v>17</v>
      </c>
      <c r="I365" s="5" t="s">
        <v>17</v>
      </c>
      <c r="J365" s="5" t="s">
        <v>17</v>
      </c>
      <c r="K365" s="8">
        <f>IF(OR(LOOKUP(A365,characters!A:A,characters!B:B)=-1, LOOKUP(A365,characters!A:A,characters!B:B)+0.1&gt;=B365),1,0)</f>
        <v/>
      </c>
    </row>
    <row r="366" spans="1:11">
      <c r="A366" s="4" t="s">
        <v>62</v>
      </c>
      <c r="B366" s="7">
        <v>0.2</v>
      </c>
      <c r="C366" s="5" t="s">
        <v>17</v>
      </c>
      <c r="D366" s="6">
        <f>IF(K366=1,0.9,0)</f>
        <v/>
      </c>
      <c r="E366" s="5" t="s">
        <v>17</v>
      </c>
      <c r="F366" s="5" t="s">
        <v>17</v>
      </c>
      <c r="G366" s="5" t="s">
        <v>17</v>
      </c>
      <c r="H366" s="5" t="s">
        <v>17</v>
      </c>
      <c r="I366" s="6">
        <f>IF(K366=1,1.0,0)</f>
        <v/>
      </c>
      <c r="J366" s="5" t="s">
        <v>17</v>
      </c>
      <c r="K366" s="8">
        <f>IF(OR(LOOKUP(A366,characters!A:A,characters!B:B)=-1, LOOKUP(A366,characters!A:A,characters!B:B)+0.1&gt;=B366),1,0)</f>
        <v/>
      </c>
    </row>
    <row r="367" spans="1:11">
      <c r="A367" s="4" t="s">
        <v>40</v>
      </c>
      <c r="B367" s="7">
        <v>0.2</v>
      </c>
      <c r="C367" s="6">
        <f>IF(K367=1,1.0,0)</f>
        <v/>
      </c>
      <c r="D367" s="6">
        <f>IF(K367=1,0.9,0)</f>
        <v/>
      </c>
      <c r="E367" s="5" t="s">
        <v>17</v>
      </c>
      <c r="F367" s="5" t="s">
        <v>17</v>
      </c>
      <c r="G367" s="5" t="s">
        <v>17</v>
      </c>
      <c r="H367" s="6">
        <f>IF(K367=1,0.9,0)</f>
        <v/>
      </c>
      <c r="I367" s="5" t="s">
        <v>17</v>
      </c>
      <c r="J367" s="5" t="s">
        <v>17</v>
      </c>
      <c r="K367" s="8">
        <f>IF(OR(LOOKUP(A367,characters!A:A,characters!B:B)=-1, LOOKUP(A367,characters!A:A,characters!B:B)+0.1&gt;=B367),1,0)</f>
        <v/>
      </c>
    </row>
    <row r="368" spans="1:11">
      <c r="A368" s="4" t="s">
        <v>24</v>
      </c>
      <c r="B368" s="7">
        <v>0.2</v>
      </c>
      <c r="C368" s="6">
        <f>IF(K368=1,1.0,0)</f>
        <v/>
      </c>
      <c r="D368" s="6">
        <f>IF(K368=1,0.99,0)</f>
        <v/>
      </c>
      <c r="E368" s="5" t="s">
        <v>17</v>
      </c>
      <c r="F368" s="5" t="s">
        <v>17</v>
      </c>
      <c r="G368" s="5" t="s">
        <v>17</v>
      </c>
      <c r="H368" s="5" t="s">
        <v>17</v>
      </c>
      <c r="I368" s="5" t="s">
        <v>17</v>
      </c>
      <c r="J368" s="5" t="s">
        <v>17</v>
      </c>
      <c r="K368" s="8">
        <f>IF(OR(LOOKUP(A368,characters!A:A,characters!B:B)=-1, LOOKUP(A368,characters!A:A,characters!B:B)+0.1&gt;=B368),1,0)</f>
        <v/>
      </c>
    </row>
    <row r="369" spans="1:11">
      <c r="A369" s="4" t="s">
        <v>47</v>
      </c>
      <c r="B369" s="7">
        <v>0.2</v>
      </c>
      <c r="C369" s="5" t="s">
        <v>17</v>
      </c>
      <c r="D369" s="6">
        <f>IF(K369=1,0.89,0)</f>
        <v/>
      </c>
      <c r="E369" s="5" t="s">
        <v>17</v>
      </c>
      <c r="F369" s="5" t="s">
        <v>17</v>
      </c>
      <c r="G369" s="6">
        <f>IF(K369=1,1.0,0)</f>
        <v/>
      </c>
      <c r="H369" s="6">
        <f>IF(K369=1,0.9,0)</f>
        <v/>
      </c>
      <c r="I369" s="5" t="s">
        <v>17</v>
      </c>
      <c r="J369" s="5" t="s">
        <v>17</v>
      </c>
      <c r="K369" s="8">
        <f>IF(OR(LOOKUP(A369,characters!A:A,characters!B:B)=-1, LOOKUP(A369,characters!A:A,characters!B:B)+0.1&gt;=B369),1,0)</f>
        <v/>
      </c>
    </row>
    <row r="370" spans="1:11">
      <c r="A370" s="4" t="s">
        <v>56</v>
      </c>
      <c r="B370" s="7">
        <v>0.5</v>
      </c>
      <c r="C370" s="5" t="s">
        <v>17</v>
      </c>
      <c r="D370" s="5" t="s">
        <v>17</v>
      </c>
      <c r="E370" s="5" t="s">
        <v>17</v>
      </c>
      <c r="F370" s="6">
        <f>IF(K370=1,1.0,0)</f>
        <v/>
      </c>
      <c r="G370" s="5" t="s">
        <v>17</v>
      </c>
      <c r="H370" s="5" t="s">
        <v>17</v>
      </c>
      <c r="I370" s="5" t="s">
        <v>17</v>
      </c>
      <c r="J370" s="5" t="s">
        <v>17</v>
      </c>
      <c r="K370" s="8">
        <f>IF(OR(LOOKUP(A370,characters!A:A,characters!B:B)=-1, LOOKUP(A370,characters!A:A,characters!B:B)+0.1&gt;=B370),1,0)</f>
        <v/>
      </c>
    </row>
    <row r="371" spans="1:11">
      <c r="A371" s="4" t="s">
        <v>39</v>
      </c>
      <c r="B371" s="7">
        <v>0.4</v>
      </c>
      <c r="C371" s="5" t="s">
        <v>17</v>
      </c>
      <c r="D371" s="6">
        <f>IF(K371=1,1.0,0)</f>
        <v/>
      </c>
      <c r="E371" s="5" t="s">
        <v>17</v>
      </c>
      <c r="F371" s="6">
        <f>IF(K371=1,1.0,0)</f>
        <v/>
      </c>
      <c r="G371" s="5" t="s">
        <v>17</v>
      </c>
      <c r="H371" s="6">
        <f>IF(K371=1,1.0,0)</f>
        <v/>
      </c>
      <c r="I371" s="5" t="s">
        <v>17</v>
      </c>
      <c r="J371" s="5" t="s">
        <v>17</v>
      </c>
      <c r="K371" s="8">
        <f>IF(OR(LOOKUP(A371,characters!A:A,characters!B:B)=-1, LOOKUP(A371,characters!A:A,characters!B:B)+0.1&gt;=B371),1,0)</f>
        <v/>
      </c>
    </row>
    <row r="372" spans="1:11">
      <c r="A372" s="4" t="s">
        <v>19</v>
      </c>
      <c r="B372" s="7">
        <v>1.1</v>
      </c>
      <c r="C372" s="5" t="s">
        <v>17</v>
      </c>
      <c r="D372" s="6">
        <f>IF(K372=1,1.0,0)</f>
        <v/>
      </c>
      <c r="E372" s="5" t="s">
        <v>17</v>
      </c>
      <c r="F372" s="5" t="s">
        <v>17</v>
      </c>
      <c r="G372" s="5" t="s">
        <v>17</v>
      </c>
      <c r="H372" s="5" t="s">
        <v>17</v>
      </c>
      <c r="I372" s="5" t="s">
        <v>17</v>
      </c>
      <c r="J372" s="5" t="s">
        <v>17</v>
      </c>
      <c r="K372" s="8">
        <f>IF(OR(LOOKUP(A372,characters!A:A,characters!B:B)=-1, LOOKUP(A372,characters!A:A,characters!B:B)+0.1&gt;=B372),1,0)</f>
        <v/>
      </c>
    </row>
    <row r="373" spans="1:11">
      <c r="A373" s="4" t="s">
        <v>57</v>
      </c>
      <c r="B373" s="7">
        <v>0.5</v>
      </c>
      <c r="C373" s="5" t="s">
        <v>17</v>
      </c>
      <c r="D373" s="5" t="s">
        <v>17</v>
      </c>
      <c r="E373" s="5" t="s">
        <v>17</v>
      </c>
      <c r="F373" s="5" t="s">
        <v>17</v>
      </c>
      <c r="G373" s="5" t="s">
        <v>17</v>
      </c>
      <c r="H373" s="5" t="s">
        <v>17</v>
      </c>
      <c r="I373" s="6">
        <f>IF(K373=1,1.0,0)</f>
        <v/>
      </c>
      <c r="J373" s="5" t="s">
        <v>17</v>
      </c>
      <c r="K373" s="8">
        <f>IF(OR(LOOKUP(A373,characters!A:A,characters!B:B)=-1, LOOKUP(A373,characters!A:A,characters!B:B)+0.1&gt;=B373),1,0)</f>
        <v/>
      </c>
    </row>
    <row r="374" spans="1:11">
      <c r="A374" s="4" t="s">
        <v>25</v>
      </c>
      <c r="B374" s="7">
        <v>0.2</v>
      </c>
      <c r="C374" s="5" t="s">
        <v>17</v>
      </c>
      <c r="D374" s="6">
        <f>IF(K374=1,1.0,0)</f>
        <v/>
      </c>
      <c r="E374" s="5" t="s">
        <v>17</v>
      </c>
      <c r="F374" s="5" t="s">
        <v>17</v>
      </c>
      <c r="G374" s="5" t="s">
        <v>17</v>
      </c>
      <c r="H374" s="5" t="s">
        <v>17</v>
      </c>
      <c r="I374" s="6">
        <f>IF(K374=1,1.0,0)</f>
        <v/>
      </c>
      <c r="J374" s="5" t="s">
        <v>17</v>
      </c>
      <c r="K374" s="8">
        <f>IF(OR(LOOKUP(A374,characters!A:A,characters!B:B)=-1, LOOKUP(A374,characters!A:A,characters!B:B)+0.1&gt;=B374),1,0)</f>
        <v/>
      </c>
    </row>
    <row r="375" spans="1:11">
      <c r="A375" s="4" t="s">
        <v>48</v>
      </c>
      <c r="B375" s="7">
        <v>0.2</v>
      </c>
      <c r="C375" s="5" t="s">
        <v>17</v>
      </c>
      <c r="D375" s="6">
        <f>IF(K375=1,1.0,0)</f>
        <v/>
      </c>
      <c r="E375" s="5" t="s">
        <v>17</v>
      </c>
      <c r="F375" s="5" t="s">
        <v>17</v>
      </c>
      <c r="G375" s="6">
        <f>IF(K375=1,0.99,0)</f>
        <v/>
      </c>
      <c r="H375" s="5" t="s">
        <v>17</v>
      </c>
      <c r="I375" s="5" t="s">
        <v>17</v>
      </c>
      <c r="J375" s="5" t="s">
        <v>17</v>
      </c>
      <c r="K375" s="8">
        <f>IF(OR(LOOKUP(A375,characters!A:A,characters!B:B)=-1, LOOKUP(A375,characters!A:A,characters!B:B)+0.1&gt;=B375),1,0)</f>
        <v/>
      </c>
    </row>
    <row r="376" spans="1:11">
      <c r="A376" s="4" t="s">
        <v>20</v>
      </c>
      <c r="B376" s="7">
        <v>1.2</v>
      </c>
      <c r="C376" s="5" t="s">
        <v>17</v>
      </c>
      <c r="D376" s="6">
        <f>IF(K376=1,0.9,0)</f>
        <v/>
      </c>
      <c r="E376" s="5" t="s">
        <v>17</v>
      </c>
      <c r="F376" s="5" t="s">
        <v>17</v>
      </c>
      <c r="G376" s="5" t="s">
        <v>17</v>
      </c>
      <c r="H376" s="5" t="s">
        <v>17</v>
      </c>
      <c r="I376" s="5" t="s">
        <v>17</v>
      </c>
      <c r="J376" s="6">
        <f>IF(K376=1,1.0,0)</f>
        <v/>
      </c>
      <c r="K376" s="8">
        <f>IF(OR(LOOKUP(A376,characters!A:A,characters!B:B)=-1, LOOKUP(A376,characters!A:A,characters!B:B)+0.1&gt;=B376),1,0)</f>
        <v/>
      </c>
    </row>
    <row r="377" spans="1:11">
      <c r="A377" s="4" t="s">
        <v>49</v>
      </c>
      <c r="B377" s="7">
        <v>0.2</v>
      </c>
      <c r="C377" s="5" t="s">
        <v>17</v>
      </c>
      <c r="D377" s="6">
        <f>IF(K377=1,0.9,0)</f>
        <v/>
      </c>
      <c r="E377" s="5" t="s">
        <v>17</v>
      </c>
      <c r="F377" s="5" t="s">
        <v>17</v>
      </c>
      <c r="G377" s="6">
        <f>IF(K377=1,1.0,0)</f>
        <v/>
      </c>
      <c r="H377" s="6">
        <f>IF(K377=1,0.9,0)</f>
        <v/>
      </c>
      <c r="I377" s="5" t="s">
        <v>17</v>
      </c>
      <c r="J377" s="5" t="s">
        <v>17</v>
      </c>
      <c r="K377" s="8">
        <f>IF(OR(LOOKUP(A377,characters!A:A,characters!B:B)=-1, LOOKUP(A377,characters!A:A,characters!B:B)+0.1&gt;=B377),1,0)</f>
        <v/>
      </c>
    </row>
    <row r="378" spans="1:11">
      <c r="A378" s="4" t="s">
        <v>21</v>
      </c>
      <c r="B378" s="7">
        <v>1.3</v>
      </c>
      <c r="C378" s="5" t="s">
        <v>17</v>
      </c>
      <c r="D378" s="5" t="s">
        <v>17</v>
      </c>
      <c r="E378" s="5" t="s">
        <v>17</v>
      </c>
      <c r="F378" s="5" t="s">
        <v>17</v>
      </c>
      <c r="G378" s="5" t="s">
        <v>17</v>
      </c>
      <c r="H378" s="6">
        <f>IF(K378=1,1.0,0)</f>
        <v/>
      </c>
      <c r="I378" s="5" t="s">
        <v>17</v>
      </c>
      <c r="J378" s="5" t="s">
        <v>17</v>
      </c>
      <c r="K378" s="8">
        <f>IF(OR(LOOKUP(A378,characters!A:A,characters!B:B)=-1, LOOKUP(A378,characters!A:A,characters!B:B)+0.1&gt;=B378),1,0)</f>
        <v/>
      </c>
    </row>
    <row r="379" spans="1:11">
      <c r="A379" s="4" t="s">
        <v>22</v>
      </c>
      <c r="B379" s="7">
        <v>1.1</v>
      </c>
      <c r="C379" s="6">
        <f>IF(K379=1,0.99,0)</f>
        <v/>
      </c>
      <c r="D379" s="6">
        <f>IF(K379=1,1.0,0)</f>
        <v/>
      </c>
      <c r="E379" s="5" t="s">
        <v>17</v>
      </c>
      <c r="F379" s="5" t="s">
        <v>17</v>
      </c>
      <c r="G379" s="5" t="s">
        <v>17</v>
      </c>
      <c r="H379" s="5" t="s">
        <v>17</v>
      </c>
      <c r="I379" s="5" t="s">
        <v>17</v>
      </c>
      <c r="J379" s="5" t="s">
        <v>17</v>
      </c>
      <c r="K379" s="8">
        <f>IF(OR(LOOKUP(A379,characters!A:A,characters!B:B)=-1, LOOKUP(A379,characters!A:A,characters!B:B)+0.1&gt;=B379),1,0)</f>
        <v/>
      </c>
    </row>
    <row r="380" spans="1:11">
      <c r="A380" s="4" t="s">
        <v>63</v>
      </c>
      <c r="B380" s="7">
        <v>0.2</v>
      </c>
      <c r="C380" s="5" t="s">
        <v>17</v>
      </c>
      <c r="D380" s="6">
        <f>IF(K380=1,0.9,0)</f>
        <v/>
      </c>
      <c r="E380" s="5" t="s">
        <v>17</v>
      </c>
      <c r="F380" s="6">
        <f>IF(K380=1,1.0,0)</f>
        <v/>
      </c>
      <c r="G380" s="5" t="s">
        <v>17</v>
      </c>
      <c r="H380" s="5" t="s">
        <v>17</v>
      </c>
      <c r="I380" s="5" t="s">
        <v>17</v>
      </c>
      <c r="J380" s="5" t="s">
        <v>17</v>
      </c>
      <c r="K380" s="8">
        <f>IF(OR(LOOKUP(A380,characters!A:A,characters!B:B)=-1, LOOKUP(A380,characters!A:A,characters!B:B)+0.1&gt;=B380),1,0)</f>
        <v/>
      </c>
    </row>
    <row r="381" spans="1:11">
      <c r="A381" s="4" t="s">
        <v>23</v>
      </c>
      <c r="B381" s="7">
        <v>1.1</v>
      </c>
      <c r="C381" s="5" t="s">
        <v>17</v>
      </c>
      <c r="D381" s="6">
        <f>IF(K381=1,1.0,0)</f>
        <v/>
      </c>
      <c r="E381" s="5" t="s">
        <v>17</v>
      </c>
      <c r="F381" s="5" t="s">
        <v>17</v>
      </c>
      <c r="G381" s="5" t="s">
        <v>17</v>
      </c>
      <c r="H381" s="5" t="s">
        <v>17</v>
      </c>
      <c r="I381" s="6">
        <f>IF(K381=1,0.9,0)</f>
        <v/>
      </c>
      <c r="J381" s="5" t="s">
        <v>17</v>
      </c>
      <c r="K381" s="8">
        <f>IF(OR(LOOKUP(A381,characters!A:A,characters!B:B)=-1, LOOKUP(A381,characters!A:A,characters!B:B)+0.1&gt;=B381),1,0)</f>
        <v/>
      </c>
    </row>
    <row r="382" spans="1:11">
      <c r="A382" s="4" t="s">
        <v>38</v>
      </c>
      <c r="B382" s="7">
        <v>0.4</v>
      </c>
      <c r="C382" s="6">
        <f>IF(K382=1,1.0,0)</f>
        <v/>
      </c>
      <c r="D382" s="5" t="s">
        <v>17</v>
      </c>
      <c r="E382" s="5" t="s">
        <v>17</v>
      </c>
      <c r="F382" s="5" t="s">
        <v>17</v>
      </c>
      <c r="G382" s="5" t="s">
        <v>17</v>
      </c>
      <c r="H382" s="6">
        <f>IF(K382=1,0.99,0)</f>
        <v/>
      </c>
      <c r="I382" s="5" t="s">
        <v>17</v>
      </c>
      <c r="J382" s="5" t="s">
        <v>17</v>
      </c>
      <c r="K382" s="8">
        <f>IF(OR(LOOKUP(A382,characters!A:A,characters!B:B)=-1, LOOKUP(A382,characters!A:A,characters!B:B)+0.1&gt;=B382),1,0)</f>
        <v/>
      </c>
    </row>
    <row r="383" spans="1:11">
      <c r="A383" s="4" t="s">
        <v>44</v>
      </c>
      <c r="B383" s="7">
        <v>0.2</v>
      </c>
      <c r="C383" s="5" t="s">
        <v>17</v>
      </c>
      <c r="D383" s="6">
        <f>IF(K383=1,0.9,0)</f>
        <v/>
      </c>
      <c r="E383" s="5" t="s">
        <v>17</v>
      </c>
      <c r="F383" s="5" t="s">
        <v>17</v>
      </c>
      <c r="G383" s="5" t="s">
        <v>17</v>
      </c>
      <c r="H383" s="6">
        <f>IF(K383=1,0.9,0)</f>
        <v/>
      </c>
      <c r="I383" s="5" t="s">
        <v>17</v>
      </c>
      <c r="J383" s="6">
        <f>IF(K383=1,1.0,0)</f>
        <v/>
      </c>
      <c r="K383" s="8">
        <f>IF(OR(LOOKUP(A383,characters!A:A,characters!B:B)=-1, LOOKUP(A383,characters!A:A,characters!B:B)+0.1&gt;=B383),1,0)</f>
        <v/>
      </c>
    </row>
    <row r="385" spans="1:8">
      <c r="A385" s="3" t="s">
        <v>32</v>
      </c>
      <c r="B385" s="3" t="s">
        <v>9</v>
      </c>
      <c r="C385" s="3" t="s">
        <v>42</v>
      </c>
      <c r="D385" s="3" t="s">
        <v>10</v>
      </c>
      <c r="E385" s="3" t="s">
        <v>33</v>
      </c>
      <c r="F385" s="3" t="s">
        <v>53</v>
      </c>
      <c r="G385" s="3" t="s">
        <v>34</v>
      </c>
    </row>
    <row r="386" spans="1:8">
      <c r="A386" s="4" t="s">
        <v>16</v>
      </c>
      <c r="B386" s="5" t="s">
        <v>17</v>
      </c>
      <c r="C386" s="6">
        <f>IF(SUM(H387:H411)=0,0,SUM(C387:C411)/SUM(H387:H411))</f>
        <v/>
      </c>
      <c r="D386" s="6">
        <f>IF(SUM(H387:H411)=0,0,SUM(D387:D411)/SUM(H387:H411))</f>
        <v/>
      </c>
      <c r="E386" s="6">
        <f>IF(SUM(H387:H411)=0,0,SUM(E387:E411)/SUM(H387:H411))</f>
        <v/>
      </c>
      <c r="F386" s="6">
        <f>IF(SUM(H387:H411)=0,0,SUM(F387:F411)/SUM(H387:H411))</f>
        <v/>
      </c>
      <c r="G386" s="6">
        <f>IF(SUM(H387:H411)=0,0,SUM(G387:G411)/SUM(H387:H411))</f>
        <v/>
      </c>
    </row>
    <row r="387" spans="1:8">
      <c r="A387" s="4" t="s">
        <v>55</v>
      </c>
      <c r="B387" s="7">
        <v>0.5</v>
      </c>
      <c r="C387" s="6">
        <f>IF(H387=1,1.0,0)</f>
        <v/>
      </c>
      <c r="D387" s="5" t="s">
        <v>17</v>
      </c>
      <c r="E387" s="5" t="s">
        <v>17</v>
      </c>
      <c r="F387" s="5" t="s">
        <v>17</v>
      </c>
      <c r="G387" s="5" t="s">
        <v>17</v>
      </c>
      <c r="H387" s="8">
        <f>IF(OR(LOOKUP(A387,characters!A:A,characters!B:B)=-1, LOOKUP(A387,characters!A:A,characters!B:B)+0.1&gt;=B387),1,0)</f>
        <v/>
      </c>
    </row>
    <row r="388" spans="1:8">
      <c r="A388" s="4" t="s">
        <v>61</v>
      </c>
      <c r="B388" s="7">
        <v>0.2</v>
      </c>
      <c r="C388" s="5" t="s">
        <v>17</v>
      </c>
      <c r="D388" s="6">
        <f>IF(H388=1,1.0,0)</f>
        <v/>
      </c>
      <c r="E388" s="5" t="s">
        <v>17</v>
      </c>
      <c r="F388" s="5" t="s">
        <v>17</v>
      </c>
      <c r="G388" s="5" t="s">
        <v>17</v>
      </c>
      <c r="H388" s="8">
        <f>IF(OR(LOOKUP(A388,characters!A:A,characters!B:B)=-1, LOOKUP(A388,characters!A:A,characters!B:B)+0.1&gt;=B388),1,0)</f>
        <v/>
      </c>
    </row>
    <row r="389" spans="1:8">
      <c r="A389" s="4" t="s">
        <v>18</v>
      </c>
      <c r="B389" s="7">
        <v>0.2</v>
      </c>
      <c r="C389" s="5" t="s">
        <v>17</v>
      </c>
      <c r="D389" s="6">
        <f>IF(H389=1,1.0,0)</f>
        <v/>
      </c>
      <c r="E389" s="6">
        <f>IF(H389=1,1.0,0)</f>
        <v/>
      </c>
      <c r="F389" s="5" t="s">
        <v>17</v>
      </c>
      <c r="G389" s="5" t="s">
        <v>17</v>
      </c>
      <c r="H389" s="8">
        <f>IF(OR(LOOKUP(A389,characters!A:A,characters!B:B)=-1, LOOKUP(A389,characters!A:A,characters!B:B)+0.1&gt;=B389),1,0)</f>
        <v/>
      </c>
    </row>
    <row r="390" spans="1:8">
      <c r="A390" s="4" t="s">
        <v>59</v>
      </c>
      <c r="B390" s="7">
        <v>2.600000000000001</v>
      </c>
      <c r="C390" s="5" t="s">
        <v>17</v>
      </c>
      <c r="D390" s="5" t="s">
        <v>17</v>
      </c>
      <c r="E390" s="6">
        <f>IF(H390=1,1.0,0)</f>
        <v/>
      </c>
      <c r="F390" s="6">
        <f>IF(H390=1,1.0,0)</f>
        <v/>
      </c>
      <c r="G390" s="5" t="s">
        <v>17</v>
      </c>
      <c r="H390" s="8">
        <f>IF(OR(LOOKUP(A390,characters!A:A,characters!B:B)=-1, LOOKUP(A390,characters!A:A,characters!B:B)+0.1&gt;=B390),1,0)</f>
        <v/>
      </c>
    </row>
    <row r="391" spans="1:8">
      <c r="A391" s="4" t="s">
        <v>50</v>
      </c>
      <c r="B391" s="7">
        <v>0.2</v>
      </c>
      <c r="C391" s="5" t="s">
        <v>17</v>
      </c>
      <c r="D391" s="6">
        <f>IF(H391=1,1.0,0)</f>
        <v/>
      </c>
      <c r="E391" s="5" t="s">
        <v>17</v>
      </c>
      <c r="F391" s="5" t="s">
        <v>17</v>
      </c>
      <c r="G391" s="5" t="s">
        <v>17</v>
      </c>
      <c r="H391" s="8">
        <f>IF(OR(LOOKUP(A391,characters!A:A,characters!B:B)=-1, LOOKUP(A391,characters!A:A,characters!B:B)+0.1&gt;=B391),1,0)</f>
        <v/>
      </c>
    </row>
    <row r="392" spans="1:8">
      <c r="A392" s="4" t="s">
        <v>37</v>
      </c>
      <c r="B392" s="7">
        <v>0.3</v>
      </c>
      <c r="C392" s="5" t="s">
        <v>17</v>
      </c>
      <c r="D392" s="6">
        <f>IF(H392=1,1.0,0)</f>
        <v/>
      </c>
      <c r="E392" s="5" t="s">
        <v>17</v>
      </c>
      <c r="F392" s="5" t="s">
        <v>17</v>
      </c>
      <c r="G392" s="6">
        <f>IF(H392=1,1.0,0)</f>
        <v/>
      </c>
      <c r="H392" s="8">
        <f>IF(OR(LOOKUP(A392,characters!A:A,characters!B:B)=-1, LOOKUP(A392,characters!A:A,characters!B:B)+0.1&gt;=B392),1,0)</f>
        <v/>
      </c>
    </row>
    <row r="393" spans="1:8">
      <c r="A393" s="4" t="s">
        <v>46</v>
      </c>
      <c r="B393" s="7">
        <v>0.2</v>
      </c>
      <c r="C393" s="5" t="s">
        <v>17</v>
      </c>
      <c r="D393" s="6">
        <f>IF(H393=1,1.0,0)</f>
        <v/>
      </c>
      <c r="E393" s="5" t="s">
        <v>17</v>
      </c>
      <c r="F393" s="5" t="s">
        <v>17</v>
      </c>
      <c r="G393" s="5" t="s">
        <v>17</v>
      </c>
      <c r="H393" s="8">
        <f>IF(OR(LOOKUP(A393,characters!A:A,characters!B:B)=-1, LOOKUP(A393,characters!A:A,characters!B:B)+0.1&gt;=B393),1,0)</f>
        <v/>
      </c>
    </row>
    <row r="394" spans="1:8">
      <c r="A394" s="4" t="s">
        <v>62</v>
      </c>
      <c r="B394" s="7">
        <v>0.2</v>
      </c>
      <c r="C394" s="5" t="s">
        <v>17</v>
      </c>
      <c r="D394" s="6">
        <f>IF(H394=1,1.0,0)</f>
        <v/>
      </c>
      <c r="E394" s="5" t="s">
        <v>17</v>
      </c>
      <c r="F394" s="5" t="s">
        <v>17</v>
      </c>
      <c r="G394" s="5" t="s">
        <v>17</v>
      </c>
      <c r="H394" s="8">
        <f>IF(OR(LOOKUP(A394,characters!A:A,characters!B:B)=-1, LOOKUP(A394,characters!A:A,characters!B:B)+0.1&gt;=B394),1,0)</f>
        <v/>
      </c>
    </row>
    <row r="395" spans="1:8">
      <c r="A395" s="4" t="s">
        <v>40</v>
      </c>
      <c r="B395" s="7">
        <v>0.2</v>
      </c>
      <c r="C395" s="5" t="s">
        <v>17</v>
      </c>
      <c r="D395" s="6">
        <f>IF(H395=1,1.0,0)</f>
        <v/>
      </c>
      <c r="E395" s="5" t="s">
        <v>17</v>
      </c>
      <c r="F395" s="5" t="s">
        <v>17</v>
      </c>
      <c r="G395" s="6">
        <f>IF(H395=1,1.0,0)</f>
        <v/>
      </c>
      <c r="H395" s="8">
        <f>IF(OR(LOOKUP(A395,characters!A:A,characters!B:B)=-1, LOOKUP(A395,characters!A:A,characters!B:B)+0.1&gt;=B395),1,0)</f>
        <v/>
      </c>
    </row>
    <row r="396" spans="1:8">
      <c r="A396" s="4" t="s">
        <v>24</v>
      </c>
      <c r="B396" s="7">
        <v>0.2</v>
      </c>
      <c r="C396" s="5" t="s">
        <v>17</v>
      </c>
      <c r="D396" s="6">
        <f>IF(H396=1,1.0,0)</f>
        <v/>
      </c>
      <c r="E396" s="5" t="s">
        <v>17</v>
      </c>
      <c r="F396" s="5" t="s">
        <v>17</v>
      </c>
      <c r="G396" s="5" t="s">
        <v>17</v>
      </c>
      <c r="H396" s="8">
        <f>IF(OR(LOOKUP(A396,characters!A:A,characters!B:B)=-1, LOOKUP(A396,characters!A:A,characters!B:B)+0.1&gt;=B396),1,0)</f>
        <v/>
      </c>
    </row>
    <row r="397" spans="1:8">
      <c r="A397" s="4" t="s">
        <v>47</v>
      </c>
      <c r="B397" s="7">
        <v>0.2</v>
      </c>
      <c r="C397" s="5" t="s">
        <v>17</v>
      </c>
      <c r="D397" s="6">
        <f>IF(H397=1,0.99,0)</f>
        <v/>
      </c>
      <c r="E397" s="5" t="s">
        <v>17</v>
      </c>
      <c r="F397" s="5" t="s">
        <v>17</v>
      </c>
      <c r="G397" s="6">
        <f>IF(H397=1,1.0,0)</f>
        <v/>
      </c>
      <c r="H397" s="8">
        <f>IF(OR(LOOKUP(A397,characters!A:A,characters!B:B)=-1, LOOKUP(A397,characters!A:A,characters!B:B)+0.1&gt;=B397),1,0)</f>
        <v/>
      </c>
    </row>
    <row r="398" spans="1:8">
      <c r="A398" s="4" t="s">
        <v>56</v>
      </c>
      <c r="B398" s="7">
        <v>0.5</v>
      </c>
      <c r="C398" s="6">
        <f>IF(H398=1,1.0,0)</f>
        <v/>
      </c>
      <c r="D398" s="5" t="s">
        <v>17</v>
      </c>
      <c r="E398" s="5" t="s">
        <v>17</v>
      </c>
      <c r="F398" s="5" t="s">
        <v>17</v>
      </c>
      <c r="G398" s="5" t="s">
        <v>17</v>
      </c>
      <c r="H398" s="8">
        <f>IF(OR(LOOKUP(A398,characters!A:A,characters!B:B)=-1, LOOKUP(A398,characters!A:A,characters!B:B)+0.1&gt;=B398),1,0)</f>
        <v/>
      </c>
    </row>
    <row r="399" spans="1:8">
      <c r="A399" s="4" t="s">
        <v>39</v>
      </c>
      <c r="B399" s="7">
        <v>0.4</v>
      </c>
      <c r="C399" s="6">
        <f>IF(H399=1,1.0,0)</f>
        <v/>
      </c>
      <c r="D399" s="5" t="s">
        <v>17</v>
      </c>
      <c r="E399" s="5" t="s">
        <v>17</v>
      </c>
      <c r="F399" s="5" t="s">
        <v>17</v>
      </c>
      <c r="G399" s="5" t="s">
        <v>17</v>
      </c>
      <c r="H399" s="8">
        <f>IF(OR(LOOKUP(A399,characters!A:A,characters!B:B)=-1, LOOKUP(A399,characters!A:A,characters!B:B)+0.1&gt;=B399),1,0)</f>
        <v/>
      </c>
    </row>
    <row r="400" spans="1:8">
      <c r="A400" s="4" t="s">
        <v>19</v>
      </c>
      <c r="B400" s="7">
        <v>1.1</v>
      </c>
      <c r="C400" s="5" t="s">
        <v>17</v>
      </c>
      <c r="D400" s="6">
        <f>IF(H400=1,1.0,0)</f>
        <v/>
      </c>
      <c r="E400" s="6">
        <f>IF(H400=1,1.0,0)</f>
        <v/>
      </c>
      <c r="F400" s="5" t="s">
        <v>17</v>
      </c>
      <c r="G400" s="5" t="s">
        <v>17</v>
      </c>
      <c r="H400" s="8">
        <f>IF(OR(LOOKUP(A400,characters!A:A,characters!B:B)=-1, LOOKUP(A400,characters!A:A,characters!B:B)+0.1&gt;=B400),1,0)</f>
        <v/>
      </c>
    </row>
    <row r="401" spans="1:8">
      <c r="A401" s="4" t="s">
        <v>57</v>
      </c>
      <c r="B401" s="7">
        <v>0.5</v>
      </c>
      <c r="C401" s="6">
        <f>IF(H401=1,1.0,0)</f>
        <v/>
      </c>
      <c r="D401" s="5" t="s">
        <v>17</v>
      </c>
      <c r="E401" s="5" t="s">
        <v>17</v>
      </c>
      <c r="F401" s="5" t="s">
        <v>17</v>
      </c>
      <c r="G401" s="5" t="s">
        <v>17</v>
      </c>
      <c r="H401" s="8">
        <f>IF(OR(LOOKUP(A401,characters!A:A,characters!B:B)=-1, LOOKUP(A401,characters!A:A,characters!B:B)+0.1&gt;=B401),1,0)</f>
        <v/>
      </c>
    </row>
    <row r="402" spans="1:8">
      <c r="A402" s="4" t="s">
        <v>25</v>
      </c>
      <c r="B402" s="7">
        <v>0.2</v>
      </c>
      <c r="C402" s="5" t="s">
        <v>17</v>
      </c>
      <c r="D402" s="6">
        <f>IF(H402=1,1.0,0)</f>
        <v/>
      </c>
      <c r="E402" s="5" t="s">
        <v>17</v>
      </c>
      <c r="F402" s="5" t="s">
        <v>17</v>
      </c>
      <c r="G402" s="5" t="s">
        <v>17</v>
      </c>
      <c r="H402" s="8">
        <f>IF(OR(LOOKUP(A402,characters!A:A,characters!B:B)=-1, LOOKUP(A402,characters!A:A,characters!B:B)+0.1&gt;=B402),1,0)</f>
        <v/>
      </c>
    </row>
    <row r="403" spans="1:8">
      <c r="A403" s="4" t="s">
        <v>48</v>
      </c>
      <c r="B403" s="7">
        <v>0.2</v>
      </c>
      <c r="C403" s="5" t="s">
        <v>17</v>
      </c>
      <c r="D403" s="6">
        <f>IF(H403=1,1.0,0)</f>
        <v/>
      </c>
      <c r="E403" s="5" t="s">
        <v>17</v>
      </c>
      <c r="F403" s="5" t="s">
        <v>17</v>
      </c>
      <c r="G403" s="5" t="s">
        <v>17</v>
      </c>
      <c r="H403" s="8">
        <f>IF(OR(LOOKUP(A403,characters!A:A,characters!B:B)=-1, LOOKUP(A403,characters!A:A,characters!B:B)+0.1&gt;=B403),1,0)</f>
        <v/>
      </c>
    </row>
    <row r="404" spans="1:8">
      <c r="A404" s="4" t="s">
        <v>20</v>
      </c>
      <c r="B404" s="7">
        <v>1.2</v>
      </c>
      <c r="C404" s="5" t="s">
        <v>17</v>
      </c>
      <c r="D404" s="6">
        <f>IF(H404=1,1.0,0)</f>
        <v/>
      </c>
      <c r="E404" s="6">
        <f>IF(H404=1,1.0,0)</f>
        <v/>
      </c>
      <c r="F404" s="5" t="s">
        <v>17</v>
      </c>
      <c r="G404" s="5" t="s">
        <v>17</v>
      </c>
      <c r="H404" s="8">
        <f>IF(OR(LOOKUP(A404,characters!A:A,characters!B:B)=-1, LOOKUP(A404,characters!A:A,characters!B:B)+0.1&gt;=B404),1,0)</f>
        <v/>
      </c>
    </row>
    <row r="405" spans="1:8">
      <c r="A405" s="4" t="s">
        <v>49</v>
      </c>
      <c r="B405" s="7">
        <v>0.2</v>
      </c>
      <c r="C405" s="5" t="s">
        <v>17</v>
      </c>
      <c r="D405" s="6">
        <f>IF(H405=1,1.0,0)</f>
        <v/>
      </c>
      <c r="E405" s="5" t="s">
        <v>17</v>
      </c>
      <c r="F405" s="5" t="s">
        <v>17</v>
      </c>
      <c r="G405" s="6">
        <f>IF(H405=1,1.0,0)</f>
        <v/>
      </c>
      <c r="H405" s="8">
        <f>IF(OR(LOOKUP(A405,characters!A:A,characters!B:B)=-1, LOOKUP(A405,characters!A:A,characters!B:B)+0.1&gt;=B405),1,0)</f>
        <v/>
      </c>
    </row>
    <row r="406" spans="1:8">
      <c r="A406" s="4" t="s">
        <v>21</v>
      </c>
      <c r="B406" s="7">
        <v>1.3</v>
      </c>
      <c r="C406" s="5" t="s">
        <v>17</v>
      </c>
      <c r="D406" s="6">
        <f>IF(H406=1,0.99,0)</f>
        <v/>
      </c>
      <c r="E406" s="6">
        <f>IF(H406=1,1.0,0)</f>
        <v/>
      </c>
      <c r="F406" s="5" t="s">
        <v>17</v>
      </c>
      <c r="G406" s="5" t="s">
        <v>17</v>
      </c>
      <c r="H406" s="8">
        <f>IF(OR(LOOKUP(A406,characters!A:A,characters!B:B)=-1, LOOKUP(A406,characters!A:A,characters!B:B)+0.1&gt;=B406),1,0)</f>
        <v/>
      </c>
    </row>
    <row r="407" spans="1:8">
      <c r="A407" s="4" t="s">
        <v>22</v>
      </c>
      <c r="B407" s="7">
        <v>1.1</v>
      </c>
      <c r="C407" s="5" t="s">
        <v>17</v>
      </c>
      <c r="D407" s="5" t="s">
        <v>17</v>
      </c>
      <c r="E407" s="6">
        <f>IF(H407=1,1.0,0)</f>
        <v/>
      </c>
      <c r="F407" s="5" t="s">
        <v>17</v>
      </c>
      <c r="G407" s="6">
        <f>IF(H407=1,1.0,0)</f>
        <v/>
      </c>
      <c r="H407" s="8">
        <f>IF(OR(LOOKUP(A407,characters!A:A,characters!B:B)=-1, LOOKUP(A407,characters!A:A,characters!B:B)+0.1&gt;=B407),1,0)</f>
        <v/>
      </c>
    </row>
    <row r="408" spans="1:8">
      <c r="A408" s="4" t="s">
        <v>63</v>
      </c>
      <c r="B408" s="7">
        <v>0.2</v>
      </c>
      <c r="C408" s="5" t="s">
        <v>17</v>
      </c>
      <c r="D408" s="6">
        <f>IF(H408=1,1.0,0)</f>
        <v/>
      </c>
      <c r="E408" s="5" t="s">
        <v>17</v>
      </c>
      <c r="F408" s="5" t="s">
        <v>17</v>
      </c>
      <c r="G408" s="5" t="s">
        <v>17</v>
      </c>
      <c r="H408" s="8">
        <f>IF(OR(LOOKUP(A408,characters!A:A,characters!B:B)=-1, LOOKUP(A408,characters!A:A,characters!B:B)+0.1&gt;=B408),1,0)</f>
        <v/>
      </c>
    </row>
    <row r="409" spans="1:8">
      <c r="A409" s="4" t="s">
        <v>23</v>
      </c>
      <c r="B409" s="7">
        <v>1.1</v>
      </c>
      <c r="C409" s="5" t="s">
        <v>17</v>
      </c>
      <c r="D409" s="6">
        <f>IF(H409=1,1.0,0)</f>
        <v/>
      </c>
      <c r="E409" s="6">
        <f>IF(H409=1,1.0,0)</f>
        <v/>
      </c>
      <c r="F409" s="5" t="s">
        <v>17</v>
      </c>
      <c r="G409" s="5" t="s">
        <v>17</v>
      </c>
      <c r="H409" s="8">
        <f>IF(OR(LOOKUP(A409,characters!A:A,characters!B:B)=-1, LOOKUP(A409,characters!A:A,characters!B:B)+0.1&gt;=B409),1,0)</f>
        <v/>
      </c>
    </row>
    <row r="410" spans="1:8">
      <c r="A410" s="4" t="s">
        <v>38</v>
      </c>
      <c r="B410" s="7">
        <v>0.4</v>
      </c>
      <c r="C410" s="5" t="s">
        <v>17</v>
      </c>
      <c r="D410" s="6">
        <f>IF(H410=1,1.0,0)</f>
        <v/>
      </c>
      <c r="E410" s="5" t="s">
        <v>17</v>
      </c>
      <c r="F410" s="5" t="s">
        <v>17</v>
      </c>
      <c r="G410" s="6">
        <f>IF(H410=1,1.0,0)</f>
        <v/>
      </c>
      <c r="H410" s="8">
        <f>IF(OR(LOOKUP(A410,characters!A:A,characters!B:B)=-1, LOOKUP(A410,characters!A:A,characters!B:B)+0.1&gt;=B410),1,0)</f>
        <v/>
      </c>
    </row>
    <row r="411" spans="1:8">
      <c r="A411" s="4" t="s">
        <v>44</v>
      </c>
      <c r="B411" s="7">
        <v>0.2</v>
      </c>
      <c r="C411" s="5" t="s">
        <v>17</v>
      </c>
      <c r="D411" s="6">
        <f>IF(H411=1,1.0,0)</f>
        <v/>
      </c>
      <c r="E411" s="5" t="s">
        <v>17</v>
      </c>
      <c r="F411" s="5" t="s">
        <v>17</v>
      </c>
      <c r="G411" s="5" t="s">
        <v>17</v>
      </c>
      <c r="H411" s="8">
        <f>IF(OR(LOOKUP(A411,characters!A:A,characters!B:B)=-1, LOOKUP(A411,characters!A:A,characters!B:B)+0.1&gt;=B411),1,0)</f>
        <v/>
      </c>
    </row>
    <row r="418" spans="1:11">
      <c r="A418" s="3" t="s">
        <v>64</v>
      </c>
    </row>
    <row r="419" spans="1:11">
      <c r="A419" s="3" t="s">
        <v>8</v>
      </c>
      <c r="B419" s="3" t="s">
        <v>9</v>
      </c>
      <c r="C419" s="3" t="s">
        <v>12</v>
      </c>
      <c r="D419" s="3" t="s">
        <v>13</v>
      </c>
      <c r="E419" s="3" t="s">
        <v>14</v>
      </c>
      <c r="F419" s="3" t="s">
        <v>10</v>
      </c>
      <c r="G419" s="3" t="s">
        <v>11</v>
      </c>
      <c r="H419" s="3" t="s">
        <v>15</v>
      </c>
      <c r="I419" s="3" t="s">
        <v>53</v>
      </c>
      <c r="J419" s="3" t="s">
        <v>54</v>
      </c>
    </row>
    <row r="420" spans="1:11">
      <c r="A420" s="4" t="s">
        <v>16</v>
      </c>
      <c r="B420" s="5" t="s">
        <v>17</v>
      </c>
      <c r="C420" s="6">
        <f>IF(SUM(K421:K424)=0,0,SUM(C421:C424)/SUM(K421:K424))</f>
        <v/>
      </c>
      <c r="D420" s="6">
        <f>IF(SUM(K421:K424)=0,0,SUM(D421:D424)/SUM(K421:K424))</f>
        <v/>
      </c>
      <c r="E420" s="6">
        <f>IF(SUM(K421:K424)=0,0,SUM(E421:E424)/SUM(K421:K424))</f>
        <v/>
      </c>
      <c r="F420" s="6">
        <f>IF(SUM(K421:K424)=0,0,SUM(F421:F424)/SUM(K421:K424))</f>
        <v/>
      </c>
      <c r="G420" s="6">
        <f>IF(SUM(K421:K424)=0,0,SUM(G421:G424)/SUM(K421:K424))</f>
        <v/>
      </c>
      <c r="H420" s="6">
        <f>IF(SUM(K421:K424)=0,0,SUM(H421:H424)/SUM(K421:K424))</f>
        <v/>
      </c>
      <c r="I420" s="6">
        <f>IF(SUM(K421:K424)=0,0,SUM(I421:I424)/SUM(K421:K424))</f>
        <v/>
      </c>
      <c r="J420" s="6">
        <f>IF(SUM(K421:K424)=0,0,SUM(J421:J424)/SUM(K421:K424))</f>
        <v/>
      </c>
    </row>
    <row r="421" spans="1:11">
      <c r="A421" s="4" t="s">
        <v>63</v>
      </c>
      <c r="B421" s="7">
        <v>0</v>
      </c>
      <c r="C421" s="6">
        <f>IF(K421=1,0.8,0)</f>
        <v/>
      </c>
      <c r="D421" s="6">
        <f>IF(K421=1,1.0,0)</f>
        <v/>
      </c>
      <c r="E421" s="6">
        <f>IF(K421=1,1.0,0)</f>
        <v/>
      </c>
      <c r="F421" s="6">
        <f>IF(K421=1,0.9,0)</f>
        <v/>
      </c>
      <c r="G421" s="6">
        <f>IF(K421=1,0.8,0)</f>
        <v/>
      </c>
      <c r="H421" s="5" t="s">
        <v>17</v>
      </c>
      <c r="I421" s="5" t="s">
        <v>17</v>
      </c>
      <c r="J421" s="5" t="s">
        <v>17</v>
      </c>
      <c r="K421" s="8">
        <f>IF(OR(LOOKUP(A421,characters!A:A,characters!B:B)=-1, LOOKUP(A421,characters!A:A,characters!B:B)+0.1&gt;=B421),1,0)</f>
        <v/>
      </c>
    </row>
    <row r="422" spans="1:11">
      <c r="A422" s="4" t="s">
        <v>37</v>
      </c>
      <c r="B422" s="7">
        <v>0.1</v>
      </c>
      <c r="C422" s="6">
        <f>IF(K422=1,0.8,0)</f>
        <v/>
      </c>
      <c r="D422" s="5" t="s">
        <v>17</v>
      </c>
      <c r="E422" s="5" t="s">
        <v>17</v>
      </c>
      <c r="F422" s="6">
        <f>IF(K422=1,0.9,0)</f>
        <v/>
      </c>
      <c r="G422" s="6">
        <f>IF(K422=1,0.8,0)</f>
        <v/>
      </c>
      <c r="H422" s="6">
        <f>IF(K422=1,1.0,0)</f>
        <v/>
      </c>
      <c r="I422" s="5" t="s">
        <v>17</v>
      </c>
      <c r="J422" s="5" t="s">
        <v>17</v>
      </c>
      <c r="K422" s="8">
        <f>IF(OR(LOOKUP(A422,characters!A:A,characters!B:B)=-1, LOOKUP(A422,characters!A:A,characters!B:B)+0.1&gt;=B422),1,0)</f>
        <v/>
      </c>
    </row>
    <row r="423" spans="1:11">
      <c r="A423" s="4" t="s">
        <v>39</v>
      </c>
      <c r="B423" s="7">
        <v>0.2</v>
      </c>
      <c r="C423" s="6">
        <f>IF(K423=1,0.8,0)</f>
        <v/>
      </c>
      <c r="D423" s="6">
        <f>IF(K423=1,1.0,0)</f>
        <v/>
      </c>
      <c r="E423" s="6">
        <f>IF(K423=1,1.0,0)</f>
        <v/>
      </c>
      <c r="F423" s="6">
        <f>IF(K423=1,1.0,0)</f>
        <v/>
      </c>
      <c r="G423" s="6">
        <f>IF(K423=1,0.9,0)</f>
        <v/>
      </c>
      <c r="H423" s="6">
        <f>IF(K423=1,1.0,0)</f>
        <v/>
      </c>
      <c r="I423" s="5" t="s">
        <v>17</v>
      </c>
      <c r="J423" s="5" t="s">
        <v>17</v>
      </c>
      <c r="K423" s="8">
        <f>IF(OR(LOOKUP(A423,characters!A:A,characters!B:B)=-1, LOOKUP(A423,characters!A:A,characters!B:B)+0.1&gt;=B423),1,0)</f>
        <v/>
      </c>
    </row>
    <row r="424" spans="1:11">
      <c r="A424" s="4" t="s">
        <v>59</v>
      </c>
      <c r="B424" s="7">
        <v>0.3</v>
      </c>
      <c r="C424" s="6">
        <f>IF(K424=1,0.7,0)</f>
        <v/>
      </c>
      <c r="D424" s="6">
        <f>IF(K424=1,0.9,0)</f>
        <v/>
      </c>
      <c r="E424" s="6">
        <f>IF(K424=1,0.9,0)</f>
        <v/>
      </c>
      <c r="F424" s="5" t="s">
        <v>17</v>
      </c>
      <c r="G424" s="5" t="s">
        <v>17</v>
      </c>
      <c r="H424" s="5" t="s">
        <v>17</v>
      </c>
      <c r="I424" s="6">
        <f>IF(K424=1,1.0,0)</f>
        <v/>
      </c>
      <c r="J424" s="6">
        <f>IF(K424=1,0.8,0)</f>
        <v/>
      </c>
      <c r="K424" s="8">
        <f>IF(OR(LOOKUP(A424,characters!A:A,characters!B:B)=-1, LOOKUP(A424,characters!A:A,characters!B:B)+0.1&gt;=B424),1,0)</f>
        <v/>
      </c>
    </row>
    <row r="426" spans="1:11">
      <c r="A426" s="3" t="s">
        <v>26</v>
      </c>
      <c r="B426" s="3" t="s">
        <v>9</v>
      </c>
      <c r="C426" s="3" t="s">
        <v>53</v>
      </c>
      <c r="D426" s="3" t="s">
        <v>14</v>
      </c>
      <c r="E426" s="3" t="s">
        <v>15</v>
      </c>
      <c r="F426" s="3" t="s">
        <v>13</v>
      </c>
    </row>
    <row r="427" spans="1:11">
      <c r="A427" s="4" t="s">
        <v>16</v>
      </c>
      <c r="B427" s="5" t="s">
        <v>17</v>
      </c>
      <c r="C427" s="6">
        <f>IF(SUM(G428:G431)=0,0,SUM(C428:C431)/SUM(G428:G431))</f>
        <v/>
      </c>
      <c r="D427" s="6">
        <f>IF(SUM(G428:G431)=0,0,SUM(D428:D431)/SUM(G428:G431))</f>
        <v/>
      </c>
      <c r="E427" s="6">
        <f>IF(SUM(G428:G431)=0,0,SUM(E428:E431)/SUM(G428:G431))</f>
        <v/>
      </c>
      <c r="F427" s="6">
        <f>IF(SUM(G428:G431)=0,0,SUM(F428:F431)/SUM(G428:G431))</f>
        <v/>
      </c>
    </row>
    <row r="428" spans="1:11">
      <c r="A428" s="4" t="s">
        <v>59</v>
      </c>
      <c r="B428" s="7">
        <v>0.3</v>
      </c>
      <c r="C428" s="6">
        <f>IF(G428=1,1.0,0)</f>
        <v/>
      </c>
      <c r="D428" s="6">
        <f>IF(G428=1,0.9,0)</f>
        <v/>
      </c>
      <c r="E428" s="5" t="s">
        <v>17</v>
      </c>
      <c r="F428" s="5" t="s">
        <v>17</v>
      </c>
      <c r="G428" s="8">
        <f>IF(OR(LOOKUP(A428,characters!A:A,characters!B:B)=-1, LOOKUP(A428,characters!A:A,characters!B:B)+0.1&gt;=B428),1,0)</f>
        <v/>
      </c>
    </row>
    <row r="429" spans="1:11">
      <c r="A429" s="4" t="s">
        <v>37</v>
      </c>
      <c r="B429" s="7">
        <v>0.1</v>
      </c>
      <c r="C429" s="5" t="s">
        <v>17</v>
      </c>
      <c r="D429" s="5" t="s">
        <v>17</v>
      </c>
      <c r="E429" s="6">
        <f>IF(G429=1,1.0,0)</f>
        <v/>
      </c>
      <c r="F429" s="5" t="s">
        <v>17</v>
      </c>
      <c r="G429" s="8">
        <f>IF(OR(LOOKUP(A429,characters!A:A,characters!B:B)=-1, LOOKUP(A429,characters!A:A,characters!B:B)+0.1&gt;=B429),1,0)</f>
        <v/>
      </c>
    </row>
    <row r="430" spans="1:11">
      <c r="A430" s="4" t="s">
        <v>39</v>
      </c>
      <c r="B430" s="7">
        <v>0.2</v>
      </c>
      <c r="C430" s="5" t="s">
        <v>17</v>
      </c>
      <c r="D430" s="6">
        <f>IF(G430=1,0.99,0)</f>
        <v/>
      </c>
      <c r="E430" s="6">
        <f>IF(G430=1,0.99,0)</f>
        <v/>
      </c>
      <c r="F430" s="6">
        <f>IF(G430=1,1.0,0)</f>
        <v/>
      </c>
      <c r="G430" s="8">
        <f>IF(OR(LOOKUP(A430,characters!A:A,characters!B:B)=-1, LOOKUP(A430,characters!A:A,characters!B:B)+0.1&gt;=B430),1,0)</f>
        <v/>
      </c>
    </row>
    <row r="431" spans="1:11">
      <c r="A431" s="4" t="s">
        <v>63</v>
      </c>
      <c r="B431" s="7">
        <v>0</v>
      </c>
      <c r="C431" s="5" t="s">
        <v>17</v>
      </c>
      <c r="D431" s="6">
        <f>IF(G431=1,1.0,0)</f>
        <v/>
      </c>
      <c r="E431" s="5" t="s">
        <v>17</v>
      </c>
      <c r="F431" s="6">
        <f>IF(G431=1,1.0,0)</f>
        <v/>
      </c>
      <c r="G431" s="8">
        <f>IF(OR(LOOKUP(A431,characters!A:A,characters!B:B)=-1, LOOKUP(A431,characters!A:A,characters!B:B)+0.1&gt;=B431),1,0)</f>
        <v/>
      </c>
    </row>
    <row r="433" spans="1:8">
      <c r="A433" s="3" t="s">
        <v>27</v>
      </c>
      <c r="B433" s="3" t="s">
        <v>9</v>
      </c>
      <c r="C433" s="3" t="s">
        <v>53</v>
      </c>
      <c r="D433" s="3" t="s">
        <v>41</v>
      </c>
      <c r="E433" s="3" t="s">
        <v>31</v>
      </c>
      <c r="F433" s="3" t="s">
        <v>10</v>
      </c>
    </row>
    <row r="434" spans="1:8">
      <c r="A434" s="4" t="s">
        <v>16</v>
      </c>
      <c r="B434" s="5" t="s">
        <v>17</v>
      </c>
      <c r="C434" s="6">
        <f>IF(SUM(G435:G438)=0,0,SUM(C435:C438)/SUM(G435:G438))</f>
        <v/>
      </c>
      <c r="D434" s="6">
        <f>IF(SUM(G435:G438)=0,0,SUM(D435:D438)/SUM(G435:G438))</f>
        <v/>
      </c>
      <c r="E434" s="6">
        <f>IF(SUM(G435:G438)=0,0,SUM(E435:E438)/SUM(G435:G438))</f>
        <v/>
      </c>
      <c r="F434" s="6">
        <f>IF(SUM(G435:G438)=0,0,SUM(F435:F438)/SUM(G435:G438))</f>
        <v/>
      </c>
    </row>
    <row r="435" spans="1:8">
      <c r="A435" s="4" t="s">
        <v>59</v>
      </c>
      <c r="B435" s="7">
        <v>0.3</v>
      </c>
      <c r="C435" s="6">
        <f>IF(G435=1,1.0,0)</f>
        <v/>
      </c>
      <c r="D435" s="6">
        <f>IF(G435=1,1.0,0)</f>
        <v/>
      </c>
      <c r="E435" s="5" t="s">
        <v>17</v>
      </c>
      <c r="F435" s="5" t="s">
        <v>17</v>
      </c>
      <c r="G435" s="8">
        <f>IF(OR(LOOKUP(A435,characters!A:A,characters!B:B)=-1, LOOKUP(A435,characters!A:A,characters!B:B)+0.1&gt;=B435),1,0)</f>
        <v/>
      </c>
    </row>
    <row r="436" spans="1:8">
      <c r="A436" s="4" t="s">
        <v>37</v>
      </c>
      <c r="B436" s="7">
        <v>0.1</v>
      </c>
      <c r="C436" s="5" t="s">
        <v>17</v>
      </c>
      <c r="D436" s="6">
        <f>IF(G436=1,1.0,0)</f>
        <v/>
      </c>
      <c r="E436" s="6">
        <f>IF(G436=1,0.99,0)</f>
        <v/>
      </c>
      <c r="F436" s="5" t="s">
        <v>17</v>
      </c>
      <c r="G436" s="8">
        <f>IF(OR(LOOKUP(A436,characters!A:A,characters!B:B)=-1, LOOKUP(A436,characters!A:A,characters!B:B)+0.1&gt;=B436),1,0)</f>
        <v/>
      </c>
    </row>
    <row r="437" spans="1:8">
      <c r="A437" s="4" t="s">
        <v>39</v>
      </c>
      <c r="B437" s="7">
        <v>0.2</v>
      </c>
      <c r="C437" s="5" t="s">
        <v>17</v>
      </c>
      <c r="D437" s="6">
        <f>IF(G437=1,1.0,0)</f>
        <v/>
      </c>
      <c r="E437" s="6">
        <f>IF(G437=1,1.0,0)</f>
        <v/>
      </c>
      <c r="F437" s="6">
        <f>IF(G437=1,1.0,0)</f>
        <v/>
      </c>
      <c r="G437" s="8">
        <f>IF(OR(LOOKUP(A437,characters!A:A,characters!B:B)=-1, LOOKUP(A437,characters!A:A,characters!B:B)+0.1&gt;=B437),1,0)</f>
        <v/>
      </c>
    </row>
    <row r="438" spans="1:8">
      <c r="A438" s="4" t="s">
        <v>63</v>
      </c>
      <c r="B438" s="7">
        <v>0</v>
      </c>
      <c r="C438" s="5" t="s">
        <v>17</v>
      </c>
      <c r="D438" s="6">
        <f>IF(G438=1,1.0,0)</f>
        <v/>
      </c>
      <c r="E438" s="5" t="s">
        <v>17</v>
      </c>
      <c r="F438" s="6">
        <f>IF(G438=1,0.9,0)</f>
        <v/>
      </c>
      <c r="G438" s="8">
        <f>IF(OR(LOOKUP(A438,characters!A:A,characters!B:B)=-1, LOOKUP(A438,characters!A:A,characters!B:B)+0.1&gt;=B438),1,0)</f>
        <v/>
      </c>
    </row>
    <row r="440" spans="1:8">
      <c r="A440" s="3" t="s">
        <v>32</v>
      </c>
      <c r="B440" s="3" t="s">
        <v>9</v>
      </c>
      <c r="C440" s="3" t="s">
        <v>53</v>
      </c>
      <c r="D440" s="3" t="s">
        <v>33</v>
      </c>
      <c r="E440" s="3" t="s">
        <v>10</v>
      </c>
      <c r="F440" s="3" t="s">
        <v>34</v>
      </c>
      <c r="G440" s="3" t="s">
        <v>42</v>
      </c>
    </row>
    <row r="441" spans="1:8">
      <c r="A441" s="4" t="s">
        <v>16</v>
      </c>
      <c r="B441" s="5" t="s">
        <v>17</v>
      </c>
      <c r="C441" s="6">
        <f>IF(SUM(H442:H445)=0,0,SUM(C442:C445)/SUM(H442:H445))</f>
        <v/>
      </c>
      <c r="D441" s="6">
        <f>IF(SUM(H442:H445)=0,0,SUM(D442:D445)/SUM(H442:H445))</f>
        <v/>
      </c>
      <c r="E441" s="6">
        <f>IF(SUM(H442:H445)=0,0,SUM(E442:E445)/SUM(H442:H445))</f>
        <v/>
      </c>
      <c r="F441" s="6">
        <f>IF(SUM(H442:H445)=0,0,SUM(F442:F445)/SUM(H442:H445))</f>
        <v/>
      </c>
      <c r="G441" s="6">
        <f>IF(SUM(H442:H445)=0,0,SUM(G442:G445)/SUM(H442:H445))</f>
        <v/>
      </c>
    </row>
    <row r="442" spans="1:8">
      <c r="A442" s="4" t="s">
        <v>59</v>
      </c>
      <c r="B442" s="7">
        <v>0.3</v>
      </c>
      <c r="C442" s="6">
        <f>IF(H442=1,1.0,0)</f>
        <v/>
      </c>
      <c r="D442" s="6">
        <f>IF(H442=1,1.0,0)</f>
        <v/>
      </c>
      <c r="E442" s="5" t="s">
        <v>17</v>
      </c>
      <c r="F442" s="5" t="s">
        <v>17</v>
      </c>
      <c r="G442" s="5" t="s">
        <v>17</v>
      </c>
      <c r="H442" s="8">
        <f>IF(OR(LOOKUP(A442,characters!A:A,characters!B:B)=-1, LOOKUP(A442,characters!A:A,characters!B:B)+0.1&gt;=B442),1,0)</f>
        <v/>
      </c>
    </row>
    <row r="443" spans="1:8">
      <c r="A443" s="4" t="s">
        <v>37</v>
      </c>
      <c r="B443" s="7">
        <v>0.1</v>
      </c>
      <c r="C443" s="5" t="s">
        <v>17</v>
      </c>
      <c r="D443" s="5" t="s">
        <v>17</v>
      </c>
      <c r="E443" s="6">
        <f>IF(H443=1,1.0,0)</f>
        <v/>
      </c>
      <c r="F443" s="6">
        <f>IF(H443=1,1.0,0)</f>
        <v/>
      </c>
      <c r="G443" s="5" t="s">
        <v>17</v>
      </c>
      <c r="H443" s="8">
        <f>IF(OR(LOOKUP(A443,characters!A:A,characters!B:B)=-1, LOOKUP(A443,characters!A:A,characters!B:B)+0.1&gt;=B443),1,0)</f>
        <v/>
      </c>
    </row>
    <row r="444" spans="1:8">
      <c r="A444" s="4" t="s">
        <v>39</v>
      </c>
      <c r="B444" s="7">
        <v>0.2</v>
      </c>
      <c r="C444" s="5" t="s">
        <v>17</v>
      </c>
      <c r="D444" s="5" t="s">
        <v>17</v>
      </c>
      <c r="E444" s="5" t="s">
        <v>17</v>
      </c>
      <c r="F444" s="5" t="s">
        <v>17</v>
      </c>
      <c r="G444" s="6">
        <f>IF(H444=1,1.0,0)</f>
        <v/>
      </c>
      <c r="H444" s="8">
        <f>IF(OR(LOOKUP(A444,characters!A:A,characters!B:B)=-1, LOOKUP(A444,characters!A:A,characters!B:B)+0.1&gt;=B444),1,0)</f>
        <v/>
      </c>
    </row>
    <row r="445" spans="1:8">
      <c r="A445" s="4" t="s">
        <v>63</v>
      </c>
      <c r="B445" s="7">
        <v>0</v>
      </c>
      <c r="C445" s="5" t="s">
        <v>17</v>
      </c>
      <c r="D445" s="5" t="s">
        <v>17</v>
      </c>
      <c r="E445" s="6">
        <f>IF(H445=1,1.0,0)</f>
        <v/>
      </c>
      <c r="F445" s="5" t="s">
        <v>17</v>
      </c>
      <c r="G445" s="5" t="s">
        <v>17</v>
      </c>
      <c r="H445" s="8">
        <f>IF(OR(LOOKUP(A445,characters!A:A,characters!B:B)=-1, LOOKUP(A445,characters!A:A,characters!B:B)+0.1&gt;=B445),1,0)</f>
        <v/>
      </c>
    </row>
    <row r="452" spans="1:9">
      <c r="A452" s="3" t="s">
        <v>65</v>
      </c>
    </row>
    <row r="453" spans="1:9">
      <c r="A453" s="3" t="s">
        <v>8</v>
      </c>
      <c r="B453" s="3" t="s">
        <v>9</v>
      </c>
      <c r="C453" s="3" t="s">
        <v>13</v>
      </c>
      <c r="D453" s="3" t="s">
        <v>14</v>
      </c>
      <c r="E453" s="3" t="s">
        <v>10</v>
      </c>
      <c r="F453" s="3" t="s">
        <v>12</v>
      </c>
      <c r="G453" s="3" t="s">
        <v>11</v>
      </c>
      <c r="H453" s="3" t="s">
        <v>15</v>
      </c>
    </row>
    <row r="454" spans="1:9">
      <c r="A454" s="4" t="s">
        <v>16</v>
      </c>
      <c r="B454" s="5" t="s">
        <v>17</v>
      </c>
      <c r="C454" s="6">
        <f>IF(SUM(I455:I458)=0,0,SUM(C455:C458)/SUM(I455:I458))</f>
        <v/>
      </c>
      <c r="D454" s="6">
        <f>IF(SUM(I455:I458)=0,0,SUM(D455:D458)/SUM(I455:I458))</f>
        <v/>
      </c>
      <c r="E454" s="6">
        <f>IF(SUM(I455:I458)=0,0,SUM(E455:E458)/SUM(I455:I458))</f>
        <v/>
      </c>
      <c r="F454" s="6">
        <f>IF(SUM(I455:I458)=0,0,SUM(F455:F458)/SUM(I455:I458))</f>
        <v/>
      </c>
      <c r="G454" s="6">
        <f>IF(SUM(I455:I458)=0,0,SUM(G455:G458)/SUM(I455:I458))</f>
        <v/>
      </c>
      <c r="H454" s="6">
        <f>IF(SUM(I455:I458)=0,0,SUM(H455:H458)/SUM(I455:I458))</f>
        <v/>
      </c>
    </row>
    <row r="455" spans="1:9">
      <c r="A455" s="4" t="s">
        <v>25</v>
      </c>
      <c r="B455" s="7">
        <v>0.1</v>
      </c>
      <c r="C455" s="6">
        <f>IF(I455=1,1.0,0)</f>
        <v/>
      </c>
      <c r="D455" s="6">
        <f>IF(I455=1,0.99,0)</f>
        <v/>
      </c>
      <c r="E455" s="6">
        <f>IF(I455=1,0.99,0)</f>
        <v/>
      </c>
      <c r="F455" s="6">
        <f>IF(I455=1,0.89,0)</f>
        <v/>
      </c>
      <c r="G455" s="6">
        <f>IF(I455=1,0.89,0)</f>
        <v/>
      </c>
      <c r="H455" s="6">
        <f>IF(I455=1,0.89,0)</f>
        <v/>
      </c>
      <c r="I455" s="8">
        <f>IF(OR(LOOKUP(A455,characters!A:A,characters!B:B)=-1, LOOKUP(A455,characters!A:A,characters!B:B)+0.1&gt;=B455),1,0)</f>
        <v/>
      </c>
    </row>
    <row r="456" spans="1:9">
      <c r="A456" s="4" t="s">
        <v>62</v>
      </c>
      <c r="B456" s="7">
        <v>0.3</v>
      </c>
      <c r="C456" s="6">
        <f>IF(I456=1,1.0,0)</f>
        <v/>
      </c>
      <c r="D456" s="6">
        <f>IF(I456=1,1.0,0)</f>
        <v/>
      </c>
      <c r="E456" s="6">
        <f>IF(I456=1,0.9,0)</f>
        <v/>
      </c>
      <c r="F456" s="6">
        <f>IF(I456=1,0.8,0)</f>
        <v/>
      </c>
      <c r="G456" s="6">
        <f>IF(I456=1,0.8,0)</f>
        <v/>
      </c>
      <c r="H456" s="5" t="s">
        <v>17</v>
      </c>
      <c r="I456" s="8">
        <f>IF(OR(LOOKUP(A456,characters!A:A,characters!B:B)=-1, LOOKUP(A456,characters!A:A,characters!B:B)+0.1&gt;=B456),1,0)</f>
        <v/>
      </c>
    </row>
    <row r="457" spans="1:9">
      <c r="A457" s="4" t="s">
        <v>57</v>
      </c>
      <c r="B457" s="7">
        <v>0.3</v>
      </c>
      <c r="C457" s="6">
        <f>IF(I457=1,1.0,0)</f>
        <v/>
      </c>
      <c r="D457" s="6">
        <f>IF(I457=1,1.0,0)</f>
        <v/>
      </c>
      <c r="E457" s="6">
        <f>IF(I457=1,0.9,0)</f>
        <v/>
      </c>
      <c r="F457" s="6">
        <f>IF(I457=1,0.8,0)</f>
        <v/>
      </c>
      <c r="G457" s="6">
        <f>IF(I457=1,0.8,0)</f>
        <v/>
      </c>
      <c r="H457" s="5" t="s">
        <v>17</v>
      </c>
      <c r="I457" s="8">
        <f>IF(OR(LOOKUP(A457,characters!A:A,characters!B:B)=-1, LOOKUP(A457,characters!A:A,characters!B:B)+0.1&gt;=B457),1,0)</f>
        <v/>
      </c>
    </row>
    <row r="458" spans="1:9">
      <c r="A458" s="4" t="s">
        <v>23</v>
      </c>
      <c r="B458" s="7">
        <v>0.4</v>
      </c>
      <c r="C458" s="6">
        <f>IF(I458=1,1.0,0)</f>
        <v/>
      </c>
      <c r="D458" s="6">
        <f>IF(I458=1,1.0,0)</f>
        <v/>
      </c>
      <c r="E458" s="6">
        <f>IF(I458=1,1.0,0)</f>
        <v/>
      </c>
      <c r="F458" s="6">
        <f>IF(I458=1,0.9,0)</f>
        <v/>
      </c>
      <c r="G458" s="6">
        <f>IF(I458=1,0.9,0)</f>
        <v/>
      </c>
      <c r="H458" s="5" t="s">
        <v>17</v>
      </c>
      <c r="I458" s="8">
        <f>IF(OR(LOOKUP(A458,characters!A:A,characters!B:B)=-1, LOOKUP(A458,characters!A:A,characters!B:B)+0.1&gt;=B458),1,0)</f>
        <v/>
      </c>
    </row>
    <row r="460" spans="1:9">
      <c r="A460" s="3" t="s">
        <v>26</v>
      </c>
      <c r="B460" s="3" t="s">
        <v>9</v>
      </c>
      <c r="C460" s="3" t="s">
        <v>14</v>
      </c>
      <c r="D460" s="3" t="s">
        <v>13</v>
      </c>
      <c r="E460" s="3" t="s">
        <v>10</v>
      </c>
    </row>
    <row r="461" spans="1:9">
      <c r="A461" s="4" t="s">
        <v>16</v>
      </c>
      <c r="B461" s="5" t="s">
        <v>17</v>
      </c>
      <c r="C461" s="6">
        <f>IF(SUM(F462:F465)=0,0,SUM(C462:C465)/SUM(F462:F465))</f>
        <v/>
      </c>
      <c r="D461" s="6">
        <f>IF(SUM(F462:F465)=0,0,SUM(D462:D465)/SUM(F462:F465))</f>
        <v/>
      </c>
      <c r="E461" s="6">
        <f>IF(SUM(F462:F465)=0,0,SUM(E462:E465)/SUM(F462:F465))</f>
        <v/>
      </c>
    </row>
    <row r="462" spans="1:9">
      <c r="A462" s="4" t="s">
        <v>62</v>
      </c>
      <c r="B462" s="7">
        <v>0.3</v>
      </c>
      <c r="C462" s="6">
        <f>IF(F462=1,1.0,0)</f>
        <v/>
      </c>
      <c r="D462" s="6">
        <f>IF(F462=1,1.0,0)</f>
        <v/>
      </c>
      <c r="E462" s="5" t="s">
        <v>17</v>
      </c>
      <c r="F462" s="8">
        <f>IF(OR(LOOKUP(A462,characters!A:A,characters!B:B)=-1, LOOKUP(A462,characters!A:A,characters!B:B)+0.1&gt;=B462),1,0)</f>
        <v/>
      </c>
    </row>
    <row r="463" spans="1:9">
      <c r="A463" s="4" t="s">
        <v>57</v>
      </c>
      <c r="B463" s="7">
        <v>0.3</v>
      </c>
      <c r="C463" s="6">
        <f>IF(F463=1,0.99,0)</f>
        <v/>
      </c>
      <c r="D463" s="6">
        <f>IF(F463=1,1.0,0)</f>
        <v/>
      </c>
      <c r="E463" s="5" t="s">
        <v>17</v>
      </c>
      <c r="F463" s="8">
        <f>IF(OR(LOOKUP(A463,characters!A:A,characters!B:B)=-1, LOOKUP(A463,characters!A:A,characters!B:B)+0.1&gt;=B463),1,0)</f>
        <v/>
      </c>
    </row>
    <row r="464" spans="1:9">
      <c r="A464" s="4" t="s">
        <v>25</v>
      </c>
      <c r="B464" s="7">
        <v>0.1</v>
      </c>
      <c r="C464" s="5" t="s">
        <v>17</v>
      </c>
      <c r="D464" s="6">
        <f>IF(F464=1,1.0,0)</f>
        <v/>
      </c>
      <c r="E464" s="6">
        <f>IF(F464=1,0.99,0)</f>
        <v/>
      </c>
      <c r="F464" s="8">
        <f>IF(OR(LOOKUP(A464,characters!A:A,characters!B:B)=-1, LOOKUP(A464,characters!A:A,characters!B:B)+0.1&gt;=B464),1,0)</f>
        <v/>
      </c>
    </row>
    <row r="465" spans="1:6">
      <c r="A465" s="4" t="s">
        <v>23</v>
      </c>
      <c r="B465" s="7">
        <v>0.4</v>
      </c>
      <c r="C465" s="5" t="s">
        <v>17</v>
      </c>
      <c r="D465" s="6">
        <f>IF(F465=1,0.9,0)</f>
        <v/>
      </c>
      <c r="E465" s="6">
        <f>IF(F465=1,1.0,0)</f>
        <v/>
      </c>
      <c r="F465" s="8">
        <f>IF(OR(LOOKUP(A465,characters!A:A,characters!B:B)=-1, LOOKUP(A465,characters!A:A,characters!B:B)+0.1&gt;=B465),1,0)</f>
        <v/>
      </c>
    </row>
    <row r="467" spans="1:6">
      <c r="A467" s="3" t="s">
        <v>27</v>
      </c>
      <c r="B467" s="3" t="s">
        <v>9</v>
      </c>
      <c r="C467" s="3" t="s">
        <v>29</v>
      </c>
      <c r="D467" s="3" t="s">
        <v>10</v>
      </c>
    </row>
    <row r="468" spans="1:6">
      <c r="A468" s="4" t="s">
        <v>16</v>
      </c>
      <c r="B468" s="5" t="s">
        <v>17</v>
      </c>
      <c r="C468" s="6">
        <f>IF(SUM(E469:E472)=0,0,SUM(C469:C472)/SUM(E469:E472))</f>
        <v/>
      </c>
      <c r="D468" s="6">
        <f>IF(SUM(E469:E472)=0,0,SUM(D469:D472)/SUM(E469:E472))</f>
        <v/>
      </c>
    </row>
    <row r="469" spans="1:6">
      <c r="A469" s="4" t="s">
        <v>62</v>
      </c>
      <c r="B469" s="7">
        <v>0.3</v>
      </c>
      <c r="C469" s="6">
        <f>IF(E469=1,1.0,0)</f>
        <v/>
      </c>
      <c r="D469" s="6">
        <f>IF(E469=1,0.9,0)</f>
        <v/>
      </c>
      <c r="E469" s="8">
        <f>IF(OR(LOOKUP(A469,characters!A:A,characters!B:B)=-1, LOOKUP(A469,characters!A:A,characters!B:B)+0.1&gt;=B469),1,0)</f>
        <v/>
      </c>
    </row>
    <row r="470" spans="1:6">
      <c r="A470" s="4" t="s">
        <v>57</v>
      </c>
      <c r="B470" s="7">
        <v>0.3</v>
      </c>
      <c r="C470" s="6">
        <f>IF(E470=1,1.0,0)</f>
        <v/>
      </c>
      <c r="D470" s="5" t="s">
        <v>17</v>
      </c>
      <c r="E470" s="8">
        <f>IF(OR(LOOKUP(A470,characters!A:A,characters!B:B)=-1, LOOKUP(A470,characters!A:A,characters!B:B)+0.1&gt;=B470),1,0)</f>
        <v/>
      </c>
    </row>
    <row r="471" spans="1:6">
      <c r="A471" s="4" t="s">
        <v>25</v>
      </c>
      <c r="B471" s="7">
        <v>0.1</v>
      </c>
      <c r="C471" s="6">
        <f>IF(E471=1,1.0,0)</f>
        <v/>
      </c>
      <c r="D471" s="6">
        <f>IF(E471=1,1.0,0)</f>
        <v/>
      </c>
      <c r="E471" s="8">
        <f>IF(OR(LOOKUP(A471,characters!A:A,characters!B:B)=-1, LOOKUP(A471,characters!A:A,characters!B:B)+0.1&gt;=B471),1,0)</f>
        <v/>
      </c>
    </row>
    <row r="472" spans="1:6">
      <c r="A472" s="4" t="s">
        <v>23</v>
      </c>
      <c r="B472" s="7">
        <v>0.4</v>
      </c>
      <c r="C472" s="6">
        <f>IF(E472=1,0.9,0)</f>
        <v/>
      </c>
      <c r="D472" s="6">
        <f>IF(E472=1,1.0,0)</f>
        <v/>
      </c>
      <c r="E472" s="8">
        <f>IF(OR(LOOKUP(A472,characters!A:A,characters!B:B)=-1, LOOKUP(A472,characters!A:A,characters!B:B)+0.1&gt;=B472),1,0)</f>
        <v/>
      </c>
    </row>
    <row r="474" spans="1:6">
      <c r="A474" s="3" t="s">
        <v>32</v>
      </c>
      <c r="B474" s="3" t="s">
        <v>9</v>
      </c>
      <c r="C474" s="3" t="s">
        <v>10</v>
      </c>
      <c r="D474" s="3" t="s">
        <v>42</v>
      </c>
      <c r="E474" s="3" t="s">
        <v>33</v>
      </c>
    </row>
    <row r="475" spans="1:6">
      <c r="A475" s="4" t="s">
        <v>16</v>
      </c>
      <c r="B475" s="5" t="s">
        <v>17</v>
      </c>
      <c r="C475" s="6">
        <f>IF(SUM(F476:F479)=0,0,SUM(C476:C479)/SUM(F476:F479))</f>
        <v/>
      </c>
      <c r="D475" s="6">
        <f>IF(SUM(F476:F479)=0,0,SUM(D476:D479)/SUM(F476:F479))</f>
        <v/>
      </c>
      <c r="E475" s="6">
        <f>IF(SUM(F476:F479)=0,0,SUM(E476:E479)/SUM(F476:F479))</f>
        <v/>
      </c>
    </row>
    <row r="476" spans="1:6">
      <c r="A476" s="4" t="s">
        <v>62</v>
      </c>
      <c r="B476" s="7">
        <v>0.3</v>
      </c>
      <c r="C476" s="6">
        <f>IF(F476=1,1.0,0)</f>
        <v/>
      </c>
      <c r="D476" s="5" t="s">
        <v>17</v>
      </c>
      <c r="E476" s="5" t="s">
        <v>17</v>
      </c>
      <c r="F476" s="8">
        <f>IF(OR(LOOKUP(A476,characters!A:A,characters!B:B)=-1, LOOKUP(A476,characters!A:A,characters!B:B)+0.1&gt;=B476),1,0)</f>
        <v/>
      </c>
    </row>
    <row r="477" spans="1:6">
      <c r="A477" s="4" t="s">
        <v>57</v>
      </c>
      <c r="B477" s="7">
        <v>0.3</v>
      </c>
      <c r="C477" s="5" t="s">
        <v>17</v>
      </c>
      <c r="D477" s="6">
        <f>IF(F477=1,1.0,0)</f>
        <v/>
      </c>
      <c r="E477" s="5" t="s">
        <v>17</v>
      </c>
      <c r="F477" s="8">
        <f>IF(OR(LOOKUP(A477,characters!A:A,characters!B:B)=-1, LOOKUP(A477,characters!A:A,characters!B:B)+0.1&gt;=B477),1,0)</f>
        <v/>
      </c>
    </row>
    <row r="478" spans="1:6">
      <c r="A478" s="4" t="s">
        <v>25</v>
      </c>
      <c r="B478" s="7">
        <v>0.1</v>
      </c>
      <c r="C478" s="6">
        <f>IF(F478=1,1.0,0)</f>
        <v/>
      </c>
      <c r="D478" s="5" t="s">
        <v>17</v>
      </c>
      <c r="E478" s="5" t="s">
        <v>17</v>
      </c>
      <c r="F478" s="8">
        <f>IF(OR(LOOKUP(A478,characters!A:A,characters!B:B)=-1, LOOKUP(A478,characters!A:A,characters!B:B)+0.1&gt;=B478),1,0)</f>
        <v/>
      </c>
    </row>
    <row r="479" spans="1:6">
      <c r="A479" s="4" t="s">
        <v>23</v>
      </c>
      <c r="B479" s="7">
        <v>0.4</v>
      </c>
      <c r="C479" s="6">
        <f>IF(F479=1,1.0,0)</f>
        <v/>
      </c>
      <c r="D479" s="5" t="s">
        <v>17</v>
      </c>
      <c r="E479" s="6">
        <f>IF(F479=1,1.0,0)</f>
        <v/>
      </c>
      <c r="F479" s="8">
        <f>IF(OR(LOOKUP(A479,characters!A:A,characters!B:B)=-1, LOOKUP(A479,characters!A:A,characters!B:B)+0.1&gt;=B479),1,0)</f>
        <v/>
      </c>
    </row>
    <row r="486" spans="1:11">
      <c r="A486" s="3" t="s">
        <v>66</v>
      </c>
    </row>
    <row r="487" spans="1:11">
      <c r="A487" s="3" t="s">
        <v>8</v>
      </c>
      <c r="B487" s="3" t="s">
        <v>9</v>
      </c>
      <c r="C487" s="3" t="s">
        <v>12</v>
      </c>
      <c r="D487" s="3" t="s">
        <v>13</v>
      </c>
      <c r="E487" s="3" t="s">
        <v>14</v>
      </c>
      <c r="F487" s="3" t="s">
        <v>10</v>
      </c>
      <c r="G487" s="3" t="s">
        <v>15</v>
      </c>
      <c r="H487" s="3" t="s">
        <v>11</v>
      </c>
      <c r="I487" s="3" t="s">
        <v>53</v>
      </c>
      <c r="J487" s="3" t="s">
        <v>54</v>
      </c>
    </row>
    <row r="488" spans="1:11">
      <c r="A488" s="4" t="s">
        <v>16</v>
      </c>
      <c r="B488" s="5" t="s">
        <v>17</v>
      </c>
      <c r="C488" s="6">
        <f>IF(SUM(K489:K492)=0,0,SUM(C489:C492)/SUM(K489:K492))</f>
        <v/>
      </c>
      <c r="D488" s="6">
        <f>IF(SUM(K489:K492)=0,0,SUM(D489:D492)/SUM(K489:K492))</f>
        <v/>
      </c>
      <c r="E488" s="6">
        <f>IF(SUM(K489:K492)=0,0,SUM(E489:E492)/SUM(K489:K492))</f>
        <v/>
      </c>
      <c r="F488" s="6">
        <f>IF(SUM(K489:K492)=0,0,SUM(F489:F492)/SUM(K489:K492))</f>
        <v/>
      </c>
      <c r="G488" s="6">
        <f>IF(SUM(K489:K492)=0,0,SUM(G489:G492)/SUM(K489:K492))</f>
        <v/>
      </c>
      <c r="H488" s="6">
        <f>IF(SUM(K489:K492)=0,0,SUM(H489:H492)/SUM(K489:K492))</f>
        <v/>
      </c>
      <c r="I488" s="6">
        <f>IF(SUM(K489:K492)=0,0,SUM(I489:I492)/SUM(K489:K492))</f>
        <v/>
      </c>
      <c r="J488" s="6">
        <f>IF(SUM(K489:K492)=0,0,SUM(J489:J492)/SUM(K489:K492))</f>
        <v/>
      </c>
    </row>
    <row r="489" spans="1:11">
      <c r="A489" s="4" t="s">
        <v>58</v>
      </c>
      <c r="B489" s="7">
        <v>0</v>
      </c>
      <c r="C489" s="6">
        <f>IF(K489=1,0.8,0)</f>
        <v/>
      </c>
      <c r="D489" s="6">
        <f>IF(K489=1,1.0,0)</f>
        <v/>
      </c>
      <c r="E489" s="6">
        <f>IF(K489=1,1.0,0)</f>
        <v/>
      </c>
      <c r="F489" s="6">
        <f>IF(K489=1,0.9,0)</f>
        <v/>
      </c>
      <c r="G489" s="6">
        <f>IF(K489=1,1.0,0)</f>
        <v/>
      </c>
      <c r="H489" s="6">
        <f>IF(K489=1,0.8,0)</f>
        <v/>
      </c>
      <c r="I489" s="5" t="s">
        <v>17</v>
      </c>
      <c r="J489" s="5" t="s">
        <v>17</v>
      </c>
      <c r="K489" s="8">
        <f>IF(OR(LOOKUP(A489,characters!A:A,characters!B:B)=-1, LOOKUP(A489,characters!A:A,characters!B:B)+0.1&gt;=B489),1,0)</f>
        <v/>
      </c>
    </row>
    <row r="490" spans="1:11">
      <c r="A490" s="4" t="s">
        <v>59</v>
      </c>
      <c r="B490" s="7">
        <v>1</v>
      </c>
      <c r="C490" s="6">
        <f>IF(K490=1,0.7,0)</f>
        <v/>
      </c>
      <c r="D490" s="6">
        <f>IF(K490=1,0.9,0)</f>
        <v/>
      </c>
      <c r="E490" s="6">
        <f>IF(K490=1,0.9,0)</f>
        <v/>
      </c>
      <c r="F490" s="5" t="s">
        <v>17</v>
      </c>
      <c r="G490" s="5" t="s">
        <v>17</v>
      </c>
      <c r="H490" s="5" t="s">
        <v>17</v>
      </c>
      <c r="I490" s="6">
        <f>IF(K490=1,1.0,0)</f>
        <v/>
      </c>
      <c r="J490" s="6">
        <f>IF(K490=1,0.8,0)</f>
        <v/>
      </c>
      <c r="K490" s="8">
        <f>IF(OR(LOOKUP(A490,characters!A:A,characters!B:B)=-1, LOOKUP(A490,characters!A:A,characters!B:B)+0.1&gt;=B490),1,0)</f>
        <v/>
      </c>
    </row>
    <row r="491" spans="1:11">
      <c r="A491" s="4" t="s">
        <v>39</v>
      </c>
      <c r="B491" s="7">
        <v>1</v>
      </c>
      <c r="C491" s="6">
        <f>IF(K491=1,0.8,0)</f>
        <v/>
      </c>
      <c r="D491" s="6">
        <f>IF(K491=1,1.0,0)</f>
        <v/>
      </c>
      <c r="E491" s="6">
        <f>IF(K491=1,1.0,0)</f>
        <v/>
      </c>
      <c r="F491" s="6">
        <f>IF(K491=1,1.0,0)</f>
        <v/>
      </c>
      <c r="G491" s="6">
        <f>IF(K491=1,1.0,0)</f>
        <v/>
      </c>
      <c r="H491" s="6">
        <f>IF(K491=1,0.9,0)</f>
        <v/>
      </c>
      <c r="I491" s="5" t="s">
        <v>17</v>
      </c>
      <c r="J491" s="5" t="s">
        <v>17</v>
      </c>
      <c r="K491" s="8">
        <f>IF(OR(LOOKUP(A491,characters!A:A,characters!B:B)=-1, LOOKUP(A491,characters!A:A,characters!B:B)+0.1&gt;=B491),1,0)</f>
        <v/>
      </c>
    </row>
    <row r="492" spans="1:11">
      <c r="A492" s="4" t="s">
        <v>22</v>
      </c>
      <c r="B492" s="7">
        <v>1.1</v>
      </c>
      <c r="C492" s="6">
        <f>IF(K492=1,0.7,0)</f>
        <v/>
      </c>
      <c r="D492" s="5" t="s">
        <v>17</v>
      </c>
      <c r="E492" s="5" t="s">
        <v>17</v>
      </c>
      <c r="F492" s="6">
        <f>IF(K492=1,1.0,0)</f>
        <v/>
      </c>
      <c r="G492" s="6">
        <f>IF(K492=1,0.9,0)</f>
        <v/>
      </c>
      <c r="H492" s="6">
        <f>IF(K492=1,0.8,0)</f>
        <v/>
      </c>
      <c r="I492" s="5" t="s">
        <v>17</v>
      </c>
      <c r="J492" s="5" t="s">
        <v>17</v>
      </c>
      <c r="K492" s="8">
        <f>IF(OR(LOOKUP(A492,characters!A:A,characters!B:B)=-1, LOOKUP(A492,characters!A:A,characters!B:B)+0.1&gt;=B492),1,0)</f>
        <v/>
      </c>
    </row>
    <row r="494" spans="1:11">
      <c r="A494" s="3" t="s">
        <v>26</v>
      </c>
      <c r="B494" s="3" t="s">
        <v>9</v>
      </c>
      <c r="C494" s="3" t="s">
        <v>53</v>
      </c>
      <c r="D494" s="3" t="s">
        <v>14</v>
      </c>
      <c r="E494" s="3" t="s">
        <v>13</v>
      </c>
      <c r="F494" s="3" t="s">
        <v>15</v>
      </c>
      <c r="G494" s="3" t="s">
        <v>10</v>
      </c>
    </row>
    <row r="495" spans="1:11">
      <c r="A495" s="4" t="s">
        <v>16</v>
      </c>
      <c r="B495" s="5" t="s">
        <v>17</v>
      </c>
      <c r="C495" s="6">
        <f>IF(SUM(H496:H499)=0,0,SUM(C496:C499)/SUM(H496:H499))</f>
        <v/>
      </c>
      <c r="D495" s="6">
        <f>IF(SUM(H496:H499)=0,0,SUM(D496:D499)/SUM(H496:H499))</f>
        <v/>
      </c>
      <c r="E495" s="6">
        <f>IF(SUM(H496:H499)=0,0,SUM(E496:E499)/SUM(H496:H499))</f>
        <v/>
      </c>
      <c r="F495" s="6">
        <f>IF(SUM(H496:H499)=0,0,SUM(F496:F499)/SUM(H496:H499))</f>
        <v/>
      </c>
      <c r="G495" s="6">
        <f>IF(SUM(H496:H499)=0,0,SUM(G496:G499)/SUM(H496:H499))</f>
        <v/>
      </c>
    </row>
    <row r="496" spans="1:11">
      <c r="A496" s="4" t="s">
        <v>59</v>
      </c>
      <c r="B496" s="7">
        <v>1</v>
      </c>
      <c r="C496" s="6">
        <f>IF(H496=1,1.0,0)</f>
        <v/>
      </c>
      <c r="D496" s="6">
        <f>IF(H496=1,0.9,0)</f>
        <v/>
      </c>
      <c r="E496" s="5" t="s">
        <v>17</v>
      </c>
      <c r="F496" s="5" t="s">
        <v>17</v>
      </c>
      <c r="G496" s="5" t="s">
        <v>17</v>
      </c>
      <c r="H496" s="8">
        <f>IF(OR(LOOKUP(A496,characters!A:A,characters!B:B)=-1, LOOKUP(A496,characters!A:A,characters!B:B)+0.1&gt;=B496),1,0)</f>
        <v/>
      </c>
    </row>
    <row r="497" spans="1:9">
      <c r="A497" s="4" t="s">
        <v>58</v>
      </c>
      <c r="B497" s="7">
        <v>0</v>
      </c>
      <c r="C497" s="5" t="s">
        <v>17</v>
      </c>
      <c r="D497" s="5" t="s">
        <v>17</v>
      </c>
      <c r="E497" s="6">
        <f>IF(H497=1,1.0,0)</f>
        <v/>
      </c>
      <c r="F497" s="6">
        <f>IF(H497=1,1.0,0)</f>
        <v/>
      </c>
      <c r="G497" s="5" t="s">
        <v>17</v>
      </c>
      <c r="H497" s="8">
        <f>IF(OR(LOOKUP(A497,characters!A:A,characters!B:B)=-1, LOOKUP(A497,characters!A:A,characters!B:B)+0.1&gt;=B497),1,0)</f>
        <v/>
      </c>
    </row>
    <row r="498" spans="1:9">
      <c r="A498" s="4" t="s">
        <v>39</v>
      </c>
      <c r="B498" s="7">
        <v>1</v>
      </c>
      <c r="C498" s="5" t="s">
        <v>17</v>
      </c>
      <c r="D498" s="6">
        <f>IF(H498=1,0.99,0)</f>
        <v/>
      </c>
      <c r="E498" s="6">
        <f>IF(H498=1,1.0,0)</f>
        <v/>
      </c>
      <c r="F498" s="6">
        <f>IF(H498=1,0.99,0)</f>
        <v/>
      </c>
      <c r="G498" s="5" t="s">
        <v>17</v>
      </c>
      <c r="H498" s="8">
        <f>IF(OR(LOOKUP(A498,characters!A:A,characters!B:B)=-1, LOOKUP(A498,characters!A:A,characters!B:B)+0.1&gt;=B498),1,0)</f>
        <v/>
      </c>
    </row>
    <row r="499" spans="1:9">
      <c r="A499" s="4" t="s">
        <v>22</v>
      </c>
      <c r="B499" s="7">
        <v>1.1</v>
      </c>
      <c r="C499" s="5" t="s">
        <v>17</v>
      </c>
      <c r="D499" s="5" t="s">
        <v>17</v>
      </c>
      <c r="E499" s="5" t="s">
        <v>17</v>
      </c>
      <c r="F499" s="6">
        <f>IF(H499=1,0.99,0)</f>
        <v/>
      </c>
      <c r="G499" s="6">
        <f>IF(H499=1,1.0,0)</f>
        <v/>
      </c>
      <c r="H499" s="8">
        <f>IF(OR(LOOKUP(A499,characters!A:A,characters!B:B)=-1, LOOKUP(A499,characters!A:A,characters!B:B)+0.1&gt;=B499),1,0)</f>
        <v/>
      </c>
    </row>
    <row r="501" spans="1:9">
      <c r="A501" s="3" t="s">
        <v>27</v>
      </c>
      <c r="B501" s="3" t="s">
        <v>9</v>
      </c>
      <c r="C501" s="3" t="s">
        <v>53</v>
      </c>
      <c r="D501" s="3" t="s">
        <v>41</v>
      </c>
      <c r="E501" s="3" t="s">
        <v>51</v>
      </c>
      <c r="F501" s="3" t="s">
        <v>10</v>
      </c>
      <c r="G501" s="3" t="s">
        <v>31</v>
      </c>
      <c r="H501" s="3" t="s">
        <v>28</v>
      </c>
    </row>
    <row r="502" spans="1:9">
      <c r="A502" s="4" t="s">
        <v>16</v>
      </c>
      <c r="B502" s="5" t="s">
        <v>17</v>
      </c>
      <c r="C502" s="6">
        <f>IF(SUM(I503:I506)=0,0,SUM(C503:C506)/SUM(I503:I506))</f>
        <v/>
      </c>
      <c r="D502" s="6">
        <f>IF(SUM(I503:I506)=0,0,SUM(D503:D506)/SUM(I503:I506))</f>
        <v/>
      </c>
      <c r="E502" s="6">
        <f>IF(SUM(I503:I506)=0,0,SUM(E503:E506)/SUM(I503:I506))</f>
        <v/>
      </c>
      <c r="F502" s="6">
        <f>IF(SUM(I503:I506)=0,0,SUM(F503:F506)/SUM(I503:I506))</f>
        <v/>
      </c>
      <c r="G502" s="6">
        <f>IF(SUM(I503:I506)=0,0,SUM(G503:G506)/SUM(I503:I506))</f>
        <v/>
      </c>
      <c r="H502" s="6">
        <f>IF(SUM(I503:I506)=0,0,SUM(H503:H506)/SUM(I503:I506))</f>
        <v/>
      </c>
    </row>
    <row r="503" spans="1:9">
      <c r="A503" s="4" t="s">
        <v>59</v>
      </c>
      <c r="B503" s="7">
        <v>1</v>
      </c>
      <c r="C503" s="6">
        <f>IF(I503=1,1.0,0)</f>
        <v/>
      </c>
      <c r="D503" s="6">
        <f>IF(I503=1,1.0,0)</f>
        <v/>
      </c>
      <c r="E503" s="5" t="s">
        <v>17</v>
      </c>
      <c r="F503" s="5" t="s">
        <v>17</v>
      </c>
      <c r="G503" s="5" t="s">
        <v>17</v>
      </c>
      <c r="H503" s="5" t="s">
        <v>17</v>
      </c>
      <c r="I503" s="8">
        <f>IF(OR(LOOKUP(A503,characters!A:A,characters!B:B)=-1, LOOKUP(A503,characters!A:A,characters!B:B)+0.1&gt;=B503),1,0)</f>
        <v/>
      </c>
    </row>
    <row r="504" spans="1:9">
      <c r="A504" s="4" t="s">
        <v>58</v>
      </c>
      <c r="B504" s="7">
        <v>0</v>
      </c>
      <c r="C504" s="5" t="s">
        <v>17</v>
      </c>
      <c r="D504" s="5" t="s">
        <v>17</v>
      </c>
      <c r="E504" s="6">
        <f>IF(I504=1,1.0,0)</f>
        <v/>
      </c>
      <c r="F504" s="6">
        <f>IF(I504=1,0.9,0)</f>
        <v/>
      </c>
      <c r="G504" s="6">
        <f>IF(I504=1,0.9,0)</f>
        <v/>
      </c>
      <c r="H504" s="5" t="s">
        <v>17</v>
      </c>
      <c r="I504" s="8">
        <f>IF(OR(LOOKUP(A504,characters!A:A,characters!B:B)=-1, LOOKUP(A504,characters!A:A,characters!B:B)+0.1&gt;=B504),1,0)</f>
        <v/>
      </c>
    </row>
    <row r="505" spans="1:9">
      <c r="A505" s="4" t="s">
        <v>39</v>
      </c>
      <c r="B505" s="7">
        <v>1</v>
      </c>
      <c r="C505" s="5" t="s">
        <v>17</v>
      </c>
      <c r="D505" s="6">
        <f>IF(I505=1,1.0,0)</f>
        <v/>
      </c>
      <c r="E505" s="5" t="s">
        <v>17</v>
      </c>
      <c r="F505" s="6">
        <f>IF(I505=1,1.0,0)</f>
        <v/>
      </c>
      <c r="G505" s="6">
        <f>IF(I505=1,1.0,0)</f>
        <v/>
      </c>
      <c r="H505" s="5" t="s">
        <v>17</v>
      </c>
      <c r="I505" s="8">
        <f>IF(OR(LOOKUP(A505,characters!A:A,characters!B:B)=-1, LOOKUP(A505,characters!A:A,characters!B:B)+0.1&gt;=B505),1,0)</f>
        <v/>
      </c>
    </row>
    <row r="506" spans="1:9">
      <c r="A506" s="4" t="s">
        <v>22</v>
      </c>
      <c r="B506" s="7">
        <v>1.1</v>
      </c>
      <c r="C506" s="5" t="s">
        <v>17</v>
      </c>
      <c r="D506" s="5" t="s">
        <v>17</v>
      </c>
      <c r="E506" s="5" t="s">
        <v>17</v>
      </c>
      <c r="F506" s="6">
        <f>IF(I506=1,1.0,0)</f>
        <v/>
      </c>
      <c r="G506" s="5" t="s">
        <v>17</v>
      </c>
      <c r="H506" s="6">
        <f>IF(I506=1,0.99,0)</f>
        <v/>
      </c>
      <c r="I506" s="8">
        <f>IF(OR(LOOKUP(A506,characters!A:A,characters!B:B)=-1, LOOKUP(A506,characters!A:A,characters!B:B)+0.1&gt;=B506),1,0)</f>
        <v/>
      </c>
    </row>
    <row r="508" spans="1:9">
      <c r="A508" s="3" t="s">
        <v>32</v>
      </c>
      <c r="B508" s="3" t="s">
        <v>9</v>
      </c>
      <c r="C508" s="3" t="s">
        <v>53</v>
      </c>
      <c r="D508" s="3" t="s">
        <v>33</v>
      </c>
      <c r="E508" s="3" t="s">
        <v>42</v>
      </c>
      <c r="F508" s="3" t="s">
        <v>34</v>
      </c>
    </row>
    <row r="509" spans="1:9">
      <c r="A509" s="4" t="s">
        <v>16</v>
      </c>
      <c r="B509" s="5" t="s">
        <v>17</v>
      </c>
      <c r="C509" s="6">
        <f>IF(SUM(G510:G513)=0,0,SUM(C510:C513)/SUM(G510:G513))</f>
        <v/>
      </c>
      <c r="D509" s="6">
        <f>IF(SUM(G510:G513)=0,0,SUM(D510:D513)/SUM(G510:G513))</f>
        <v/>
      </c>
      <c r="E509" s="6">
        <f>IF(SUM(G510:G513)=0,0,SUM(E510:E513)/SUM(G510:G513))</f>
        <v/>
      </c>
      <c r="F509" s="6">
        <f>IF(SUM(G510:G513)=0,0,SUM(F510:F513)/SUM(G510:G513))</f>
        <v/>
      </c>
    </row>
    <row r="510" spans="1:9">
      <c r="A510" s="4" t="s">
        <v>59</v>
      </c>
      <c r="B510" s="7">
        <v>1</v>
      </c>
      <c r="C510" s="6">
        <f>IF(G510=1,1.0,0)</f>
        <v/>
      </c>
      <c r="D510" s="6">
        <f>IF(G510=1,1.0,0)</f>
        <v/>
      </c>
      <c r="E510" s="5" t="s">
        <v>17</v>
      </c>
      <c r="F510" s="5" t="s">
        <v>17</v>
      </c>
      <c r="G510" s="8">
        <f>IF(OR(LOOKUP(A510,characters!A:A,characters!B:B)=-1, LOOKUP(A510,characters!A:A,characters!B:B)+0.1&gt;=B510),1,0)</f>
        <v/>
      </c>
    </row>
    <row r="511" spans="1:9">
      <c r="A511" s="4" t="s">
        <v>58</v>
      </c>
      <c r="B511" s="7">
        <v>0</v>
      </c>
      <c r="C511" s="5" t="s">
        <v>17</v>
      </c>
      <c r="D511" s="5" t="s">
        <v>17</v>
      </c>
      <c r="E511" s="6">
        <f>IF(G511=1,1.0,0)</f>
        <v/>
      </c>
      <c r="F511" s="5" t="s">
        <v>17</v>
      </c>
      <c r="G511" s="8">
        <f>IF(OR(LOOKUP(A511,characters!A:A,characters!B:B)=-1, LOOKUP(A511,characters!A:A,characters!B:B)+0.1&gt;=B511),1,0)</f>
        <v/>
      </c>
    </row>
    <row r="512" spans="1:9">
      <c r="A512" s="4" t="s">
        <v>39</v>
      </c>
      <c r="B512" s="7">
        <v>1</v>
      </c>
      <c r="C512" s="5" t="s">
        <v>17</v>
      </c>
      <c r="D512" s="5" t="s">
        <v>17</v>
      </c>
      <c r="E512" s="6">
        <f>IF(G512=1,1.0,0)</f>
        <v/>
      </c>
      <c r="F512" s="5" t="s">
        <v>17</v>
      </c>
      <c r="G512" s="8">
        <f>IF(OR(LOOKUP(A512,characters!A:A,characters!B:B)=-1, LOOKUP(A512,characters!A:A,characters!B:B)+0.1&gt;=B512),1,0)</f>
        <v/>
      </c>
    </row>
    <row r="513" spans="1:11">
      <c r="A513" s="4" t="s">
        <v>22</v>
      </c>
      <c r="B513" s="7">
        <v>1.1</v>
      </c>
      <c r="C513" s="5" t="s">
        <v>17</v>
      </c>
      <c r="D513" s="6">
        <f>IF(G513=1,1.0,0)</f>
        <v/>
      </c>
      <c r="E513" s="5" t="s">
        <v>17</v>
      </c>
      <c r="F513" s="6">
        <f>IF(G513=1,1.0,0)</f>
        <v/>
      </c>
      <c r="G513" s="8">
        <f>IF(OR(LOOKUP(A513,characters!A:A,characters!B:B)=-1, LOOKUP(A513,characters!A:A,characters!B:B)+0.1&gt;=B513),1,0)</f>
        <v/>
      </c>
    </row>
    <row r="520" spans="1:11">
      <c r="A520" s="3" t="s">
        <v>67</v>
      </c>
    </row>
    <row r="521" spans="1:11">
      <c r="A521" s="3" t="s">
        <v>8</v>
      </c>
      <c r="B521" s="3" t="s">
        <v>9</v>
      </c>
      <c r="C521" s="3" t="s">
        <v>10</v>
      </c>
      <c r="D521" s="3" t="s">
        <v>12</v>
      </c>
      <c r="E521" s="3" t="s">
        <v>11</v>
      </c>
      <c r="F521" s="3" t="s">
        <v>13</v>
      </c>
      <c r="G521" s="3" t="s">
        <v>14</v>
      </c>
      <c r="H521" s="3" t="s">
        <v>15</v>
      </c>
      <c r="I521" s="3" t="s">
        <v>53</v>
      </c>
      <c r="J521" s="3" t="s">
        <v>54</v>
      </c>
    </row>
    <row r="522" spans="1:11">
      <c r="A522" s="4" t="s">
        <v>16</v>
      </c>
      <c r="B522" s="5" t="s">
        <v>17</v>
      </c>
      <c r="C522" s="6">
        <f>IF(SUM(K523:K546)=0,0,SUM(C523:C546)/SUM(K523:K546))</f>
        <v/>
      </c>
      <c r="D522" s="6">
        <f>IF(SUM(K523:K546)=0,0,SUM(D523:D546)/SUM(K523:K546))</f>
        <v/>
      </c>
      <c r="E522" s="6">
        <f>IF(SUM(K523:K546)=0,0,SUM(E523:E546)/SUM(K523:K546))</f>
        <v/>
      </c>
      <c r="F522" s="6">
        <f>IF(SUM(K523:K546)=0,0,SUM(F523:F546)/SUM(K523:K546))</f>
        <v/>
      </c>
      <c r="G522" s="6">
        <f>IF(SUM(K523:K546)=0,0,SUM(G523:G546)/SUM(K523:K546))</f>
        <v/>
      </c>
      <c r="H522" s="6">
        <f>IF(SUM(K523:K546)=0,0,SUM(H523:H546)/SUM(K523:K546))</f>
        <v/>
      </c>
      <c r="I522" s="6">
        <f>IF(SUM(K523:K546)=0,0,SUM(I523:I546)/SUM(K523:K546))</f>
        <v/>
      </c>
      <c r="J522" s="6">
        <f>IF(SUM(K523:K546)=0,0,SUM(J523:J546)/SUM(K523:K546))</f>
        <v/>
      </c>
    </row>
    <row r="523" spans="1:11">
      <c r="A523" s="4" t="s">
        <v>50</v>
      </c>
      <c r="B523" s="7">
        <v>0.1</v>
      </c>
      <c r="C523" s="6">
        <f>IF(K523=1,0.9,0)</f>
        <v/>
      </c>
      <c r="D523" s="6">
        <f>IF(K523=1,0.8,0)</f>
        <v/>
      </c>
      <c r="E523" s="6">
        <f>IF(K523=1,0.8,0)</f>
        <v/>
      </c>
      <c r="F523" s="6">
        <f>IF(K523=1,1.0,0)</f>
        <v/>
      </c>
      <c r="G523" s="6">
        <f>IF(K523=1,1.0,0)</f>
        <v/>
      </c>
      <c r="H523" s="5" t="s">
        <v>17</v>
      </c>
      <c r="I523" s="5" t="s">
        <v>17</v>
      </c>
      <c r="J523" s="5" t="s">
        <v>17</v>
      </c>
      <c r="K523" s="8">
        <f>IF(OR(LOOKUP(A523,characters!A:A,characters!B:B)=-1, LOOKUP(A523,characters!A:A,characters!B:B)+0.1&gt;=B523),1,0)</f>
        <v/>
      </c>
    </row>
    <row r="524" spans="1:11">
      <c r="A524" s="4" t="s">
        <v>62</v>
      </c>
      <c r="B524" s="7">
        <v>0.1</v>
      </c>
      <c r="C524" s="6">
        <f>IF(K524=1,0.9,0)</f>
        <v/>
      </c>
      <c r="D524" s="6">
        <f>IF(K524=1,0.8,0)</f>
        <v/>
      </c>
      <c r="E524" s="6">
        <f>IF(K524=1,0.8,0)</f>
        <v/>
      </c>
      <c r="F524" s="6">
        <f>IF(K524=1,1.0,0)</f>
        <v/>
      </c>
      <c r="G524" s="6">
        <f>IF(K524=1,1.0,0)</f>
        <v/>
      </c>
      <c r="H524" s="5" t="s">
        <v>17</v>
      </c>
      <c r="I524" s="5" t="s">
        <v>17</v>
      </c>
      <c r="J524" s="5" t="s">
        <v>17</v>
      </c>
      <c r="K524" s="8">
        <f>IF(OR(LOOKUP(A524,characters!A:A,characters!B:B)=-1, LOOKUP(A524,characters!A:A,characters!B:B)+0.1&gt;=B524),1,0)</f>
        <v/>
      </c>
    </row>
    <row r="525" spans="1:11">
      <c r="A525" s="4" t="s">
        <v>59</v>
      </c>
      <c r="B525" s="7">
        <v>0.2</v>
      </c>
      <c r="C525" s="5" t="s">
        <v>17</v>
      </c>
      <c r="D525" s="6">
        <f>IF(K525=1,0.7,0)</f>
        <v/>
      </c>
      <c r="E525" s="5" t="s">
        <v>17</v>
      </c>
      <c r="F525" s="6">
        <f>IF(K525=1,0.9,0)</f>
        <v/>
      </c>
      <c r="G525" s="6">
        <f>IF(K525=1,0.9,0)</f>
        <v/>
      </c>
      <c r="H525" s="5" t="s">
        <v>17</v>
      </c>
      <c r="I525" s="6">
        <f>IF(K525=1,1.0,0)</f>
        <v/>
      </c>
      <c r="J525" s="6">
        <f>IF(K525=1,0.8,0)</f>
        <v/>
      </c>
      <c r="K525" s="8">
        <f>IF(OR(LOOKUP(A525,characters!A:A,characters!B:B)=-1, LOOKUP(A525,characters!A:A,characters!B:B)+0.1&gt;=B525),1,0)</f>
        <v/>
      </c>
    </row>
    <row r="526" spans="1:11">
      <c r="A526" s="4" t="s">
        <v>61</v>
      </c>
      <c r="B526" s="7">
        <v>0.3</v>
      </c>
      <c r="C526" s="6">
        <f>IF(K526=1,0.9,0)</f>
        <v/>
      </c>
      <c r="D526" s="6">
        <f>IF(K526=1,0.8,0)</f>
        <v/>
      </c>
      <c r="E526" s="6">
        <f>IF(K526=1,0.8,0)</f>
        <v/>
      </c>
      <c r="F526" s="6">
        <f>IF(K526=1,1.0,0)</f>
        <v/>
      </c>
      <c r="G526" s="6">
        <f>IF(K526=1,1.0,0)</f>
        <v/>
      </c>
      <c r="H526" s="5" t="s">
        <v>17</v>
      </c>
      <c r="I526" s="5" t="s">
        <v>17</v>
      </c>
      <c r="J526" s="5" t="s">
        <v>17</v>
      </c>
      <c r="K526" s="8">
        <f>IF(OR(LOOKUP(A526,characters!A:A,characters!B:B)=-1, LOOKUP(A526,characters!A:A,characters!B:B)+0.1&gt;=B526),1,0)</f>
        <v/>
      </c>
    </row>
    <row r="527" spans="1:11">
      <c r="A527" s="4" t="s">
        <v>46</v>
      </c>
      <c r="B527" s="7">
        <v>0.3</v>
      </c>
      <c r="C527" s="6">
        <f>IF(K527=1,0.9,0)</f>
        <v/>
      </c>
      <c r="D527" s="6">
        <f>IF(K527=1,0.8,0)</f>
        <v/>
      </c>
      <c r="E527" s="6">
        <f>IF(K527=1,0.8,0)</f>
        <v/>
      </c>
      <c r="F527" s="6">
        <f>IF(K527=1,1.0,0)</f>
        <v/>
      </c>
      <c r="G527" s="6">
        <f>IF(K527=1,1.0,0)</f>
        <v/>
      </c>
      <c r="H527" s="5" t="s">
        <v>17</v>
      </c>
      <c r="I527" s="5" t="s">
        <v>17</v>
      </c>
      <c r="J527" s="5" t="s">
        <v>17</v>
      </c>
      <c r="K527" s="8">
        <f>IF(OR(LOOKUP(A527,characters!A:A,characters!B:B)=-1, LOOKUP(A527,characters!A:A,characters!B:B)+0.1&gt;=B527),1,0)</f>
        <v/>
      </c>
    </row>
    <row r="528" spans="1:11">
      <c r="A528" s="4" t="s">
        <v>40</v>
      </c>
      <c r="B528" s="7">
        <v>0.3</v>
      </c>
      <c r="C528" s="6">
        <f>IF(K528=1,0.9,0)</f>
        <v/>
      </c>
      <c r="D528" s="6">
        <f>IF(K528=1,0.8,0)</f>
        <v/>
      </c>
      <c r="E528" s="6">
        <f>IF(K528=1,0.8,0)</f>
        <v/>
      </c>
      <c r="F528" s="5" t="s">
        <v>17</v>
      </c>
      <c r="G528" s="5" t="s">
        <v>17</v>
      </c>
      <c r="H528" s="6">
        <f>IF(K528=1,1.0,0)</f>
        <v/>
      </c>
      <c r="I528" s="5" t="s">
        <v>17</v>
      </c>
      <c r="J528" s="5" t="s">
        <v>17</v>
      </c>
      <c r="K528" s="8">
        <f>IF(OR(LOOKUP(A528,characters!A:A,characters!B:B)=-1, LOOKUP(A528,characters!A:A,characters!B:B)+0.1&gt;=B528),1,0)</f>
        <v/>
      </c>
    </row>
    <row r="529" spans="1:11">
      <c r="A529" s="4" t="s">
        <v>47</v>
      </c>
      <c r="B529" s="7">
        <v>0.3</v>
      </c>
      <c r="C529" s="6">
        <f>IF(K529=1,0.9,0)</f>
        <v/>
      </c>
      <c r="D529" s="6">
        <f>IF(K529=1,0.8,0)</f>
        <v/>
      </c>
      <c r="E529" s="6">
        <f>IF(K529=1,0.8,0)</f>
        <v/>
      </c>
      <c r="F529" s="5" t="s">
        <v>17</v>
      </c>
      <c r="G529" s="5" t="s">
        <v>17</v>
      </c>
      <c r="H529" s="6">
        <f>IF(K529=1,1.0,0)</f>
        <v/>
      </c>
      <c r="I529" s="5" t="s">
        <v>17</v>
      </c>
      <c r="J529" s="5" t="s">
        <v>17</v>
      </c>
      <c r="K529" s="8">
        <f>IF(OR(LOOKUP(A529,characters!A:A,characters!B:B)=-1, LOOKUP(A529,characters!A:A,characters!B:B)+0.1&gt;=B529),1,0)</f>
        <v/>
      </c>
    </row>
    <row r="530" spans="1:11">
      <c r="A530" s="4" t="s">
        <v>39</v>
      </c>
      <c r="B530" s="7">
        <v>0.3</v>
      </c>
      <c r="C530" s="6">
        <f>IF(K530=1,1.0,0)</f>
        <v/>
      </c>
      <c r="D530" s="6">
        <f>IF(K530=1,0.8,0)</f>
        <v/>
      </c>
      <c r="E530" s="6">
        <f>IF(K530=1,0.9,0)</f>
        <v/>
      </c>
      <c r="F530" s="6">
        <f>IF(K530=1,1.0,0)</f>
        <v/>
      </c>
      <c r="G530" s="6">
        <f>IF(K530=1,1.0,0)</f>
        <v/>
      </c>
      <c r="H530" s="6">
        <f>IF(K530=1,1.0,0)</f>
        <v/>
      </c>
      <c r="I530" s="5" t="s">
        <v>17</v>
      </c>
      <c r="J530" s="5" t="s">
        <v>17</v>
      </c>
      <c r="K530" s="8">
        <f>IF(OR(LOOKUP(A530,characters!A:A,characters!B:B)=-1, LOOKUP(A530,characters!A:A,characters!B:B)+0.1&gt;=B530),1,0)</f>
        <v/>
      </c>
    </row>
    <row r="531" spans="1:11">
      <c r="A531" s="4" t="s">
        <v>25</v>
      </c>
      <c r="B531" s="7">
        <v>0.3</v>
      </c>
      <c r="C531" s="6">
        <f>IF(K531=1,0.99,0)</f>
        <v/>
      </c>
      <c r="D531" s="6">
        <f>IF(K531=1,0.89,0)</f>
        <v/>
      </c>
      <c r="E531" s="6">
        <f>IF(K531=1,0.89,0)</f>
        <v/>
      </c>
      <c r="F531" s="6">
        <f>IF(K531=1,1.0,0)</f>
        <v/>
      </c>
      <c r="G531" s="6">
        <f>IF(K531=1,0.99,0)</f>
        <v/>
      </c>
      <c r="H531" s="6">
        <f>IF(K531=1,0.89,0)</f>
        <v/>
      </c>
      <c r="I531" s="5" t="s">
        <v>17</v>
      </c>
      <c r="J531" s="5" t="s">
        <v>17</v>
      </c>
      <c r="K531" s="8">
        <f>IF(OR(LOOKUP(A531,characters!A:A,characters!B:B)=-1, LOOKUP(A531,characters!A:A,characters!B:B)+0.1&gt;=B531),1,0)</f>
        <v/>
      </c>
    </row>
    <row r="532" spans="1:11">
      <c r="A532" s="4" t="s">
        <v>48</v>
      </c>
      <c r="B532" s="7">
        <v>0.3</v>
      </c>
      <c r="C532" s="6">
        <f>IF(K532=1,0.9,0)</f>
        <v/>
      </c>
      <c r="D532" s="6">
        <f>IF(K532=1,0.8,0)</f>
        <v/>
      </c>
      <c r="E532" s="6">
        <f>IF(K532=1,0.8,0)</f>
        <v/>
      </c>
      <c r="F532" s="6">
        <f>IF(K532=1,1.0,0)</f>
        <v/>
      </c>
      <c r="G532" s="6">
        <f>IF(K532=1,1.0,0)</f>
        <v/>
      </c>
      <c r="H532" s="5" t="s">
        <v>17</v>
      </c>
      <c r="I532" s="5" t="s">
        <v>17</v>
      </c>
      <c r="J532" s="5" t="s">
        <v>17</v>
      </c>
      <c r="K532" s="8">
        <f>IF(OR(LOOKUP(A532,characters!A:A,characters!B:B)=-1, LOOKUP(A532,characters!A:A,characters!B:B)+0.1&gt;=B532),1,0)</f>
        <v/>
      </c>
    </row>
    <row r="533" spans="1:11">
      <c r="A533" s="4" t="s">
        <v>49</v>
      </c>
      <c r="B533" s="7">
        <v>0.3</v>
      </c>
      <c r="C533" s="6">
        <f>IF(K533=1,0.9,0)</f>
        <v/>
      </c>
      <c r="D533" s="6">
        <f>IF(K533=1,0.8,0)</f>
        <v/>
      </c>
      <c r="E533" s="6">
        <f>IF(K533=1,0.8,0)</f>
        <v/>
      </c>
      <c r="F533" s="5" t="s">
        <v>17</v>
      </c>
      <c r="G533" s="5" t="s">
        <v>17</v>
      </c>
      <c r="H533" s="6">
        <f>IF(K533=1,1.0,0)</f>
        <v/>
      </c>
      <c r="I533" s="5" t="s">
        <v>17</v>
      </c>
      <c r="J533" s="5" t="s">
        <v>17</v>
      </c>
      <c r="K533" s="8">
        <f>IF(OR(LOOKUP(A533,characters!A:A,characters!B:B)=-1, LOOKUP(A533,characters!A:A,characters!B:B)+0.1&gt;=B533),1,0)</f>
        <v/>
      </c>
    </row>
    <row r="534" spans="1:11">
      <c r="A534" s="4" t="s">
        <v>68</v>
      </c>
      <c r="B534" s="7">
        <v>0.3</v>
      </c>
      <c r="C534" s="6">
        <f>IF(K534=1,0.9,0)</f>
        <v/>
      </c>
      <c r="D534" s="6">
        <f>IF(K534=1,0.8,0)</f>
        <v/>
      </c>
      <c r="E534" s="6">
        <f>IF(K534=1,0.8,0)</f>
        <v/>
      </c>
      <c r="F534" s="6">
        <f>IF(K534=1,1.0,0)</f>
        <v/>
      </c>
      <c r="G534" s="6">
        <f>IF(K534=1,1.0,0)</f>
        <v/>
      </c>
      <c r="H534" s="5" t="s">
        <v>17</v>
      </c>
      <c r="I534" s="5" t="s">
        <v>17</v>
      </c>
      <c r="J534" s="5" t="s">
        <v>17</v>
      </c>
      <c r="K534" s="8">
        <f>IF(OR(LOOKUP(A534,characters!A:A,characters!B:B)=-1, LOOKUP(A534,characters!A:A,characters!B:B)+0.1&gt;=B534),1,0)</f>
        <v/>
      </c>
    </row>
    <row r="535" spans="1:11">
      <c r="A535" s="4" t="s">
        <v>63</v>
      </c>
      <c r="B535" s="7">
        <v>0.3</v>
      </c>
      <c r="C535" s="6">
        <f>IF(K535=1,0.9,0)</f>
        <v/>
      </c>
      <c r="D535" s="6">
        <f>IF(K535=1,0.8,0)</f>
        <v/>
      </c>
      <c r="E535" s="6">
        <f>IF(K535=1,0.8,0)</f>
        <v/>
      </c>
      <c r="F535" s="6">
        <f>IF(K535=1,1.0,0)</f>
        <v/>
      </c>
      <c r="G535" s="6">
        <f>IF(K535=1,1.0,0)</f>
        <v/>
      </c>
      <c r="H535" s="5" t="s">
        <v>17</v>
      </c>
      <c r="I535" s="5" t="s">
        <v>17</v>
      </c>
      <c r="J535" s="5" t="s">
        <v>17</v>
      </c>
      <c r="K535" s="8">
        <f>IF(OR(LOOKUP(A535,characters!A:A,characters!B:B)=-1, LOOKUP(A535,characters!A:A,characters!B:B)+0.1&gt;=B535),1,0)</f>
        <v/>
      </c>
    </row>
    <row r="536" spans="1:11">
      <c r="A536" s="4" t="s">
        <v>23</v>
      </c>
      <c r="B536" s="7">
        <v>0.3</v>
      </c>
      <c r="C536" s="6">
        <f>IF(K536=1,1.0,0)</f>
        <v/>
      </c>
      <c r="D536" s="6">
        <f>IF(K536=1,0.9,0)</f>
        <v/>
      </c>
      <c r="E536" s="6">
        <f>IF(K536=1,0.9,0)</f>
        <v/>
      </c>
      <c r="F536" s="6">
        <f>IF(K536=1,1.0,0)</f>
        <v/>
      </c>
      <c r="G536" s="6">
        <f>IF(K536=1,1.0,0)</f>
        <v/>
      </c>
      <c r="H536" s="5" t="s">
        <v>17</v>
      </c>
      <c r="I536" s="5" t="s">
        <v>17</v>
      </c>
      <c r="J536" s="5" t="s">
        <v>17</v>
      </c>
      <c r="K536" s="8">
        <f>IF(OR(LOOKUP(A536,characters!A:A,characters!B:B)=-1, LOOKUP(A536,characters!A:A,characters!B:B)+0.1&gt;=B536),1,0)</f>
        <v/>
      </c>
    </row>
    <row r="537" spans="1:11">
      <c r="A537" s="4" t="s">
        <v>38</v>
      </c>
      <c r="B537" s="7">
        <v>0.3</v>
      </c>
      <c r="C537" s="6">
        <f>IF(K537=1,0.9,0)</f>
        <v/>
      </c>
      <c r="D537" s="6">
        <f>IF(K537=1,0.8,0)</f>
        <v/>
      </c>
      <c r="E537" s="6">
        <f>IF(K537=1,0.8,0)</f>
        <v/>
      </c>
      <c r="F537" s="5" t="s">
        <v>17</v>
      </c>
      <c r="G537" s="5" t="s">
        <v>17</v>
      </c>
      <c r="H537" s="6">
        <f>IF(K537=1,1.0,0)</f>
        <v/>
      </c>
      <c r="I537" s="5" t="s">
        <v>17</v>
      </c>
      <c r="J537" s="5" t="s">
        <v>17</v>
      </c>
      <c r="K537" s="8">
        <f>IF(OR(LOOKUP(A537,characters!A:A,characters!B:B)=-1, LOOKUP(A537,characters!A:A,characters!B:B)+0.1&gt;=B537),1,0)</f>
        <v/>
      </c>
    </row>
    <row r="538" spans="1:11">
      <c r="A538" s="4" t="s">
        <v>44</v>
      </c>
      <c r="B538" s="7">
        <v>0.3</v>
      </c>
      <c r="C538" s="6">
        <f>IF(K538=1,0.9,0)</f>
        <v/>
      </c>
      <c r="D538" s="6">
        <f>IF(K538=1,0.8,0)</f>
        <v/>
      </c>
      <c r="E538" s="6">
        <f>IF(K538=1,0.8,0)</f>
        <v/>
      </c>
      <c r="F538" s="6">
        <f>IF(K538=1,1.0,0)</f>
        <v/>
      </c>
      <c r="G538" s="6">
        <f>IF(K538=1,1.0,0)</f>
        <v/>
      </c>
      <c r="H538" s="5" t="s">
        <v>17</v>
      </c>
      <c r="I538" s="5" t="s">
        <v>17</v>
      </c>
      <c r="J538" s="5" t="s">
        <v>17</v>
      </c>
      <c r="K538" s="8">
        <f>IF(OR(LOOKUP(A538,characters!A:A,characters!B:B)=-1, LOOKUP(A538,characters!A:A,characters!B:B)+0.1&gt;=B538),1,0)</f>
        <v/>
      </c>
    </row>
    <row r="539" spans="1:11">
      <c r="A539" s="4" t="s">
        <v>55</v>
      </c>
      <c r="B539" s="7">
        <v>0.4</v>
      </c>
      <c r="C539" s="6">
        <f>IF(K539=1,0.9,0)</f>
        <v/>
      </c>
      <c r="D539" s="6">
        <f>IF(K539=1,0.8,0)</f>
        <v/>
      </c>
      <c r="E539" s="6">
        <f>IF(K539=1,0.8,0)</f>
        <v/>
      </c>
      <c r="F539" s="6">
        <f>IF(K539=1,1.0,0)</f>
        <v/>
      </c>
      <c r="G539" s="6">
        <f>IF(K539=1,1.0,0)</f>
        <v/>
      </c>
      <c r="H539" s="5" t="s">
        <v>17</v>
      </c>
      <c r="I539" s="5" t="s">
        <v>17</v>
      </c>
      <c r="J539" s="5" t="s">
        <v>17</v>
      </c>
      <c r="K539" s="8">
        <f>IF(OR(LOOKUP(A539,characters!A:A,characters!B:B)=-1, LOOKUP(A539,characters!A:A,characters!B:B)+0.1&gt;=B539),1,0)</f>
        <v/>
      </c>
    </row>
    <row r="540" spans="1:11">
      <c r="A540" s="4" t="s">
        <v>37</v>
      </c>
      <c r="B540" s="7">
        <v>0.4</v>
      </c>
      <c r="C540" s="6">
        <f>IF(K540=1,0.9,0)</f>
        <v/>
      </c>
      <c r="D540" s="6">
        <f>IF(K540=1,0.8,0)</f>
        <v/>
      </c>
      <c r="E540" s="6">
        <f>IF(K540=1,0.8,0)</f>
        <v/>
      </c>
      <c r="F540" s="5" t="s">
        <v>17</v>
      </c>
      <c r="G540" s="5" t="s">
        <v>17</v>
      </c>
      <c r="H540" s="6">
        <f>IF(K540=1,1.0,0)</f>
        <v/>
      </c>
      <c r="I540" s="5" t="s">
        <v>17</v>
      </c>
      <c r="J540" s="5" t="s">
        <v>17</v>
      </c>
      <c r="K540" s="8">
        <f>IF(OR(LOOKUP(A540,characters!A:A,characters!B:B)=-1, LOOKUP(A540,characters!A:A,characters!B:B)+0.1&gt;=B540),1,0)</f>
        <v/>
      </c>
    </row>
    <row r="541" spans="1:11">
      <c r="A541" s="4" t="s">
        <v>24</v>
      </c>
      <c r="B541" s="7">
        <v>0.4</v>
      </c>
      <c r="C541" s="6">
        <f>IF(K541=1,1.0,0)</f>
        <v/>
      </c>
      <c r="D541" s="6">
        <f>IF(K541=1,0.9,0)</f>
        <v/>
      </c>
      <c r="E541" s="6">
        <f>IF(K541=1,0.9,0)</f>
        <v/>
      </c>
      <c r="F541" s="6">
        <f>IF(K541=1,1.0,0)</f>
        <v/>
      </c>
      <c r="G541" s="6">
        <f>IF(K541=1,1.0,0)</f>
        <v/>
      </c>
      <c r="H541" s="5" t="s">
        <v>17</v>
      </c>
      <c r="I541" s="5" t="s">
        <v>17</v>
      </c>
      <c r="J541" s="5" t="s">
        <v>17</v>
      </c>
      <c r="K541" s="8">
        <f>IF(OR(LOOKUP(A541,characters!A:A,characters!B:B)=-1, LOOKUP(A541,characters!A:A,characters!B:B)+0.1&gt;=B541),1,0)</f>
        <v/>
      </c>
    </row>
    <row r="542" spans="1:11">
      <c r="A542" s="4" t="s">
        <v>56</v>
      </c>
      <c r="B542" s="7">
        <v>0.4</v>
      </c>
      <c r="C542" s="6">
        <f>IF(K542=1,0.9,0)</f>
        <v/>
      </c>
      <c r="D542" s="6">
        <f>IF(K542=1,0.8,0)</f>
        <v/>
      </c>
      <c r="E542" s="6">
        <f>IF(K542=1,0.8,0)</f>
        <v/>
      </c>
      <c r="F542" s="6">
        <f>IF(K542=1,1.0,0)</f>
        <v/>
      </c>
      <c r="G542" s="6">
        <f>IF(K542=1,1.0,0)</f>
        <v/>
      </c>
      <c r="H542" s="5" t="s">
        <v>17</v>
      </c>
      <c r="I542" s="5" t="s">
        <v>17</v>
      </c>
      <c r="J542" s="5" t="s">
        <v>17</v>
      </c>
      <c r="K542" s="8">
        <f>IF(OR(LOOKUP(A542,characters!A:A,characters!B:B)=-1, LOOKUP(A542,characters!A:A,characters!B:B)+0.1&gt;=B542),1,0)</f>
        <v/>
      </c>
    </row>
    <row r="543" spans="1:11">
      <c r="A543" s="4" t="s">
        <v>57</v>
      </c>
      <c r="B543" s="7">
        <v>0.4</v>
      </c>
      <c r="C543" s="6">
        <f>IF(K543=1,0.9,0)</f>
        <v/>
      </c>
      <c r="D543" s="6">
        <f>IF(K543=1,0.8,0)</f>
        <v/>
      </c>
      <c r="E543" s="6">
        <f>IF(K543=1,0.8,0)</f>
        <v/>
      </c>
      <c r="F543" s="6">
        <f>IF(K543=1,1.0,0)</f>
        <v/>
      </c>
      <c r="G543" s="6">
        <f>IF(K543=1,1.0,0)</f>
        <v/>
      </c>
      <c r="H543" s="5" t="s">
        <v>17</v>
      </c>
      <c r="I543" s="5" t="s">
        <v>17</v>
      </c>
      <c r="J543" s="5" t="s">
        <v>17</v>
      </c>
      <c r="K543" s="8">
        <f>IF(OR(LOOKUP(A543,characters!A:A,characters!B:B)=-1, LOOKUP(A543,characters!A:A,characters!B:B)+0.1&gt;=B543),1,0)</f>
        <v/>
      </c>
    </row>
    <row r="544" spans="1:11">
      <c r="A544" s="4" t="s">
        <v>21</v>
      </c>
      <c r="B544" s="7">
        <v>1.1</v>
      </c>
      <c r="C544" s="6">
        <f>IF(K544=1,0.9,0)</f>
        <v/>
      </c>
      <c r="D544" s="6">
        <f>IF(K544=1,0.8,0)</f>
        <v/>
      </c>
      <c r="E544" s="6">
        <f>IF(K544=1,0.8,0)</f>
        <v/>
      </c>
      <c r="F544" s="5" t="s">
        <v>17</v>
      </c>
      <c r="G544" s="5" t="s">
        <v>17</v>
      </c>
      <c r="H544" s="6">
        <f>IF(K544=1,1.0,0)</f>
        <v/>
      </c>
      <c r="I544" s="5" t="s">
        <v>17</v>
      </c>
      <c r="J544" s="5" t="s">
        <v>17</v>
      </c>
      <c r="K544" s="8">
        <f>IF(OR(LOOKUP(A544,characters!A:A,characters!B:B)=-1, LOOKUP(A544,characters!A:A,characters!B:B)+0.1&gt;=B544),1,0)</f>
        <v/>
      </c>
    </row>
    <row r="545" spans="1:11">
      <c r="A545" s="4" t="s">
        <v>19</v>
      </c>
      <c r="B545" s="7">
        <v>1.3</v>
      </c>
      <c r="C545" s="6">
        <f>IF(K545=1,1.0,0)</f>
        <v/>
      </c>
      <c r="D545" s="6">
        <f>IF(K545=1,0.9,0)</f>
        <v/>
      </c>
      <c r="E545" s="6">
        <f>IF(K545=1,0.9,0)</f>
        <v/>
      </c>
      <c r="F545" s="6">
        <f>IF(K545=1,1.0,0)</f>
        <v/>
      </c>
      <c r="G545" s="6">
        <f>IF(K545=1,1.0,0)</f>
        <v/>
      </c>
      <c r="H545" s="5" t="s">
        <v>17</v>
      </c>
      <c r="I545" s="5" t="s">
        <v>17</v>
      </c>
      <c r="J545" s="5" t="s">
        <v>17</v>
      </c>
      <c r="K545" s="8">
        <f>IF(OR(LOOKUP(A545,characters!A:A,characters!B:B)=-1, LOOKUP(A545,characters!A:A,characters!B:B)+0.1&gt;=B545),1,0)</f>
        <v/>
      </c>
    </row>
    <row r="546" spans="1:11">
      <c r="A546" s="4" t="s">
        <v>20</v>
      </c>
      <c r="B546" s="7">
        <v>1.3</v>
      </c>
      <c r="C546" s="6">
        <f>IF(K546=1,1.0,0)</f>
        <v/>
      </c>
      <c r="D546" s="6">
        <f>IF(K546=1,0.9,0)</f>
        <v/>
      </c>
      <c r="E546" s="6">
        <f>IF(K546=1,0.9,0)</f>
        <v/>
      </c>
      <c r="F546" s="5" t="s">
        <v>17</v>
      </c>
      <c r="G546" s="5" t="s">
        <v>17</v>
      </c>
      <c r="H546" s="6">
        <f>IF(K546=1,1.0,0)</f>
        <v/>
      </c>
      <c r="I546" s="5" t="s">
        <v>17</v>
      </c>
      <c r="J546" s="5" t="s">
        <v>17</v>
      </c>
      <c r="K546" s="8">
        <f>IF(OR(LOOKUP(A546,characters!A:A,characters!B:B)=-1, LOOKUP(A546,characters!A:A,characters!B:B)+0.1&gt;=B546),1,0)</f>
        <v/>
      </c>
    </row>
    <row r="548" spans="1:11">
      <c r="A548" s="3" t="s">
        <v>26</v>
      </c>
      <c r="B548" s="3" t="s">
        <v>9</v>
      </c>
      <c r="C548" s="3" t="s">
        <v>13</v>
      </c>
      <c r="D548" s="3" t="s">
        <v>14</v>
      </c>
      <c r="E548" s="3" t="s">
        <v>53</v>
      </c>
      <c r="F548" s="3" t="s">
        <v>15</v>
      </c>
      <c r="G548" s="3" t="s">
        <v>10</v>
      </c>
    </row>
    <row r="549" spans="1:11">
      <c r="A549" s="4" t="s">
        <v>16</v>
      </c>
      <c r="B549" s="5" t="s">
        <v>17</v>
      </c>
      <c r="C549" s="6">
        <f>IF(SUM(H550:H573)=0,0,SUM(C550:C573)/SUM(H550:H573))</f>
        <v/>
      </c>
      <c r="D549" s="6">
        <f>IF(SUM(H550:H573)=0,0,SUM(D550:D573)/SUM(H550:H573))</f>
        <v/>
      </c>
      <c r="E549" s="6">
        <f>IF(SUM(H550:H573)=0,0,SUM(E550:E573)/SUM(H550:H573))</f>
        <v/>
      </c>
      <c r="F549" s="6">
        <f>IF(SUM(H550:H573)=0,0,SUM(F550:F573)/SUM(H550:H573))</f>
        <v/>
      </c>
      <c r="G549" s="6">
        <f>IF(SUM(H550:H573)=0,0,SUM(G550:G573)/SUM(H550:H573))</f>
        <v/>
      </c>
    </row>
    <row r="550" spans="1:11">
      <c r="A550" s="4" t="s">
        <v>55</v>
      </c>
      <c r="B550" s="7">
        <v>0.4</v>
      </c>
      <c r="C550" s="6">
        <f>IF(H550=1,1.0,0)</f>
        <v/>
      </c>
      <c r="D550" s="6">
        <f>IF(H550=1,0.99,0)</f>
        <v/>
      </c>
      <c r="E550" s="5" t="s">
        <v>17</v>
      </c>
      <c r="F550" s="5" t="s">
        <v>17</v>
      </c>
      <c r="G550" s="5" t="s">
        <v>17</v>
      </c>
      <c r="H550" s="8">
        <f>IF(OR(LOOKUP(A550,characters!A:A,characters!B:B)=-1, LOOKUP(A550,characters!A:A,characters!B:B)+0.1&gt;=B550),1,0)</f>
        <v/>
      </c>
    </row>
    <row r="551" spans="1:11">
      <c r="A551" s="4" t="s">
        <v>61</v>
      </c>
      <c r="B551" s="7">
        <v>0.3</v>
      </c>
      <c r="C551" s="6">
        <f>IF(H551=1,1.0,0)</f>
        <v/>
      </c>
      <c r="D551" s="6">
        <f>IF(H551=1,0.99,0)</f>
        <v/>
      </c>
      <c r="E551" s="5" t="s">
        <v>17</v>
      </c>
      <c r="F551" s="5" t="s">
        <v>17</v>
      </c>
      <c r="G551" s="5" t="s">
        <v>17</v>
      </c>
      <c r="H551" s="8">
        <f>IF(OR(LOOKUP(A551,characters!A:A,characters!B:B)=-1, LOOKUP(A551,characters!A:A,characters!B:B)+0.1&gt;=B551),1,0)</f>
        <v/>
      </c>
    </row>
    <row r="552" spans="1:11">
      <c r="A552" s="4" t="s">
        <v>59</v>
      </c>
      <c r="B552" s="7">
        <v>0.2</v>
      </c>
      <c r="C552" s="5" t="s">
        <v>17</v>
      </c>
      <c r="D552" s="6">
        <f>IF(H552=1,0.9,0)</f>
        <v/>
      </c>
      <c r="E552" s="6">
        <f>IF(H552=1,1.0,0)</f>
        <v/>
      </c>
      <c r="F552" s="5" t="s">
        <v>17</v>
      </c>
      <c r="G552" s="5" t="s">
        <v>17</v>
      </c>
      <c r="H552" s="8">
        <f>IF(OR(LOOKUP(A552,characters!A:A,characters!B:B)=-1, LOOKUP(A552,characters!A:A,characters!B:B)+0.1&gt;=B552),1,0)</f>
        <v/>
      </c>
    </row>
    <row r="553" spans="1:11">
      <c r="A553" s="4" t="s">
        <v>50</v>
      </c>
      <c r="B553" s="7">
        <v>0.1</v>
      </c>
      <c r="C553" s="6">
        <f>IF(H553=1,1.0,0)</f>
        <v/>
      </c>
      <c r="D553" s="6">
        <f>IF(H553=1,1.0,0)</f>
        <v/>
      </c>
      <c r="E553" s="5" t="s">
        <v>17</v>
      </c>
      <c r="F553" s="5" t="s">
        <v>17</v>
      </c>
      <c r="G553" s="5" t="s">
        <v>17</v>
      </c>
      <c r="H553" s="8">
        <f>IF(OR(LOOKUP(A553,characters!A:A,characters!B:B)=-1, LOOKUP(A553,characters!A:A,characters!B:B)+0.1&gt;=B553),1,0)</f>
        <v/>
      </c>
    </row>
    <row r="554" spans="1:11">
      <c r="A554" s="4" t="s">
        <v>37</v>
      </c>
      <c r="B554" s="7">
        <v>0.4</v>
      </c>
      <c r="C554" s="5" t="s">
        <v>17</v>
      </c>
      <c r="D554" s="5" t="s">
        <v>17</v>
      </c>
      <c r="E554" s="5" t="s">
        <v>17</v>
      </c>
      <c r="F554" s="6">
        <f>IF(H554=1,1.0,0)</f>
        <v/>
      </c>
      <c r="G554" s="5" t="s">
        <v>17</v>
      </c>
      <c r="H554" s="8">
        <f>IF(OR(LOOKUP(A554,characters!A:A,characters!B:B)=-1, LOOKUP(A554,characters!A:A,characters!B:B)+0.1&gt;=B554),1,0)</f>
        <v/>
      </c>
    </row>
    <row r="555" spans="1:11">
      <c r="A555" s="4" t="s">
        <v>46</v>
      </c>
      <c r="B555" s="7">
        <v>0.3</v>
      </c>
      <c r="C555" s="6">
        <f>IF(H555=1,1.0,0)</f>
        <v/>
      </c>
      <c r="D555" s="6">
        <f>IF(H555=1,1.0,0)</f>
        <v/>
      </c>
      <c r="E555" s="5" t="s">
        <v>17</v>
      </c>
      <c r="F555" s="5" t="s">
        <v>17</v>
      </c>
      <c r="G555" s="5" t="s">
        <v>17</v>
      </c>
      <c r="H555" s="8">
        <f>IF(OR(LOOKUP(A555,characters!A:A,characters!B:B)=-1, LOOKUP(A555,characters!A:A,characters!B:B)+0.1&gt;=B555),1,0)</f>
        <v/>
      </c>
    </row>
    <row r="556" spans="1:11">
      <c r="A556" s="4" t="s">
        <v>62</v>
      </c>
      <c r="B556" s="7">
        <v>0.1</v>
      </c>
      <c r="C556" s="6">
        <f>IF(H556=1,1.0,0)</f>
        <v/>
      </c>
      <c r="D556" s="6">
        <f>IF(H556=1,1.0,0)</f>
        <v/>
      </c>
      <c r="E556" s="5" t="s">
        <v>17</v>
      </c>
      <c r="F556" s="5" t="s">
        <v>17</v>
      </c>
      <c r="G556" s="5" t="s">
        <v>17</v>
      </c>
      <c r="H556" s="8">
        <f>IF(OR(LOOKUP(A556,characters!A:A,characters!B:B)=-1, LOOKUP(A556,characters!A:A,characters!B:B)+0.1&gt;=B556),1,0)</f>
        <v/>
      </c>
    </row>
    <row r="557" spans="1:11">
      <c r="A557" s="4" t="s">
        <v>40</v>
      </c>
      <c r="B557" s="7">
        <v>0.3</v>
      </c>
      <c r="C557" s="5" t="s">
        <v>17</v>
      </c>
      <c r="D557" s="5" t="s">
        <v>17</v>
      </c>
      <c r="E557" s="5" t="s">
        <v>17</v>
      </c>
      <c r="F557" s="6">
        <f>IF(H557=1,1.0,0)</f>
        <v/>
      </c>
      <c r="G557" s="6">
        <f>IF(H557=1,0.9,0)</f>
        <v/>
      </c>
      <c r="H557" s="8">
        <f>IF(OR(LOOKUP(A557,characters!A:A,characters!B:B)=-1, LOOKUP(A557,characters!A:A,characters!B:B)+0.1&gt;=B557),1,0)</f>
        <v/>
      </c>
    </row>
    <row r="558" spans="1:11">
      <c r="A558" s="4" t="s">
        <v>24</v>
      </c>
      <c r="B558" s="7">
        <v>0.4</v>
      </c>
      <c r="C558" s="6">
        <f>IF(H558=1,0.99,0)</f>
        <v/>
      </c>
      <c r="D558" s="6">
        <f>IF(H558=1,1.0,0)</f>
        <v/>
      </c>
      <c r="E558" s="5" t="s">
        <v>17</v>
      </c>
      <c r="F558" s="5" t="s">
        <v>17</v>
      </c>
      <c r="G558" s="5" t="s">
        <v>17</v>
      </c>
      <c r="H558" s="8">
        <f>IF(OR(LOOKUP(A558,characters!A:A,characters!B:B)=-1, LOOKUP(A558,characters!A:A,characters!B:B)+0.1&gt;=B558),1,0)</f>
        <v/>
      </c>
    </row>
    <row r="559" spans="1:11">
      <c r="A559" s="4" t="s">
        <v>47</v>
      </c>
      <c r="B559" s="7">
        <v>0.3</v>
      </c>
      <c r="C559" s="5" t="s">
        <v>17</v>
      </c>
      <c r="D559" s="5" t="s">
        <v>17</v>
      </c>
      <c r="E559" s="5" t="s">
        <v>17</v>
      </c>
      <c r="F559" s="6">
        <f>IF(H559=1,1.0,0)</f>
        <v/>
      </c>
      <c r="G559" s="5" t="s">
        <v>17</v>
      </c>
      <c r="H559" s="8">
        <f>IF(OR(LOOKUP(A559,characters!A:A,characters!B:B)=-1, LOOKUP(A559,characters!A:A,characters!B:B)+0.1&gt;=B559),1,0)</f>
        <v/>
      </c>
    </row>
    <row r="560" spans="1:11">
      <c r="A560" s="4" t="s">
        <v>56</v>
      </c>
      <c r="B560" s="7">
        <v>0.4</v>
      </c>
      <c r="C560" s="6">
        <f>IF(H560=1,1.0,0)</f>
        <v/>
      </c>
      <c r="D560" s="6">
        <f>IF(H560=1,0.99,0)</f>
        <v/>
      </c>
      <c r="E560" s="5" t="s">
        <v>17</v>
      </c>
      <c r="F560" s="5" t="s">
        <v>17</v>
      </c>
      <c r="G560" s="5" t="s">
        <v>17</v>
      </c>
      <c r="H560" s="8">
        <f>IF(OR(LOOKUP(A560,characters!A:A,characters!B:B)=-1, LOOKUP(A560,characters!A:A,characters!B:B)+0.1&gt;=B560),1,0)</f>
        <v/>
      </c>
    </row>
    <row r="561" spans="1:10">
      <c r="A561" s="4" t="s">
        <v>39</v>
      </c>
      <c r="B561" s="7">
        <v>0.3</v>
      </c>
      <c r="C561" s="6">
        <f>IF(H561=1,1.0,0)</f>
        <v/>
      </c>
      <c r="D561" s="6">
        <f>IF(H561=1,0.99,0)</f>
        <v/>
      </c>
      <c r="E561" s="5" t="s">
        <v>17</v>
      </c>
      <c r="F561" s="6">
        <f>IF(H561=1,0.99,0)</f>
        <v/>
      </c>
      <c r="G561" s="5" t="s">
        <v>17</v>
      </c>
      <c r="H561" s="8">
        <f>IF(OR(LOOKUP(A561,characters!A:A,characters!B:B)=-1, LOOKUP(A561,characters!A:A,characters!B:B)+0.1&gt;=B561),1,0)</f>
        <v/>
      </c>
    </row>
    <row r="562" spans="1:10">
      <c r="A562" s="4" t="s">
        <v>19</v>
      </c>
      <c r="B562" s="7">
        <v>1.3</v>
      </c>
      <c r="C562" s="6">
        <f>IF(H562=1,0.9,0)</f>
        <v/>
      </c>
      <c r="D562" s="5" t="s">
        <v>17</v>
      </c>
      <c r="E562" s="5" t="s">
        <v>17</v>
      </c>
      <c r="F562" s="5" t="s">
        <v>17</v>
      </c>
      <c r="G562" s="6">
        <f>IF(H562=1,1.0,0)</f>
        <v/>
      </c>
      <c r="H562" s="8">
        <f>IF(OR(LOOKUP(A562,characters!A:A,characters!B:B)=-1, LOOKUP(A562,characters!A:A,characters!B:B)+0.1&gt;=B562),1,0)</f>
        <v/>
      </c>
    </row>
    <row r="563" spans="1:10">
      <c r="A563" s="4" t="s">
        <v>57</v>
      </c>
      <c r="B563" s="7">
        <v>0.4</v>
      </c>
      <c r="C563" s="6">
        <f>IF(H563=1,1.0,0)</f>
        <v/>
      </c>
      <c r="D563" s="6">
        <f>IF(H563=1,0.99,0)</f>
        <v/>
      </c>
      <c r="E563" s="5" t="s">
        <v>17</v>
      </c>
      <c r="F563" s="5" t="s">
        <v>17</v>
      </c>
      <c r="G563" s="5" t="s">
        <v>17</v>
      </c>
      <c r="H563" s="8">
        <f>IF(OR(LOOKUP(A563,characters!A:A,characters!B:B)=-1, LOOKUP(A563,characters!A:A,characters!B:B)+0.1&gt;=B563),1,0)</f>
        <v/>
      </c>
    </row>
    <row r="564" spans="1:10">
      <c r="A564" s="4" t="s">
        <v>25</v>
      </c>
      <c r="B564" s="7">
        <v>0.3</v>
      </c>
      <c r="C564" s="6">
        <f>IF(H564=1,1.0,0)</f>
        <v/>
      </c>
      <c r="D564" s="5" t="s">
        <v>17</v>
      </c>
      <c r="E564" s="5" t="s">
        <v>17</v>
      </c>
      <c r="F564" s="5" t="s">
        <v>17</v>
      </c>
      <c r="G564" s="6">
        <f>IF(H564=1,0.99,0)</f>
        <v/>
      </c>
      <c r="H564" s="8">
        <f>IF(OR(LOOKUP(A564,characters!A:A,characters!B:B)=-1, LOOKUP(A564,characters!A:A,characters!B:B)+0.1&gt;=B564),1,0)</f>
        <v/>
      </c>
    </row>
    <row r="565" spans="1:10">
      <c r="A565" s="4" t="s">
        <v>48</v>
      </c>
      <c r="B565" s="7">
        <v>0.3</v>
      </c>
      <c r="C565" s="6">
        <f>IF(H565=1,1.0,0)</f>
        <v/>
      </c>
      <c r="D565" s="6">
        <f>IF(H565=1,1.0,0)</f>
        <v/>
      </c>
      <c r="E565" s="5" t="s">
        <v>17</v>
      </c>
      <c r="F565" s="5" t="s">
        <v>17</v>
      </c>
      <c r="G565" s="5" t="s">
        <v>17</v>
      </c>
      <c r="H565" s="8">
        <f>IF(OR(LOOKUP(A565,characters!A:A,characters!B:B)=-1, LOOKUP(A565,characters!A:A,characters!B:B)+0.1&gt;=B565),1,0)</f>
        <v/>
      </c>
    </row>
    <row r="566" spans="1:10">
      <c r="A566" s="4" t="s">
        <v>20</v>
      </c>
      <c r="B566" s="7">
        <v>1.3</v>
      </c>
      <c r="C566" s="5" t="s">
        <v>17</v>
      </c>
      <c r="D566" s="5" t="s">
        <v>17</v>
      </c>
      <c r="E566" s="5" t="s">
        <v>17</v>
      </c>
      <c r="F566" s="6">
        <f>IF(H566=1,1.0,0)</f>
        <v/>
      </c>
      <c r="G566" s="6">
        <f>IF(H566=1,1.0,0)</f>
        <v/>
      </c>
      <c r="H566" s="8">
        <f>IF(OR(LOOKUP(A566,characters!A:A,characters!B:B)=-1, LOOKUP(A566,characters!A:A,characters!B:B)+0.1&gt;=B566),1,0)</f>
        <v/>
      </c>
    </row>
    <row r="567" spans="1:10">
      <c r="A567" s="4" t="s">
        <v>49</v>
      </c>
      <c r="B567" s="7">
        <v>0.3</v>
      </c>
      <c r="C567" s="5" t="s">
        <v>17</v>
      </c>
      <c r="D567" s="5" t="s">
        <v>17</v>
      </c>
      <c r="E567" s="5" t="s">
        <v>17</v>
      </c>
      <c r="F567" s="6">
        <f>IF(H567=1,1.0,0)</f>
        <v/>
      </c>
      <c r="G567" s="6">
        <f>IF(H567=1,0.9,0)</f>
        <v/>
      </c>
      <c r="H567" s="8">
        <f>IF(OR(LOOKUP(A567,characters!A:A,characters!B:B)=-1, LOOKUP(A567,characters!A:A,characters!B:B)+0.1&gt;=B567),1,0)</f>
        <v/>
      </c>
    </row>
    <row r="568" spans="1:10">
      <c r="A568" s="4" t="s">
        <v>68</v>
      </c>
      <c r="B568" s="7">
        <v>0.3</v>
      </c>
      <c r="C568" s="6">
        <f>IF(H568=1,1.0,0)</f>
        <v/>
      </c>
      <c r="D568" s="6">
        <f>IF(H568=1,0.99,0)</f>
        <v/>
      </c>
      <c r="E568" s="5" t="s">
        <v>17</v>
      </c>
      <c r="F568" s="5" t="s">
        <v>17</v>
      </c>
      <c r="G568" s="5" t="s">
        <v>17</v>
      </c>
      <c r="H568" s="8">
        <f>IF(OR(LOOKUP(A568,characters!A:A,characters!B:B)=-1, LOOKUP(A568,characters!A:A,characters!B:B)+0.1&gt;=B568),1,0)</f>
        <v/>
      </c>
    </row>
    <row r="569" spans="1:10">
      <c r="A569" s="4" t="s">
        <v>21</v>
      </c>
      <c r="B569" s="7">
        <v>1.1</v>
      </c>
      <c r="C569" s="5" t="s">
        <v>17</v>
      </c>
      <c r="D569" s="5" t="s">
        <v>17</v>
      </c>
      <c r="E569" s="5" t="s">
        <v>17</v>
      </c>
      <c r="F569" s="6">
        <f>IF(H569=1,1.0,0)</f>
        <v/>
      </c>
      <c r="G569" s="6">
        <f>IF(H569=1,1.0,0)</f>
        <v/>
      </c>
      <c r="H569" s="8">
        <f>IF(OR(LOOKUP(A569,characters!A:A,characters!B:B)=-1, LOOKUP(A569,characters!A:A,characters!B:B)+0.1&gt;=B569),1,0)</f>
        <v/>
      </c>
    </row>
    <row r="570" spans="1:10">
      <c r="A570" s="4" t="s">
        <v>63</v>
      </c>
      <c r="B570" s="7">
        <v>0.3</v>
      </c>
      <c r="C570" s="6">
        <f>IF(H570=1,1.0,0)</f>
        <v/>
      </c>
      <c r="D570" s="6">
        <f>IF(H570=1,1.0,0)</f>
        <v/>
      </c>
      <c r="E570" s="5" t="s">
        <v>17</v>
      </c>
      <c r="F570" s="5" t="s">
        <v>17</v>
      </c>
      <c r="G570" s="5" t="s">
        <v>17</v>
      </c>
      <c r="H570" s="8">
        <f>IF(OR(LOOKUP(A570,characters!A:A,characters!B:B)=-1, LOOKUP(A570,characters!A:A,characters!B:B)+0.1&gt;=B570),1,0)</f>
        <v/>
      </c>
    </row>
    <row r="571" spans="1:10">
      <c r="A571" s="4" t="s">
        <v>23</v>
      </c>
      <c r="B571" s="7">
        <v>0.3</v>
      </c>
      <c r="C571" s="6">
        <f>IF(H571=1,0.9,0)</f>
        <v/>
      </c>
      <c r="D571" s="5" t="s">
        <v>17</v>
      </c>
      <c r="E571" s="5" t="s">
        <v>17</v>
      </c>
      <c r="F571" s="5" t="s">
        <v>17</v>
      </c>
      <c r="G571" s="6">
        <f>IF(H571=1,1.0,0)</f>
        <v/>
      </c>
      <c r="H571" s="8">
        <f>IF(OR(LOOKUP(A571,characters!A:A,characters!B:B)=-1, LOOKUP(A571,characters!A:A,characters!B:B)+0.1&gt;=B571),1,0)</f>
        <v/>
      </c>
    </row>
    <row r="572" spans="1:10">
      <c r="A572" s="4" t="s">
        <v>38</v>
      </c>
      <c r="B572" s="7">
        <v>0.3</v>
      </c>
      <c r="C572" s="5" t="s">
        <v>17</v>
      </c>
      <c r="D572" s="5" t="s">
        <v>17</v>
      </c>
      <c r="E572" s="5" t="s">
        <v>17</v>
      </c>
      <c r="F572" s="6">
        <f>IF(H572=1,1.0,0)</f>
        <v/>
      </c>
      <c r="G572" s="5" t="s">
        <v>17</v>
      </c>
      <c r="H572" s="8">
        <f>IF(OR(LOOKUP(A572,characters!A:A,characters!B:B)=-1, LOOKUP(A572,characters!A:A,characters!B:B)+0.1&gt;=B572),1,0)</f>
        <v/>
      </c>
    </row>
    <row r="573" spans="1:10">
      <c r="A573" s="4" t="s">
        <v>44</v>
      </c>
      <c r="B573" s="7">
        <v>0.3</v>
      </c>
      <c r="C573" s="6">
        <f>IF(H573=1,1.0,0)</f>
        <v/>
      </c>
      <c r="D573" s="6">
        <f>IF(H573=1,1.0,0)</f>
        <v/>
      </c>
      <c r="E573" s="5" t="s">
        <v>17</v>
      </c>
      <c r="F573" s="5" t="s">
        <v>17</v>
      </c>
      <c r="G573" s="5" t="s">
        <v>17</v>
      </c>
      <c r="H573" s="8">
        <f>IF(OR(LOOKUP(A573,characters!A:A,characters!B:B)=-1, LOOKUP(A573,characters!A:A,characters!B:B)+0.1&gt;=B573),1,0)</f>
        <v/>
      </c>
    </row>
    <row r="575" spans="1:10">
      <c r="A575" s="3" t="s">
        <v>27</v>
      </c>
      <c r="B575" s="3" t="s">
        <v>9</v>
      </c>
      <c r="C575" s="3" t="s">
        <v>28</v>
      </c>
      <c r="D575" s="3" t="s">
        <v>53</v>
      </c>
      <c r="E575" s="3" t="s">
        <v>41</v>
      </c>
      <c r="F575" s="3" t="s">
        <v>51</v>
      </c>
      <c r="G575" s="3" t="s">
        <v>10</v>
      </c>
      <c r="H575" s="3" t="s">
        <v>31</v>
      </c>
      <c r="I575" s="3" t="s">
        <v>29</v>
      </c>
      <c r="J575" s="3" t="s">
        <v>30</v>
      </c>
    </row>
    <row r="576" spans="1:10">
      <c r="A576" s="4" t="s">
        <v>16</v>
      </c>
      <c r="B576" s="5" t="s">
        <v>17</v>
      </c>
      <c r="C576" s="6">
        <f>IF(SUM(K577:K600)=0,0,SUM(C577:C600)/SUM(K577:K600))</f>
        <v/>
      </c>
      <c r="D576" s="6">
        <f>IF(SUM(K577:K600)=0,0,SUM(D577:D600)/SUM(K577:K600))</f>
        <v/>
      </c>
      <c r="E576" s="6">
        <f>IF(SUM(K577:K600)=0,0,SUM(E577:E600)/SUM(K577:K600))</f>
        <v/>
      </c>
      <c r="F576" s="6">
        <f>IF(SUM(K577:K600)=0,0,SUM(F577:F600)/SUM(K577:K600))</f>
        <v/>
      </c>
      <c r="G576" s="6">
        <f>IF(SUM(K577:K600)=0,0,SUM(G577:G600)/SUM(K577:K600))</f>
        <v/>
      </c>
      <c r="H576" s="6">
        <f>IF(SUM(K577:K600)=0,0,SUM(H577:H600)/SUM(K577:K600))</f>
        <v/>
      </c>
      <c r="I576" s="6">
        <f>IF(SUM(K577:K600)=0,0,SUM(I577:I600)/SUM(K577:K600))</f>
        <v/>
      </c>
      <c r="J576" s="6">
        <f>IF(SUM(K577:K600)=0,0,SUM(J577:J600)/SUM(K577:K600))</f>
        <v/>
      </c>
    </row>
    <row r="577" spans="1:11">
      <c r="A577" s="4" t="s">
        <v>55</v>
      </c>
      <c r="B577" s="7">
        <v>0.4</v>
      </c>
      <c r="C577" s="6">
        <f>IF(K577=1,1.0,0)</f>
        <v/>
      </c>
      <c r="D577" s="5" t="s">
        <v>17</v>
      </c>
      <c r="E577" s="5" t="s">
        <v>17</v>
      </c>
      <c r="F577" s="5" t="s">
        <v>17</v>
      </c>
      <c r="G577" s="5" t="s">
        <v>17</v>
      </c>
      <c r="H577" s="5" t="s">
        <v>17</v>
      </c>
      <c r="I577" s="5" t="s">
        <v>17</v>
      </c>
      <c r="J577" s="5" t="s">
        <v>17</v>
      </c>
      <c r="K577" s="8">
        <f>IF(OR(LOOKUP(A577,characters!A:A,characters!B:B)=-1, LOOKUP(A577,characters!A:A,characters!B:B)+0.1&gt;=B577),1,0)</f>
        <v/>
      </c>
    </row>
    <row r="578" spans="1:11">
      <c r="A578" s="4" t="s">
        <v>61</v>
      </c>
      <c r="B578" s="7">
        <v>0.3</v>
      </c>
      <c r="C578" s="6">
        <f>IF(K578=1,1.0,0)</f>
        <v/>
      </c>
      <c r="D578" s="5" t="s">
        <v>17</v>
      </c>
      <c r="E578" s="5" t="s">
        <v>17</v>
      </c>
      <c r="F578" s="5" t="s">
        <v>17</v>
      </c>
      <c r="G578" s="5" t="s">
        <v>17</v>
      </c>
      <c r="H578" s="5" t="s">
        <v>17</v>
      </c>
      <c r="I578" s="5" t="s">
        <v>17</v>
      </c>
      <c r="J578" s="5" t="s">
        <v>17</v>
      </c>
      <c r="K578" s="8">
        <f>IF(OR(LOOKUP(A578,characters!A:A,characters!B:B)=-1, LOOKUP(A578,characters!A:A,characters!B:B)+0.1&gt;=B578),1,0)</f>
        <v/>
      </c>
    </row>
    <row r="579" spans="1:11">
      <c r="A579" s="4" t="s">
        <v>59</v>
      </c>
      <c r="B579" s="7">
        <v>0.2</v>
      </c>
      <c r="C579" s="5" t="s">
        <v>17</v>
      </c>
      <c r="D579" s="6">
        <f>IF(K579=1,1.0,0)</f>
        <v/>
      </c>
      <c r="E579" s="6">
        <f>IF(K579=1,1.0,0)</f>
        <v/>
      </c>
      <c r="F579" s="5" t="s">
        <v>17</v>
      </c>
      <c r="G579" s="5" t="s">
        <v>17</v>
      </c>
      <c r="H579" s="5" t="s">
        <v>17</v>
      </c>
      <c r="I579" s="5" t="s">
        <v>17</v>
      </c>
      <c r="J579" s="5" t="s">
        <v>17</v>
      </c>
      <c r="K579" s="8">
        <f>IF(OR(LOOKUP(A579,characters!A:A,characters!B:B)=-1, LOOKUP(A579,characters!A:A,characters!B:B)+0.1&gt;=B579),1,0)</f>
        <v/>
      </c>
    </row>
    <row r="580" spans="1:11">
      <c r="A580" s="4" t="s">
        <v>50</v>
      </c>
      <c r="B580" s="7">
        <v>0.1</v>
      </c>
      <c r="C580" s="5" t="s">
        <v>17</v>
      </c>
      <c r="D580" s="5" t="s">
        <v>17</v>
      </c>
      <c r="E580" s="5" t="s">
        <v>17</v>
      </c>
      <c r="F580" s="6">
        <f>IF(K580=1,1.0,0)</f>
        <v/>
      </c>
      <c r="G580" s="6">
        <f>IF(K580=1,0.99,0)</f>
        <v/>
      </c>
      <c r="H580" s="5" t="s">
        <v>17</v>
      </c>
      <c r="I580" s="5" t="s">
        <v>17</v>
      </c>
      <c r="J580" s="5" t="s">
        <v>17</v>
      </c>
      <c r="K580" s="8">
        <f>IF(OR(LOOKUP(A580,characters!A:A,characters!B:B)=-1, LOOKUP(A580,characters!A:A,characters!B:B)+0.1&gt;=B580),1,0)</f>
        <v/>
      </c>
    </row>
    <row r="581" spans="1:11">
      <c r="A581" s="4" t="s">
        <v>37</v>
      </c>
      <c r="B581" s="7">
        <v>0.4</v>
      </c>
      <c r="C581" s="5" t="s">
        <v>17</v>
      </c>
      <c r="D581" s="5" t="s">
        <v>17</v>
      </c>
      <c r="E581" s="6">
        <f>IF(K581=1,1.0,0)</f>
        <v/>
      </c>
      <c r="F581" s="5" t="s">
        <v>17</v>
      </c>
      <c r="G581" s="5" t="s">
        <v>17</v>
      </c>
      <c r="H581" s="6">
        <f>IF(K581=1,0.99,0)</f>
        <v/>
      </c>
      <c r="I581" s="5" t="s">
        <v>17</v>
      </c>
      <c r="J581" s="5" t="s">
        <v>17</v>
      </c>
      <c r="K581" s="8">
        <f>IF(OR(LOOKUP(A581,characters!A:A,characters!B:B)=-1, LOOKUP(A581,characters!A:A,characters!B:B)+0.1&gt;=B581),1,0)</f>
        <v/>
      </c>
    </row>
    <row r="582" spans="1:11">
      <c r="A582" s="4" t="s">
        <v>46</v>
      </c>
      <c r="B582" s="7">
        <v>0.3</v>
      </c>
      <c r="C582" s="5" t="s">
        <v>17</v>
      </c>
      <c r="D582" s="5" t="s">
        <v>17</v>
      </c>
      <c r="E582" s="5" t="s">
        <v>17</v>
      </c>
      <c r="F582" s="6">
        <f>IF(K582=1,0.99,0)</f>
        <v/>
      </c>
      <c r="G582" s="6">
        <f>IF(K582=1,1.0,0)</f>
        <v/>
      </c>
      <c r="H582" s="5" t="s">
        <v>17</v>
      </c>
      <c r="I582" s="5" t="s">
        <v>17</v>
      </c>
      <c r="J582" s="5" t="s">
        <v>17</v>
      </c>
      <c r="K582" s="8">
        <f>IF(OR(LOOKUP(A582,characters!A:A,characters!B:B)=-1, LOOKUP(A582,characters!A:A,characters!B:B)+0.1&gt;=B582),1,0)</f>
        <v/>
      </c>
    </row>
    <row r="583" spans="1:11">
      <c r="A583" s="4" t="s">
        <v>62</v>
      </c>
      <c r="B583" s="7">
        <v>0.1</v>
      </c>
      <c r="C583" s="5" t="s">
        <v>17</v>
      </c>
      <c r="D583" s="5" t="s">
        <v>17</v>
      </c>
      <c r="E583" s="5" t="s">
        <v>17</v>
      </c>
      <c r="F583" s="5" t="s">
        <v>17</v>
      </c>
      <c r="G583" s="6">
        <f>IF(K583=1,0.9,0)</f>
        <v/>
      </c>
      <c r="H583" s="5" t="s">
        <v>17</v>
      </c>
      <c r="I583" s="6">
        <f>IF(K583=1,1.0,0)</f>
        <v/>
      </c>
      <c r="J583" s="5" t="s">
        <v>17</v>
      </c>
      <c r="K583" s="8">
        <f>IF(OR(LOOKUP(A583,characters!A:A,characters!B:B)=-1, LOOKUP(A583,characters!A:A,characters!B:B)+0.1&gt;=B583),1,0)</f>
        <v/>
      </c>
    </row>
    <row r="584" spans="1:11">
      <c r="A584" s="4" t="s">
        <v>40</v>
      </c>
      <c r="B584" s="7">
        <v>0.3</v>
      </c>
      <c r="C584" s="6">
        <f>IF(K584=1,1.0,0)</f>
        <v/>
      </c>
      <c r="D584" s="5" t="s">
        <v>17</v>
      </c>
      <c r="E584" s="5" t="s">
        <v>17</v>
      </c>
      <c r="F584" s="5" t="s">
        <v>17</v>
      </c>
      <c r="G584" s="6">
        <f>IF(K584=1,0.9,0)</f>
        <v/>
      </c>
      <c r="H584" s="6">
        <f>IF(K584=1,0.9,0)</f>
        <v/>
      </c>
      <c r="I584" s="5" t="s">
        <v>17</v>
      </c>
      <c r="J584" s="5" t="s">
        <v>17</v>
      </c>
      <c r="K584" s="8">
        <f>IF(OR(LOOKUP(A584,characters!A:A,characters!B:B)=-1, LOOKUP(A584,characters!A:A,characters!B:B)+0.1&gt;=B584),1,0)</f>
        <v/>
      </c>
    </row>
    <row r="585" spans="1:11">
      <c r="A585" s="4" t="s">
        <v>24</v>
      </c>
      <c r="B585" s="7">
        <v>0.4</v>
      </c>
      <c r="C585" s="6">
        <f>IF(K585=1,1.0,0)</f>
        <v/>
      </c>
      <c r="D585" s="5" t="s">
        <v>17</v>
      </c>
      <c r="E585" s="5" t="s">
        <v>17</v>
      </c>
      <c r="F585" s="5" t="s">
        <v>17</v>
      </c>
      <c r="G585" s="6">
        <f>IF(K585=1,0.99,0)</f>
        <v/>
      </c>
      <c r="H585" s="5" t="s">
        <v>17</v>
      </c>
      <c r="I585" s="5" t="s">
        <v>17</v>
      </c>
      <c r="J585" s="5" t="s">
        <v>17</v>
      </c>
      <c r="K585" s="8">
        <f>IF(OR(LOOKUP(A585,characters!A:A,characters!B:B)=-1, LOOKUP(A585,characters!A:A,characters!B:B)+0.1&gt;=B585),1,0)</f>
        <v/>
      </c>
    </row>
    <row r="586" spans="1:11">
      <c r="A586" s="4" t="s">
        <v>47</v>
      </c>
      <c r="B586" s="7">
        <v>0.3</v>
      </c>
      <c r="C586" s="5" t="s">
        <v>17</v>
      </c>
      <c r="D586" s="5" t="s">
        <v>17</v>
      </c>
      <c r="E586" s="5" t="s">
        <v>17</v>
      </c>
      <c r="F586" s="6">
        <f>IF(K586=1,1.0,0)</f>
        <v/>
      </c>
      <c r="G586" s="6">
        <f>IF(K586=1,0.89,0)</f>
        <v/>
      </c>
      <c r="H586" s="6">
        <f>IF(K586=1,0.9,0)</f>
        <v/>
      </c>
      <c r="I586" s="5" t="s">
        <v>17</v>
      </c>
      <c r="J586" s="5" t="s">
        <v>17</v>
      </c>
      <c r="K586" s="8">
        <f>IF(OR(LOOKUP(A586,characters!A:A,characters!B:B)=-1, LOOKUP(A586,characters!A:A,characters!B:B)+0.1&gt;=B586),1,0)</f>
        <v/>
      </c>
    </row>
    <row r="587" spans="1:11">
      <c r="A587" s="4" t="s">
        <v>56</v>
      </c>
      <c r="B587" s="7">
        <v>0.4</v>
      </c>
      <c r="C587" s="5" t="s">
        <v>17</v>
      </c>
      <c r="D587" s="5" t="s">
        <v>17</v>
      </c>
      <c r="E587" s="6">
        <f>IF(K587=1,1.0,0)</f>
        <v/>
      </c>
      <c r="F587" s="5" t="s">
        <v>17</v>
      </c>
      <c r="G587" s="5" t="s">
        <v>17</v>
      </c>
      <c r="H587" s="5" t="s">
        <v>17</v>
      </c>
      <c r="I587" s="5" t="s">
        <v>17</v>
      </c>
      <c r="J587" s="5" t="s">
        <v>17</v>
      </c>
      <c r="K587" s="8">
        <f>IF(OR(LOOKUP(A587,characters!A:A,characters!B:B)=-1, LOOKUP(A587,characters!A:A,characters!B:B)+0.1&gt;=B587),1,0)</f>
        <v/>
      </c>
    </row>
    <row r="588" spans="1:11">
      <c r="A588" s="4" t="s">
        <v>39</v>
      </c>
      <c r="B588" s="7">
        <v>0.3</v>
      </c>
      <c r="C588" s="5" t="s">
        <v>17</v>
      </c>
      <c r="D588" s="5" t="s">
        <v>17</v>
      </c>
      <c r="E588" s="6">
        <f>IF(K588=1,1.0,0)</f>
        <v/>
      </c>
      <c r="F588" s="5" t="s">
        <v>17</v>
      </c>
      <c r="G588" s="6">
        <f>IF(K588=1,1.0,0)</f>
        <v/>
      </c>
      <c r="H588" s="6">
        <f>IF(K588=1,1.0,0)</f>
        <v/>
      </c>
      <c r="I588" s="5" t="s">
        <v>17</v>
      </c>
      <c r="J588" s="5" t="s">
        <v>17</v>
      </c>
      <c r="K588" s="8">
        <f>IF(OR(LOOKUP(A588,characters!A:A,characters!B:B)=-1, LOOKUP(A588,characters!A:A,characters!B:B)+0.1&gt;=B588),1,0)</f>
        <v/>
      </c>
    </row>
    <row r="589" spans="1:11">
      <c r="A589" s="4" t="s">
        <v>19</v>
      </c>
      <c r="B589" s="7">
        <v>1.3</v>
      </c>
      <c r="C589" s="5" t="s">
        <v>17</v>
      </c>
      <c r="D589" s="5" t="s">
        <v>17</v>
      </c>
      <c r="E589" s="5" t="s">
        <v>17</v>
      </c>
      <c r="F589" s="5" t="s">
        <v>17</v>
      </c>
      <c r="G589" s="6">
        <f>IF(K589=1,1.0,0)</f>
        <v/>
      </c>
      <c r="H589" s="5" t="s">
        <v>17</v>
      </c>
      <c r="I589" s="5" t="s">
        <v>17</v>
      </c>
      <c r="J589" s="5" t="s">
        <v>17</v>
      </c>
      <c r="K589" s="8">
        <f>IF(OR(LOOKUP(A589,characters!A:A,characters!B:B)=-1, LOOKUP(A589,characters!A:A,characters!B:B)+0.1&gt;=B589),1,0)</f>
        <v/>
      </c>
    </row>
    <row r="590" spans="1:11">
      <c r="A590" s="4" t="s">
        <v>57</v>
      </c>
      <c r="B590" s="7">
        <v>0.4</v>
      </c>
      <c r="C590" s="5" t="s">
        <v>17</v>
      </c>
      <c r="D590" s="5" t="s">
        <v>17</v>
      </c>
      <c r="E590" s="5" t="s">
        <v>17</v>
      </c>
      <c r="F590" s="5" t="s">
        <v>17</v>
      </c>
      <c r="G590" s="5" t="s">
        <v>17</v>
      </c>
      <c r="H590" s="5" t="s">
        <v>17</v>
      </c>
      <c r="I590" s="6">
        <f>IF(K590=1,1.0,0)</f>
        <v/>
      </c>
      <c r="J590" s="5" t="s">
        <v>17</v>
      </c>
      <c r="K590" s="8">
        <f>IF(OR(LOOKUP(A590,characters!A:A,characters!B:B)=-1, LOOKUP(A590,characters!A:A,characters!B:B)+0.1&gt;=B590),1,0)</f>
        <v/>
      </c>
    </row>
    <row r="591" spans="1:11">
      <c r="A591" s="4" t="s">
        <v>25</v>
      </c>
      <c r="B591" s="7">
        <v>0.3</v>
      </c>
      <c r="C591" s="5" t="s">
        <v>17</v>
      </c>
      <c r="D591" s="5" t="s">
        <v>17</v>
      </c>
      <c r="E591" s="5" t="s">
        <v>17</v>
      </c>
      <c r="F591" s="5" t="s">
        <v>17</v>
      </c>
      <c r="G591" s="6">
        <f>IF(K591=1,1.0,0)</f>
        <v/>
      </c>
      <c r="H591" s="5" t="s">
        <v>17</v>
      </c>
      <c r="I591" s="6">
        <f>IF(K591=1,1.0,0)</f>
        <v/>
      </c>
      <c r="J591" s="5" t="s">
        <v>17</v>
      </c>
      <c r="K591" s="8">
        <f>IF(OR(LOOKUP(A591,characters!A:A,characters!B:B)=-1, LOOKUP(A591,characters!A:A,characters!B:B)+0.1&gt;=B591),1,0)</f>
        <v/>
      </c>
    </row>
    <row r="592" spans="1:11">
      <c r="A592" s="4" t="s">
        <v>48</v>
      </c>
      <c r="B592" s="7">
        <v>0.3</v>
      </c>
      <c r="C592" s="5" t="s">
        <v>17</v>
      </c>
      <c r="D592" s="5" t="s">
        <v>17</v>
      </c>
      <c r="E592" s="5" t="s">
        <v>17</v>
      </c>
      <c r="F592" s="6">
        <f>IF(K592=1,0.99,0)</f>
        <v/>
      </c>
      <c r="G592" s="6">
        <f>IF(K592=1,1.0,0)</f>
        <v/>
      </c>
      <c r="H592" s="5" t="s">
        <v>17</v>
      </c>
      <c r="I592" s="5" t="s">
        <v>17</v>
      </c>
      <c r="J592" s="5" t="s">
        <v>17</v>
      </c>
      <c r="K592" s="8">
        <f>IF(OR(LOOKUP(A592,characters!A:A,characters!B:B)=-1, LOOKUP(A592,characters!A:A,characters!B:B)+0.1&gt;=B592),1,0)</f>
        <v/>
      </c>
    </row>
    <row r="593" spans="1:11">
      <c r="A593" s="4" t="s">
        <v>20</v>
      </c>
      <c r="B593" s="7">
        <v>1.3</v>
      </c>
      <c r="C593" s="5" t="s">
        <v>17</v>
      </c>
      <c r="D593" s="5" t="s">
        <v>17</v>
      </c>
      <c r="E593" s="5" t="s">
        <v>17</v>
      </c>
      <c r="F593" s="5" t="s">
        <v>17</v>
      </c>
      <c r="G593" s="6">
        <f>IF(K593=1,0.9,0)</f>
        <v/>
      </c>
      <c r="H593" s="5" t="s">
        <v>17</v>
      </c>
      <c r="I593" s="5" t="s">
        <v>17</v>
      </c>
      <c r="J593" s="6">
        <f>IF(K593=1,1.0,0)</f>
        <v/>
      </c>
      <c r="K593" s="8">
        <f>IF(OR(LOOKUP(A593,characters!A:A,characters!B:B)=-1, LOOKUP(A593,characters!A:A,characters!B:B)+0.1&gt;=B593),1,0)</f>
        <v/>
      </c>
    </row>
    <row r="594" spans="1:11">
      <c r="A594" s="4" t="s">
        <v>49</v>
      </c>
      <c r="B594" s="7">
        <v>0.3</v>
      </c>
      <c r="C594" s="5" t="s">
        <v>17</v>
      </c>
      <c r="D594" s="5" t="s">
        <v>17</v>
      </c>
      <c r="E594" s="5" t="s">
        <v>17</v>
      </c>
      <c r="F594" s="6">
        <f>IF(K594=1,1.0,0)</f>
        <v/>
      </c>
      <c r="G594" s="6">
        <f>IF(K594=1,0.9,0)</f>
        <v/>
      </c>
      <c r="H594" s="6">
        <f>IF(K594=1,0.9,0)</f>
        <v/>
      </c>
      <c r="I594" s="5" t="s">
        <v>17</v>
      </c>
      <c r="J594" s="5" t="s">
        <v>17</v>
      </c>
      <c r="K594" s="8">
        <f>IF(OR(LOOKUP(A594,characters!A:A,characters!B:B)=-1, LOOKUP(A594,characters!A:A,characters!B:B)+0.1&gt;=B594),1,0)</f>
        <v/>
      </c>
    </row>
    <row r="595" spans="1:11">
      <c r="A595" s="4" t="s">
        <v>68</v>
      </c>
      <c r="B595" s="7">
        <v>0.3</v>
      </c>
      <c r="C595" s="6">
        <f>IF(K595=1,1.0,0)</f>
        <v/>
      </c>
      <c r="D595" s="5" t="s">
        <v>17</v>
      </c>
      <c r="E595" s="5" t="s">
        <v>17</v>
      </c>
      <c r="F595" s="5" t="s">
        <v>17</v>
      </c>
      <c r="G595" s="5" t="s">
        <v>17</v>
      </c>
      <c r="H595" s="5" t="s">
        <v>17</v>
      </c>
      <c r="I595" s="5" t="s">
        <v>17</v>
      </c>
      <c r="J595" s="5" t="s">
        <v>17</v>
      </c>
      <c r="K595" s="8">
        <f>IF(OR(LOOKUP(A595,characters!A:A,characters!B:B)=-1, LOOKUP(A595,characters!A:A,characters!B:B)+0.1&gt;=B595),1,0)</f>
        <v/>
      </c>
    </row>
    <row r="596" spans="1:11">
      <c r="A596" s="4" t="s">
        <v>21</v>
      </c>
      <c r="B596" s="7">
        <v>1.1</v>
      </c>
      <c r="C596" s="5" t="s">
        <v>17</v>
      </c>
      <c r="D596" s="5" t="s">
        <v>17</v>
      </c>
      <c r="E596" s="5" t="s">
        <v>17</v>
      </c>
      <c r="F596" s="5" t="s">
        <v>17</v>
      </c>
      <c r="G596" s="5" t="s">
        <v>17</v>
      </c>
      <c r="H596" s="6">
        <f>IF(K596=1,1.0,0)</f>
        <v/>
      </c>
      <c r="I596" s="5" t="s">
        <v>17</v>
      </c>
      <c r="J596" s="5" t="s">
        <v>17</v>
      </c>
      <c r="K596" s="8">
        <f>IF(OR(LOOKUP(A596,characters!A:A,characters!B:B)=-1, LOOKUP(A596,characters!A:A,characters!B:B)+0.1&gt;=B596),1,0)</f>
        <v/>
      </c>
    </row>
    <row r="597" spans="1:11">
      <c r="A597" s="4" t="s">
        <v>63</v>
      </c>
      <c r="B597" s="7">
        <v>0.3</v>
      </c>
      <c r="C597" s="5" t="s">
        <v>17</v>
      </c>
      <c r="D597" s="5" t="s">
        <v>17</v>
      </c>
      <c r="E597" s="6">
        <f>IF(K597=1,1.0,0)</f>
        <v/>
      </c>
      <c r="F597" s="5" t="s">
        <v>17</v>
      </c>
      <c r="G597" s="6">
        <f>IF(K597=1,0.9,0)</f>
        <v/>
      </c>
      <c r="H597" s="5" t="s">
        <v>17</v>
      </c>
      <c r="I597" s="5" t="s">
        <v>17</v>
      </c>
      <c r="J597" s="5" t="s">
        <v>17</v>
      </c>
      <c r="K597" s="8">
        <f>IF(OR(LOOKUP(A597,characters!A:A,characters!B:B)=-1, LOOKUP(A597,characters!A:A,characters!B:B)+0.1&gt;=B597),1,0)</f>
        <v/>
      </c>
    </row>
    <row r="598" spans="1:11">
      <c r="A598" s="4" t="s">
        <v>23</v>
      </c>
      <c r="B598" s="7">
        <v>0.3</v>
      </c>
      <c r="C598" s="5" t="s">
        <v>17</v>
      </c>
      <c r="D598" s="5" t="s">
        <v>17</v>
      </c>
      <c r="E598" s="5" t="s">
        <v>17</v>
      </c>
      <c r="F598" s="5" t="s">
        <v>17</v>
      </c>
      <c r="G598" s="6">
        <f>IF(K598=1,1.0,0)</f>
        <v/>
      </c>
      <c r="H598" s="5" t="s">
        <v>17</v>
      </c>
      <c r="I598" s="6">
        <f>IF(K598=1,0.9,0)</f>
        <v/>
      </c>
      <c r="J598" s="5" t="s">
        <v>17</v>
      </c>
      <c r="K598" s="8">
        <f>IF(OR(LOOKUP(A598,characters!A:A,characters!B:B)=-1, LOOKUP(A598,characters!A:A,characters!B:B)+0.1&gt;=B598),1,0)</f>
        <v/>
      </c>
    </row>
    <row r="599" spans="1:11">
      <c r="A599" s="4" t="s">
        <v>38</v>
      </c>
      <c r="B599" s="7">
        <v>0.3</v>
      </c>
      <c r="C599" s="6">
        <f>IF(K599=1,1.0,0)</f>
        <v/>
      </c>
      <c r="D599" s="5" t="s">
        <v>17</v>
      </c>
      <c r="E599" s="5" t="s">
        <v>17</v>
      </c>
      <c r="F599" s="5" t="s">
        <v>17</v>
      </c>
      <c r="G599" s="5" t="s">
        <v>17</v>
      </c>
      <c r="H599" s="6">
        <f>IF(K599=1,0.99,0)</f>
        <v/>
      </c>
      <c r="I599" s="5" t="s">
        <v>17</v>
      </c>
      <c r="J599" s="5" t="s">
        <v>17</v>
      </c>
      <c r="K599" s="8">
        <f>IF(OR(LOOKUP(A599,characters!A:A,characters!B:B)=-1, LOOKUP(A599,characters!A:A,characters!B:B)+0.1&gt;=B599),1,0)</f>
        <v/>
      </c>
    </row>
    <row r="600" spans="1:11">
      <c r="A600" s="4" t="s">
        <v>44</v>
      </c>
      <c r="B600" s="7">
        <v>0.3</v>
      </c>
      <c r="C600" s="5" t="s">
        <v>17</v>
      </c>
      <c r="D600" s="5" t="s">
        <v>17</v>
      </c>
      <c r="E600" s="5" t="s">
        <v>17</v>
      </c>
      <c r="F600" s="5" t="s">
        <v>17</v>
      </c>
      <c r="G600" s="6">
        <f>IF(K600=1,0.9,0)</f>
        <v/>
      </c>
      <c r="H600" s="6">
        <f>IF(K600=1,0.9,0)</f>
        <v/>
      </c>
      <c r="I600" s="5" t="s">
        <v>17</v>
      </c>
      <c r="J600" s="6">
        <f>IF(K600=1,1.0,0)</f>
        <v/>
      </c>
      <c r="K600" s="8">
        <f>IF(OR(LOOKUP(A600,characters!A:A,characters!B:B)=-1, LOOKUP(A600,characters!A:A,characters!B:B)+0.1&gt;=B600),1,0)</f>
        <v/>
      </c>
    </row>
    <row r="602" spans="1:11">
      <c r="A602" s="3" t="s">
        <v>32</v>
      </c>
      <c r="B602" s="3" t="s">
        <v>9</v>
      </c>
      <c r="C602" s="3" t="s">
        <v>42</v>
      </c>
      <c r="D602" s="3" t="s">
        <v>10</v>
      </c>
      <c r="E602" s="3" t="s">
        <v>53</v>
      </c>
      <c r="F602" s="3" t="s">
        <v>33</v>
      </c>
      <c r="G602" s="3" t="s">
        <v>34</v>
      </c>
    </row>
    <row r="603" spans="1:11">
      <c r="A603" s="4" t="s">
        <v>16</v>
      </c>
      <c r="B603" s="5" t="s">
        <v>17</v>
      </c>
      <c r="C603" s="6">
        <f>IF(SUM(H604:H627)=0,0,SUM(C604:C627)/SUM(H604:H627))</f>
        <v/>
      </c>
      <c r="D603" s="6">
        <f>IF(SUM(H604:H627)=0,0,SUM(D604:D627)/SUM(H604:H627))</f>
        <v/>
      </c>
      <c r="E603" s="6">
        <f>IF(SUM(H604:H627)=0,0,SUM(E604:E627)/SUM(H604:H627))</f>
        <v/>
      </c>
      <c r="F603" s="6">
        <f>IF(SUM(H604:H627)=0,0,SUM(F604:F627)/SUM(H604:H627))</f>
        <v/>
      </c>
      <c r="G603" s="6">
        <f>IF(SUM(H604:H627)=0,0,SUM(G604:G627)/SUM(H604:H627))</f>
        <v/>
      </c>
    </row>
    <row r="604" spans="1:11">
      <c r="A604" s="4" t="s">
        <v>55</v>
      </c>
      <c r="B604" s="7">
        <v>0.4</v>
      </c>
      <c r="C604" s="6">
        <f>IF(H604=1,1.0,0)</f>
        <v/>
      </c>
      <c r="D604" s="5" t="s">
        <v>17</v>
      </c>
      <c r="E604" s="5" t="s">
        <v>17</v>
      </c>
      <c r="F604" s="5" t="s">
        <v>17</v>
      </c>
      <c r="G604" s="5" t="s">
        <v>17</v>
      </c>
      <c r="H604" s="8">
        <f>IF(OR(LOOKUP(A604,characters!A:A,characters!B:B)=-1, LOOKUP(A604,characters!A:A,characters!B:B)+0.1&gt;=B604),1,0)</f>
        <v/>
      </c>
    </row>
    <row r="605" spans="1:11">
      <c r="A605" s="4" t="s">
        <v>61</v>
      </c>
      <c r="B605" s="7">
        <v>0.3</v>
      </c>
      <c r="C605" s="5" t="s">
        <v>17</v>
      </c>
      <c r="D605" s="6">
        <f>IF(H605=1,1.0,0)</f>
        <v/>
      </c>
      <c r="E605" s="5" t="s">
        <v>17</v>
      </c>
      <c r="F605" s="5" t="s">
        <v>17</v>
      </c>
      <c r="G605" s="5" t="s">
        <v>17</v>
      </c>
      <c r="H605" s="8">
        <f>IF(OR(LOOKUP(A605,characters!A:A,characters!B:B)=-1, LOOKUP(A605,characters!A:A,characters!B:B)+0.1&gt;=B605),1,0)</f>
        <v/>
      </c>
    </row>
    <row r="606" spans="1:11">
      <c r="A606" s="4" t="s">
        <v>59</v>
      </c>
      <c r="B606" s="7">
        <v>0.2</v>
      </c>
      <c r="C606" s="5" t="s">
        <v>17</v>
      </c>
      <c r="D606" s="5" t="s">
        <v>17</v>
      </c>
      <c r="E606" s="6">
        <f>IF(H606=1,1.0,0)</f>
        <v/>
      </c>
      <c r="F606" s="6">
        <f>IF(H606=1,1.0,0)</f>
        <v/>
      </c>
      <c r="G606" s="5" t="s">
        <v>17</v>
      </c>
      <c r="H606" s="8">
        <f>IF(OR(LOOKUP(A606,characters!A:A,characters!B:B)=-1, LOOKUP(A606,characters!A:A,characters!B:B)+0.1&gt;=B606),1,0)</f>
        <v/>
      </c>
    </row>
    <row r="607" spans="1:11">
      <c r="A607" s="4" t="s">
        <v>50</v>
      </c>
      <c r="B607" s="7">
        <v>0.1</v>
      </c>
      <c r="C607" s="5" t="s">
        <v>17</v>
      </c>
      <c r="D607" s="6">
        <f>IF(H607=1,1.0,0)</f>
        <v/>
      </c>
      <c r="E607" s="5" t="s">
        <v>17</v>
      </c>
      <c r="F607" s="5" t="s">
        <v>17</v>
      </c>
      <c r="G607" s="5" t="s">
        <v>17</v>
      </c>
      <c r="H607" s="8">
        <f>IF(OR(LOOKUP(A607,characters!A:A,characters!B:B)=-1, LOOKUP(A607,characters!A:A,characters!B:B)+0.1&gt;=B607),1,0)</f>
        <v/>
      </c>
    </row>
    <row r="608" spans="1:11">
      <c r="A608" s="4" t="s">
        <v>37</v>
      </c>
      <c r="B608" s="7">
        <v>0.4</v>
      </c>
      <c r="C608" s="5" t="s">
        <v>17</v>
      </c>
      <c r="D608" s="6">
        <f>IF(H608=1,1.0,0)</f>
        <v/>
      </c>
      <c r="E608" s="5" t="s">
        <v>17</v>
      </c>
      <c r="F608" s="5" t="s">
        <v>17</v>
      </c>
      <c r="G608" s="6">
        <f>IF(H608=1,1.0,0)</f>
        <v/>
      </c>
      <c r="H608" s="8">
        <f>IF(OR(LOOKUP(A608,characters!A:A,characters!B:B)=-1, LOOKUP(A608,characters!A:A,characters!B:B)+0.1&gt;=B608),1,0)</f>
        <v/>
      </c>
    </row>
    <row r="609" spans="1:8">
      <c r="A609" s="4" t="s">
        <v>46</v>
      </c>
      <c r="B609" s="7">
        <v>0.3</v>
      </c>
      <c r="C609" s="5" t="s">
        <v>17</v>
      </c>
      <c r="D609" s="6">
        <f>IF(H609=1,1.0,0)</f>
        <v/>
      </c>
      <c r="E609" s="5" t="s">
        <v>17</v>
      </c>
      <c r="F609" s="5" t="s">
        <v>17</v>
      </c>
      <c r="G609" s="5" t="s">
        <v>17</v>
      </c>
      <c r="H609" s="8">
        <f>IF(OR(LOOKUP(A609,characters!A:A,characters!B:B)=-1, LOOKUP(A609,characters!A:A,characters!B:B)+0.1&gt;=B609),1,0)</f>
        <v/>
      </c>
    </row>
    <row r="610" spans="1:8">
      <c r="A610" s="4" t="s">
        <v>62</v>
      </c>
      <c r="B610" s="7">
        <v>0.1</v>
      </c>
      <c r="C610" s="5" t="s">
        <v>17</v>
      </c>
      <c r="D610" s="6">
        <f>IF(H610=1,1.0,0)</f>
        <v/>
      </c>
      <c r="E610" s="5" t="s">
        <v>17</v>
      </c>
      <c r="F610" s="5" t="s">
        <v>17</v>
      </c>
      <c r="G610" s="5" t="s">
        <v>17</v>
      </c>
      <c r="H610" s="8">
        <f>IF(OR(LOOKUP(A610,characters!A:A,characters!B:B)=-1, LOOKUP(A610,characters!A:A,characters!B:B)+0.1&gt;=B610),1,0)</f>
        <v/>
      </c>
    </row>
    <row r="611" spans="1:8">
      <c r="A611" s="4" t="s">
        <v>40</v>
      </c>
      <c r="B611" s="7">
        <v>0.3</v>
      </c>
      <c r="C611" s="5" t="s">
        <v>17</v>
      </c>
      <c r="D611" s="6">
        <f>IF(H611=1,1.0,0)</f>
        <v/>
      </c>
      <c r="E611" s="5" t="s">
        <v>17</v>
      </c>
      <c r="F611" s="5" t="s">
        <v>17</v>
      </c>
      <c r="G611" s="6">
        <f>IF(H611=1,1.0,0)</f>
        <v/>
      </c>
      <c r="H611" s="8">
        <f>IF(OR(LOOKUP(A611,characters!A:A,characters!B:B)=-1, LOOKUP(A611,characters!A:A,characters!B:B)+0.1&gt;=B611),1,0)</f>
        <v/>
      </c>
    </row>
    <row r="612" spans="1:8">
      <c r="A612" s="4" t="s">
        <v>24</v>
      </c>
      <c r="B612" s="7">
        <v>0.4</v>
      </c>
      <c r="C612" s="5" t="s">
        <v>17</v>
      </c>
      <c r="D612" s="6">
        <f>IF(H612=1,1.0,0)</f>
        <v/>
      </c>
      <c r="E612" s="5" t="s">
        <v>17</v>
      </c>
      <c r="F612" s="5" t="s">
        <v>17</v>
      </c>
      <c r="G612" s="5" t="s">
        <v>17</v>
      </c>
      <c r="H612" s="8">
        <f>IF(OR(LOOKUP(A612,characters!A:A,characters!B:B)=-1, LOOKUP(A612,characters!A:A,characters!B:B)+0.1&gt;=B612),1,0)</f>
        <v/>
      </c>
    </row>
    <row r="613" spans="1:8">
      <c r="A613" s="4" t="s">
        <v>47</v>
      </c>
      <c r="B613" s="7">
        <v>0.3</v>
      </c>
      <c r="C613" s="5" t="s">
        <v>17</v>
      </c>
      <c r="D613" s="6">
        <f>IF(H613=1,0.99,0)</f>
        <v/>
      </c>
      <c r="E613" s="5" t="s">
        <v>17</v>
      </c>
      <c r="F613" s="5" t="s">
        <v>17</v>
      </c>
      <c r="G613" s="6">
        <f>IF(H613=1,1.0,0)</f>
        <v/>
      </c>
      <c r="H613" s="8">
        <f>IF(OR(LOOKUP(A613,characters!A:A,characters!B:B)=-1, LOOKUP(A613,characters!A:A,characters!B:B)+0.1&gt;=B613),1,0)</f>
        <v/>
      </c>
    </row>
    <row r="614" spans="1:8">
      <c r="A614" s="4" t="s">
        <v>56</v>
      </c>
      <c r="B614" s="7">
        <v>0.4</v>
      </c>
      <c r="C614" s="6">
        <f>IF(H614=1,1.0,0)</f>
        <v/>
      </c>
      <c r="D614" s="5" t="s">
        <v>17</v>
      </c>
      <c r="E614" s="5" t="s">
        <v>17</v>
      </c>
      <c r="F614" s="5" t="s">
        <v>17</v>
      </c>
      <c r="G614" s="5" t="s">
        <v>17</v>
      </c>
      <c r="H614" s="8">
        <f>IF(OR(LOOKUP(A614,characters!A:A,characters!B:B)=-1, LOOKUP(A614,characters!A:A,characters!B:B)+0.1&gt;=B614),1,0)</f>
        <v/>
      </c>
    </row>
    <row r="615" spans="1:8">
      <c r="A615" s="4" t="s">
        <v>39</v>
      </c>
      <c r="B615" s="7">
        <v>0.3</v>
      </c>
      <c r="C615" s="6">
        <f>IF(H615=1,1.0,0)</f>
        <v/>
      </c>
      <c r="D615" s="5" t="s">
        <v>17</v>
      </c>
      <c r="E615" s="5" t="s">
        <v>17</v>
      </c>
      <c r="F615" s="5" t="s">
        <v>17</v>
      </c>
      <c r="G615" s="5" t="s">
        <v>17</v>
      </c>
      <c r="H615" s="8">
        <f>IF(OR(LOOKUP(A615,characters!A:A,characters!B:B)=-1, LOOKUP(A615,characters!A:A,characters!B:B)+0.1&gt;=B615),1,0)</f>
        <v/>
      </c>
    </row>
    <row r="616" spans="1:8">
      <c r="A616" s="4" t="s">
        <v>19</v>
      </c>
      <c r="B616" s="7">
        <v>1.3</v>
      </c>
      <c r="C616" s="5" t="s">
        <v>17</v>
      </c>
      <c r="D616" s="6">
        <f>IF(H616=1,1.0,0)</f>
        <v/>
      </c>
      <c r="E616" s="5" t="s">
        <v>17</v>
      </c>
      <c r="F616" s="6">
        <f>IF(H616=1,1.0,0)</f>
        <v/>
      </c>
      <c r="G616" s="5" t="s">
        <v>17</v>
      </c>
      <c r="H616" s="8">
        <f>IF(OR(LOOKUP(A616,characters!A:A,characters!B:B)=-1, LOOKUP(A616,characters!A:A,characters!B:B)+0.1&gt;=B616),1,0)</f>
        <v/>
      </c>
    </row>
    <row r="617" spans="1:8">
      <c r="A617" s="4" t="s">
        <v>57</v>
      </c>
      <c r="B617" s="7">
        <v>0.4</v>
      </c>
      <c r="C617" s="6">
        <f>IF(H617=1,1.0,0)</f>
        <v/>
      </c>
      <c r="D617" s="5" t="s">
        <v>17</v>
      </c>
      <c r="E617" s="5" t="s">
        <v>17</v>
      </c>
      <c r="F617" s="5" t="s">
        <v>17</v>
      </c>
      <c r="G617" s="5" t="s">
        <v>17</v>
      </c>
      <c r="H617" s="8">
        <f>IF(OR(LOOKUP(A617,characters!A:A,characters!B:B)=-1, LOOKUP(A617,characters!A:A,characters!B:B)+0.1&gt;=B617),1,0)</f>
        <v/>
      </c>
    </row>
    <row r="618" spans="1:8">
      <c r="A618" s="4" t="s">
        <v>25</v>
      </c>
      <c r="B618" s="7">
        <v>0.3</v>
      </c>
      <c r="C618" s="5" t="s">
        <v>17</v>
      </c>
      <c r="D618" s="6">
        <f>IF(H618=1,1.0,0)</f>
        <v/>
      </c>
      <c r="E618" s="5" t="s">
        <v>17</v>
      </c>
      <c r="F618" s="5" t="s">
        <v>17</v>
      </c>
      <c r="G618" s="5" t="s">
        <v>17</v>
      </c>
      <c r="H618" s="8">
        <f>IF(OR(LOOKUP(A618,characters!A:A,characters!B:B)=-1, LOOKUP(A618,characters!A:A,characters!B:B)+0.1&gt;=B618),1,0)</f>
        <v/>
      </c>
    </row>
    <row r="619" spans="1:8">
      <c r="A619" s="4" t="s">
        <v>48</v>
      </c>
      <c r="B619" s="7">
        <v>0.3</v>
      </c>
      <c r="C619" s="5" t="s">
        <v>17</v>
      </c>
      <c r="D619" s="6">
        <f>IF(H619=1,1.0,0)</f>
        <v/>
      </c>
      <c r="E619" s="5" t="s">
        <v>17</v>
      </c>
      <c r="F619" s="5" t="s">
        <v>17</v>
      </c>
      <c r="G619" s="5" t="s">
        <v>17</v>
      </c>
      <c r="H619" s="8">
        <f>IF(OR(LOOKUP(A619,characters!A:A,characters!B:B)=-1, LOOKUP(A619,characters!A:A,characters!B:B)+0.1&gt;=B619),1,0)</f>
        <v/>
      </c>
    </row>
    <row r="620" spans="1:8">
      <c r="A620" s="4" t="s">
        <v>20</v>
      </c>
      <c r="B620" s="7">
        <v>1.3</v>
      </c>
      <c r="C620" s="5" t="s">
        <v>17</v>
      </c>
      <c r="D620" s="6">
        <f>IF(H620=1,1.0,0)</f>
        <v/>
      </c>
      <c r="E620" s="5" t="s">
        <v>17</v>
      </c>
      <c r="F620" s="6">
        <f>IF(H620=1,1.0,0)</f>
        <v/>
      </c>
      <c r="G620" s="5" t="s">
        <v>17</v>
      </c>
      <c r="H620" s="8">
        <f>IF(OR(LOOKUP(A620,characters!A:A,characters!B:B)=-1, LOOKUP(A620,characters!A:A,characters!B:B)+0.1&gt;=B620),1,0)</f>
        <v/>
      </c>
    </row>
    <row r="621" spans="1:8">
      <c r="A621" s="4" t="s">
        <v>49</v>
      </c>
      <c r="B621" s="7">
        <v>0.3</v>
      </c>
      <c r="C621" s="5" t="s">
        <v>17</v>
      </c>
      <c r="D621" s="6">
        <f>IF(H621=1,1.0,0)</f>
        <v/>
      </c>
      <c r="E621" s="5" t="s">
        <v>17</v>
      </c>
      <c r="F621" s="5" t="s">
        <v>17</v>
      </c>
      <c r="G621" s="6">
        <f>IF(H621=1,1.0,0)</f>
        <v/>
      </c>
      <c r="H621" s="8">
        <f>IF(OR(LOOKUP(A621,characters!A:A,characters!B:B)=-1, LOOKUP(A621,characters!A:A,characters!B:B)+0.1&gt;=B621),1,0)</f>
        <v/>
      </c>
    </row>
    <row r="622" spans="1:8">
      <c r="A622" s="4" t="s">
        <v>68</v>
      </c>
      <c r="B622" s="7">
        <v>0.3</v>
      </c>
      <c r="C622" s="6">
        <f>IF(H622=1,1.0,0)</f>
        <v/>
      </c>
      <c r="D622" s="5" t="s">
        <v>17</v>
      </c>
      <c r="E622" s="5" t="s">
        <v>17</v>
      </c>
      <c r="F622" s="5" t="s">
        <v>17</v>
      </c>
      <c r="G622" s="5" t="s">
        <v>17</v>
      </c>
      <c r="H622" s="8">
        <f>IF(OR(LOOKUP(A622,characters!A:A,characters!B:B)=-1, LOOKUP(A622,characters!A:A,characters!B:B)+0.1&gt;=B622),1,0)</f>
        <v/>
      </c>
    </row>
    <row r="623" spans="1:8">
      <c r="A623" s="4" t="s">
        <v>21</v>
      </c>
      <c r="B623" s="7">
        <v>1.1</v>
      </c>
      <c r="C623" s="5" t="s">
        <v>17</v>
      </c>
      <c r="D623" s="6">
        <f>IF(H623=1,0.99,0)</f>
        <v/>
      </c>
      <c r="E623" s="5" t="s">
        <v>17</v>
      </c>
      <c r="F623" s="6">
        <f>IF(H623=1,1.0,0)</f>
        <v/>
      </c>
      <c r="G623" s="5" t="s">
        <v>17</v>
      </c>
      <c r="H623" s="8">
        <f>IF(OR(LOOKUP(A623,characters!A:A,characters!B:B)=-1, LOOKUP(A623,characters!A:A,characters!B:B)+0.1&gt;=B623),1,0)</f>
        <v/>
      </c>
    </row>
    <row r="624" spans="1:8">
      <c r="A624" s="4" t="s">
        <v>63</v>
      </c>
      <c r="B624" s="7">
        <v>0.3</v>
      </c>
      <c r="C624" s="5" t="s">
        <v>17</v>
      </c>
      <c r="D624" s="6">
        <f>IF(H624=1,1.0,0)</f>
        <v/>
      </c>
      <c r="E624" s="5" t="s">
        <v>17</v>
      </c>
      <c r="F624" s="5" t="s">
        <v>17</v>
      </c>
      <c r="G624" s="5" t="s">
        <v>17</v>
      </c>
      <c r="H624" s="8">
        <f>IF(OR(LOOKUP(A624,characters!A:A,characters!B:B)=-1, LOOKUP(A624,characters!A:A,characters!B:B)+0.1&gt;=B624),1,0)</f>
        <v/>
      </c>
    </row>
    <row r="625" spans="1:11">
      <c r="A625" s="4" t="s">
        <v>23</v>
      </c>
      <c r="B625" s="7">
        <v>0.3</v>
      </c>
      <c r="C625" s="5" t="s">
        <v>17</v>
      </c>
      <c r="D625" s="6">
        <f>IF(H625=1,1.0,0)</f>
        <v/>
      </c>
      <c r="E625" s="5" t="s">
        <v>17</v>
      </c>
      <c r="F625" s="6">
        <f>IF(H625=1,1.0,0)</f>
        <v/>
      </c>
      <c r="G625" s="5" t="s">
        <v>17</v>
      </c>
      <c r="H625" s="8">
        <f>IF(OR(LOOKUP(A625,characters!A:A,characters!B:B)=-1, LOOKUP(A625,characters!A:A,characters!B:B)+0.1&gt;=B625),1,0)</f>
        <v/>
      </c>
    </row>
    <row r="626" spans="1:11">
      <c r="A626" s="4" t="s">
        <v>38</v>
      </c>
      <c r="B626" s="7">
        <v>0.3</v>
      </c>
      <c r="C626" s="5" t="s">
        <v>17</v>
      </c>
      <c r="D626" s="6">
        <f>IF(H626=1,1.0,0)</f>
        <v/>
      </c>
      <c r="E626" s="5" t="s">
        <v>17</v>
      </c>
      <c r="F626" s="5" t="s">
        <v>17</v>
      </c>
      <c r="G626" s="6">
        <f>IF(H626=1,1.0,0)</f>
        <v/>
      </c>
      <c r="H626" s="8">
        <f>IF(OR(LOOKUP(A626,characters!A:A,characters!B:B)=-1, LOOKUP(A626,characters!A:A,characters!B:B)+0.1&gt;=B626),1,0)</f>
        <v/>
      </c>
    </row>
    <row r="627" spans="1:11">
      <c r="A627" s="4" t="s">
        <v>44</v>
      </c>
      <c r="B627" s="7">
        <v>0.3</v>
      </c>
      <c r="C627" s="5" t="s">
        <v>17</v>
      </c>
      <c r="D627" s="6">
        <f>IF(H627=1,1.0,0)</f>
        <v/>
      </c>
      <c r="E627" s="5" t="s">
        <v>17</v>
      </c>
      <c r="F627" s="5" t="s">
        <v>17</v>
      </c>
      <c r="G627" s="5" t="s">
        <v>17</v>
      </c>
      <c r="H627" s="8">
        <f>IF(OR(LOOKUP(A627,characters!A:A,characters!B:B)=-1, LOOKUP(A627,characters!A:A,characters!B:B)+0.1&gt;=B627),1,0)</f>
        <v/>
      </c>
    </row>
    <row r="634" spans="1:11">
      <c r="A634" s="3" t="s">
        <v>69</v>
      </c>
    </row>
    <row r="635" spans="1:11">
      <c r="A635" s="3" t="s">
        <v>8</v>
      </c>
      <c r="B635" s="3" t="s">
        <v>9</v>
      </c>
      <c r="C635" s="3" t="s">
        <v>13</v>
      </c>
      <c r="D635" s="3" t="s">
        <v>14</v>
      </c>
      <c r="E635" s="3" t="s">
        <v>10</v>
      </c>
      <c r="F635" s="3" t="s">
        <v>12</v>
      </c>
      <c r="G635" s="3" t="s">
        <v>11</v>
      </c>
      <c r="H635" s="3" t="s">
        <v>15</v>
      </c>
      <c r="I635" s="3" t="s">
        <v>53</v>
      </c>
      <c r="J635" s="3" t="s">
        <v>54</v>
      </c>
    </row>
    <row r="636" spans="1:11">
      <c r="A636" s="4" t="s">
        <v>16</v>
      </c>
      <c r="B636" s="5" t="s">
        <v>17</v>
      </c>
      <c r="C636" s="6">
        <f>IF(SUM(K637:K644)=0,0,SUM(C637:C644)/SUM(K637:K644))</f>
        <v/>
      </c>
      <c r="D636" s="6">
        <f>IF(SUM(K637:K644)=0,0,SUM(D637:D644)/SUM(K637:K644))</f>
        <v/>
      </c>
      <c r="E636" s="6">
        <f>IF(SUM(K637:K644)=0,0,SUM(E637:E644)/SUM(K637:K644))</f>
        <v/>
      </c>
      <c r="F636" s="6">
        <f>IF(SUM(K637:K644)=0,0,SUM(F637:F644)/SUM(K637:K644))</f>
        <v/>
      </c>
      <c r="G636" s="6">
        <f>IF(SUM(K637:K644)=0,0,SUM(G637:G644)/SUM(K637:K644))</f>
        <v/>
      </c>
      <c r="H636" s="6">
        <f>IF(SUM(K637:K644)=0,0,SUM(H637:H644)/SUM(K637:K644))</f>
        <v/>
      </c>
      <c r="I636" s="6">
        <f>IF(SUM(K637:K644)=0,0,SUM(I637:I644)/SUM(K637:K644))</f>
        <v/>
      </c>
      <c r="J636" s="6">
        <f>IF(SUM(K637:K644)=0,0,SUM(J637:J644)/SUM(K637:K644))</f>
        <v/>
      </c>
    </row>
    <row r="637" spans="1:11">
      <c r="A637" s="4" t="s">
        <v>55</v>
      </c>
      <c r="B637" s="7">
        <v>0</v>
      </c>
      <c r="C637" s="6">
        <f>IF(K637=1,1.0,0)</f>
        <v/>
      </c>
      <c r="D637" s="6">
        <f>IF(K637=1,1.0,0)</f>
        <v/>
      </c>
      <c r="E637" s="6">
        <f>IF(K637=1,0.9,0)</f>
        <v/>
      </c>
      <c r="F637" s="6">
        <f>IF(K637=1,0.8,0)</f>
        <v/>
      </c>
      <c r="G637" s="6">
        <f>IF(K637=1,0.8,0)</f>
        <v/>
      </c>
      <c r="H637" s="5" t="s">
        <v>17</v>
      </c>
      <c r="I637" s="5" t="s">
        <v>17</v>
      </c>
      <c r="J637" s="5" t="s">
        <v>17</v>
      </c>
      <c r="K637" s="8">
        <f>IF(OR(LOOKUP(A637,characters!A:A,characters!B:B)=-1, LOOKUP(A637,characters!A:A,characters!B:B)+0.1&gt;=B637),1,0)</f>
        <v/>
      </c>
    </row>
    <row r="638" spans="1:11">
      <c r="A638" s="4" t="s">
        <v>56</v>
      </c>
      <c r="B638" s="7">
        <v>0</v>
      </c>
      <c r="C638" s="6">
        <f>IF(K638=1,1.0,0)</f>
        <v/>
      </c>
      <c r="D638" s="6">
        <f>IF(K638=1,1.0,0)</f>
        <v/>
      </c>
      <c r="E638" s="6">
        <f>IF(K638=1,0.9,0)</f>
        <v/>
      </c>
      <c r="F638" s="6">
        <f>IF(K638=1,0.8,0)</f>
        <v/>
      </c>
      <c r="G638" s="6">
        <f>IF(K638=1,0.8,0)</f>
        <v/>
      </c>
      <c r="H638" s="5" t="s">
        <v>17</v>
      </c>
      <c r="I638" s="5" t="s">
        <v>17</v>
      </c>
      <c r="J638" s="5" t="s">
        <v>17</v>
      </c>
      <c r="K638" s="8">
        <f>IF(OR(LOOKUP(A638,characters!A:A,characters!B:B)=-1, LOOKUP(A638,characters!A:A,characters!B:B)+0.1&gt;=B638),1,0)</f>
        <v/>
      </c>
    </row>
    <row r="639" spans="1:11">
      <c r="A639" s="4" t="s">
        <v>39</v>
      </c>
      <c r="B639" s="7">
        <v>0</v>
      </c>
      <c r="C639" s="6">
        <f>IF(K639=1,1.0,0)</f>
        <v/>
      </c>
      <c r="D639" s="6">
        <f>IF(K639=1,1.0,0)</f>
        <v/>
      </c>
      <c r="E639" s="6">
        <f>IF(K639=1,1.0,0)</f>
        <v/>
      </c>
      <c r="F639" s="6">
        <f>IF(K639=1,0.8,0)</f>
        <v/>
      </c>
      <c r="G639" s="6">
        <f>IF(K639=1,0.9,0)</f>
        <v/>
      </c>
      <c r="H639" s="6">
        <f>IF(K639=1,1.0,0)</f>
        <v/>
      </c>
      <c r="I639" s="5" t="s">
        <v>17</v>
      </c>
      <c r="J639" s="5" t="s">
        <v>17</v>
      </c>
      <c r="K639" s="8">
        <f>IF(OR(LOOKUP(A639,characters!A:A,characters!B:B)=-1, LOOKUP(A639,characters!A:A,characters!B:B)+0.1&gt;=B639),1,0)</f>
        <v/>
      </c>
    </row>
    <row r="640" spans="1:11">
      <c r="A640" s="4" t="s">
        <v>57</v>
      </c>
      <c r="B640" s="7">
        <v>0</v>
      </c>
      <c r="C640" s="6">
        <f>IF(K640=1,1.0,0)</f>
        <v/>
      </c>
      <c r="D640" s="6">
        <f>IF(K640=1,1.0,0)</f>
        <v/>
      </c>
      <c r="E640" s="6">
        <f>IF(K640=1,0.9,0)</f>
        <v/>
      </c>
      <c r="F640" s="6">
        <f>IF(K640=1,0.8,0)</f>
        <v/>
      </c>
      <c r="G640" s="6">
        <f>IF(K640=1,0.8,0)</f>
        <v/>
      </c>
      <c r="H640" s="5" t="s">
        <v>17</v>
      </c>
      <c r="I640" s="5" t="s">
        <v>17</v>
      </c>
      <c r="J640" s="5" t="s">
        <v>17</v>
      </c>
      <c r="K640" s="8">
        <f>IF(OR(LOOKUP(A640,characters!A:A,characters!B:B)=-1, LOOKUP(A640,characters!A:A,characters!B:B)+0.1&gt;=B640),1,0)</f>
        <v/>
      </c>
    </row>
    <row r="641" spans="1:11">
      <c r="A641" s="4" t="s">
        <v>68</v>
      </c>
      <c r="B641" s="7">
        <v>0</v>
      </c>
      <c r="C641" s="6">
        <f>IF(K641=1,1.0,0)</f>
        <v/>
      </c>
      <c r="D641" s="6">
        <f>IF(K641=1,1.0,0)</f>
        <v/>
      </c>
      <c r="E641" s="6">
        <f>IF(K641=1,0.9,0)</f>
        <v/>
      </c>
      <c r="F641" s="6">
        <f>IF(K641=1,0.8,0)</f>
        <v/>
      </c>
      <c r="G641" s="6">
        <f>IF(K641=1,0.8,0)</f>
        <v/>
      </c>
      <c r="H641" s="5" t="s">
        <v>17</v>
      </c>
      <c r="I641" s="5" t="s">
        <v>17</v>
      </c>
      <c r="J641" s="5" t="s">
        <v>17</v>
      </c>
      <c r="K641" s="8">
        <f>IF(OR(LOOKUP(A641,characters!A:A,characters!B:B)=-1, LOOKUP(A641,characters!A:A,characters!B:B)+0.1&gt;=B641),1,0)</f>
        <v/>
      </c>
    </row>
    <row r="642" spans="1:11">
      <c r="A642" s="4" t="s">
        <v>58</v>
      </c>
      <c r="B642" s="7">
        <v>0.2</v>
      </c>
      <c r="C642" s="6">
        <f>IF(K642=1,1.0,0)</f>
        <v/>
      </c>
      <c r="D642" s="6">
        <f>IF(K642=1,1.0,0)</f>
        <v/>
      </c>
      <c r="E642" s="6">
        <f>IF(K642=1,0.9,0)</f>
        <v/>
      </c>
      <c r="F642" s="6">
        <f>IF(K642=1,0.8,0)</f>
        <v/>
      </c>
      <c r="G642" s="6">
        <f>IF(K642=1,0.8,0)</f>
        <v/>
      </c>
      <c r="H642" s="6">
        <f>IF(K642=1,1.0,0)</f>
        <v/>
      </c>
      <c r="I642" s="5" t="s">
        <v>17</v>
      </c>
      <c r="J642" s="5" t="s">
        <v>17</v>
      </c>
      <c r="K642" s="8">
        <f>IF(OR(LOOKUP(A642,characters!A:A,characters!B:B)=-1, LOOKUP(A642,characters!A:A,characters!B:B)+0.1&gt;=B642),1,0)</f>
        <v/>
      </c>
    </row>
    <row r="643" spans="1:11">
      <c r="A643" s="4" t="s">
        <v>59</v>
      </c>
      <c r="B643" s="7">
        <v>1.2</v>
      </c>
      <c r="C643" s="6">
        <f>IF(K643=1,0.9,0)</f>
        <v/>
      </c>
      <c r="D643" s="6">
        <f>IF(K643=1,0.9,0)</f>
        <v/>
      </c>
      <c r="E643" s="5" t="s">
        <v>17</v>
      </c>
      <c r="F643" s="6">
        <f>IF(K643=1,0.7,0)</f>
        <v/>
      </c>
      <c r="G643" s="5" t="s">
        <v>17</v>
      </c>
      <c r="H643" s="5" t="s">
        <v>17</v>
      </c>
      <c r="I643" s="6">
        <f>IF(K643=1,1.0,0)</f>
        <v/>
      </c>
      <c r="J643" s="6">
        <f>IF(K643=1,0.8,0)</f>
        <v/>
      </c>
      <c r="K643" s="8">
        <f>IF(OR(LOOKUP(A643,characters!A:A,characters!B:B)=-1, LOOKUP(A643,characters!A:A,characters!B:B)+0.1&gt;=B643),1,0)</f>
        <v/>
      </c>
    </row>
    <row r="644" spans="1:11">
      <c r="A644" s="4" t="s">
        <v>22</v>
      </c>
      <c r="B644" s="7">
        <v>1.2</v>
      </c>
      <c r="C644" s="5" t="s">
        <v>17</v>
      </c>
      <c r="D644" s="5" t="s">
        <v>17</v>
      </c>
      <c r="E644" s="6">
        <f>IF(K644=1,1.0,0)</f>
        <v/>
      </c>
      <c r="F644" s="6">
        <f>IF(K644=1,0.7,0)</f>
        <v/>
      </c>
      <c r="G644" s="6">
        <f>IF(K644=1,0.8,0)</f>
        <v/>
      </c>
      <c r="H644" s="6">
        <f>IF(K644=1,0.9,0)</f>
        <v/>
      </c>
      <c r="I644" s="5" t="s">
        <v>17</v>
      </c>
      <c r="J644" s="5" t="s">
        <v>17</v>
      </c>
      <c r="K644" s="8">
        <f>IF(OR(LOOKUP(A644,characters!A:A,characters!B:B)=-1, LOOKUP(A644,characters!A:A,characters!B:B)+0.1&gt;=B644),1,0)</f>
        <v/>
      </c>
    </row>
    <row r="646" spans="1:11">
      <c r="A646" s="3" t="s">
        <v>26</v>
      </c>
      <c r="B646" s="3" t="s">
        <v>9</v>
      </c>
      <c r="C646" s="3" t="s">
        <v>13</v>
      </c>
      <c r="D646" s="3" t="s">
        <v>14</v>
      </c>
      <c r="E646" s="3" t="s">
        <v>53</v>
      </c>
      <c r="F646" s="3" t="s">
        <v>15</v>
      </c>
      <c r="G646" s="3" t="s">
        <v>10</v>
      </c>
    </row>
    <row r="647" spans="1:11">
      <c r="A647" s="4" t="s">
        <v>16</v>
      </c>
      <c r="B647" s="5" t="s">
        <v>17</v>
      </c>
      <c r="C647" s="6">
        <f>IF(SUM(H648:H655)=0,0,SUM(C648:C655)/SUM(H648:H655))</f>
        <v/>
      </c>
      <c r="D647" s="6">
        <f>IF(SUM(H648:H655)=0,0,SUM(D648:D655)/SUM(H648:H655))</f>
        <v/>
      </c>
      <c r="E647" s="6">
        <f>IF(SUM(H648:H655)=0,0,SUM(E648:E655)/SUM(H648:H655))</f>
        <v/>
      </c>
      <c r="F647" s="6">
        <f>IF(SUM(H648:H655)=0,0,SUM(F648:F655)/SUM(H648:H655))</f>
        <v/>
      </c>
      <c r="G647" s="6">
        <f>IF(SUM(H648:H655)=0,0,SUM(G648:G655)/SUM(H648:H655))</f>
        <v/>
      </c>
    </row>
    <row r="648" spans="1:11">
      <c r="A648" s="4" t="s">
        <v>55</v>
      </c>
      <c r="B648" s="7">
        <v>0</v>
      </c>
      <c r="C648" s="6">
        <f>IF(H648=1,1.0,0)</f>
        <v/>
      </c>
      <c r="D648" s="6">
        <f>IF(H648=1,0.99,0)</f>
        <v/>
      </c>
      <c r="E648" s="5" t="s">
        <v>17</v>
      </c>
      <c r="F648" s="5" t="s">
        <v>17</v>
      </c>
      <c r="G648" s="5" t="s">
        <v>17</v>
      </c>
      <c r="H648" s="8">
        <f>IF(OR(LOOKUP(A648,characters!A:A,characters!B:B)=-1, LOOKUP(A648,characters!A:A,characters!B:B)+0.1&gt;=B648),1,0)</f>
        <v/>
      </c>
    </row>
    <row r="649" spans="1:11">
      <c r="A649" s="4" t="s">
        <v>59</v>
      </c>
      <c r="B649" s="7">
        <v>1.2</v>
      </c>
      <c r="C649" s="5" t="s">
        <v>17</v>
      </c>
      <c r="D649" s="6">
        <f>IF(H649=1,0.9,0)</f>
        <v/>
      </c>
      <c r="E649" s="6">
        <f>IF(H649=1,1.0,0)</f>
        <v/>
      </c>
      <c r="F649" s="5" t="s">
        <v>17</v>
      </c>
      <c r="G649" s="5" t="s">
        <v>17</v>
      </c>
      <c r="H649" s="8">
        <f>IF(OR(LOOKUP(A649,characters!A:A,characters!B:B)=-1, LOOKUP(A649,characters!A:A,characters!B:B)+0.1&gt;=B649),1,0)</f>
        <v/>
      </c>
    </row>
    <row r="650" spans="1:11">
      <c r="A650" s="4" t="s">
        <v>58</v>
      </c>
      <c r="B650" s="7">
        <v>0.2</v>
      </c>
      <c r="C650" s="6">
        <f>IF(H650=1,1.0,0)</f>
        <v/>
      </c>
      <c r="D650" s="5" t="s">
        <v>17</v>
      </c>
      <c r="E650" s="5" t="s">
        <v>17</v>
      </c>
      <c r="F650" s="6">
        <f>IF(H650=1,1.0,0)</f>
        <v/>
      </c>
      <c r="G650" s="5" t="s">
        <v>17</v>
      </c>
      <c r="H650" s="8">
        <f>IF(OR(LOOKUP(A650,characters!A:A,characters!B:B)=-1, LOOKUP(A650,characters!A:A,characters!B:B)+0.1&gt;=B650),1,0)</f>
        <v/>
      </c>
    </row>
    <row r="651" spans="1:11">
      <c r="A651" s="4" t="s">
        <v>56</v>
      </c>
      <c r="B651" s="7">
        <v>0</v>
      </c>
      <c r="C651" s="6">
        <f>IF(H651=1,1.0,0)</f>
        <v/>
      </c>
      <c r="D651" s="6">
        <f>IF(H651=1,0.99,0)</f>
        <v/>
      </c>
      <c r="E651" s="5" t="s">
        <v>17</v>
      </c>
      <c r="F651" s="5" t="s">
        <v>17</v>
      </c>
      <c r="G651" s="5" t="s">
        <v>17</v>
      </c>
      <c r="H651" s="8">
        <f>IF(OR(LOOKUP(A651,characters!A:A,characters!B:B)=-1, LOOKUP(A651,characters!A:A,characters!B:B)+0.1&gt;=B651),1,0)</f>
        <v/>
      </c>
    </row>
    <row r="652" spans="1:11">
      <c r="A652" s="4" t="s">
        <v>39</v>
      </c>
      <c r="B652" s="7">
        <v>0</v>
      </c>
      <c r="C652" s="6">
        <f>IF(H652=1,1.0,0)</f>
        <v/>
      </c>
      <c r="D652" s="6">
        <f>IF(H652=1,0.99,0)</f>
        <v/>
      </c>
      <c r="E652" s="5" t="s">
        <v>17</v>
      </c>
      <c r="F652" s="6">
        <f>IF(H652=1,0.99,0)</f>
        <v/>
      </c>
      <c r="G652" s="5" t="s">
        <v>17</v>
      </c>
      <c r="H652" s="8">
        <f>IF(OR(LOOKUP(A652,characters!A:A,characters!B:B)=-1, LOOKUP(A652,characters!A:A,characters!B:B)+0.1&gt;=B652),1,0)</f>
        <v/>
      </c>
    </row>
    <row r="653" spans="1:11">
      <c r="A653" s="4" t="s">
        <v>57</v>
      </c>
      <c r="B653" s="7">
        <v>0</v>
      </c>
      <c r="C653" s="6">
        <f>IF(H653=1,1.0,0)</f>
        <v/>
      </c>
      <c r="D653" s="6">
        <f>IF(H653=1,0.99,0)</f>
        <v/>
      </c>
      <c r="E653" s="5" t="s">
        <v>17</v>
      </c>
      <c r="F653" s="5" t="s">
        <v>17</v>
      </c>
      <c r="G653" s="5" t="s">
        <v>17</v>
      </c>
      <c r="H653" s="8">
        <f>IF(OR(LOOKUP(A653,characters!A:A,characters!B:B)=-1, LOOKUP(A653,characters!A:A,characters!B:B)+0.1&gt;=B653),1,0)</f>
        <v/>
      </c>
    </row>
    <row r="654" spans="1:11">
      <c r="A654" s="4" t="s">
        <v>68</v>
      </c>
      <c r="B654" s="7">
        <v>0</v>
      </c>
      <c r="C654" s="6">
        <f>IF(H654=1,1.0,0)</f>
        <v/>
      </c>
      <c r="D654" s="6">
        <f>IF(H654=1,0.99,0)</f>
        <v/>
      </c>
      <c r="E654" s="5" t="s">
        <v>17</v>
      </c>
      <c r="F654" s="5" t="s">
        <v>17</v>
      </c>
      <c r="G654" s="5" t="s">
        <v>17</v>
      </c>
      <c r="H654" s="8">
        <f>IF(OR(LOOKUP(A654,characters!A:A,characters!B:B)=-1, LOOKUP(A654,characters!A:A,characters!B:B)+0.1&gt;=B654),1,0)</f>
        <v/>
      </c>
    </row>
    <row r="655" spans="1:11">
      <c r="A655" s="4" t="s">
        <v>22</v>
      </c>
      <c r="B655" s="7">
        <v>1.2</v>
      </c>
      <c r="C655" s="5" t="s">
        <v>17</v>
      </c>
      <c r="D655" s="5" t="s">
        <v>17</v>
      </c>
      <c r="E655" s="5" t="s">
        <v>17</v>
      </c>
      <c r="F655" s="6">
        <f>IF(H655=1,0.99,0)</f>
        <v/>
      </c>
      <c r="G655" s="6">
        <f>IF(H655=1,1.0,0)</f>
        <v/>
      </c>
      <c r="H655" s="8">
        <f>IF(OR(LOOKUP(A655,characters!A:A,characters!B:B)=-1, LOOKUP(A655,characters!A:A,characters!B:B)+0.1&gt;=B655),1,0)</f>
        <v/>
      </c>
    </row>
    <row r="657" spans="1:10">
      <c r="A657" s="3" t="s">
        <v>27</v>
      </c>
      <c r="B657" s="3" t="s">
        <v>9</v>
      </c>
      <c r="C657" s="3" t="s">
        <v>28</v>
      </c>
      <c r="D657" s="3" t="s">
        <v>53</v>
      </c>
      <c r="E657" s="3" t="s">
        <v>41</v>
      </c>
      <c r="F657" s="3" t="s">
        <v>51</v>
      </c>
      <c r="G657" s="3" t="s">
        <v>10</v>
      </c>
      <c r="H657" s="3" t="s">
        <v>31</v>
      </c>
      <c r="I657" s="3" t="s">
        <v>29</v>
      </c>
    </row>
    <row r="658" spans="1:10">
      <c r="A658" s="4" t="s">
        <v>16</v>
      </c>
      <c r="B658" s="5" t="s">
        <v>17</v>
      </c>
      <c r="C658" s="6">
        <f>IF(SUM(J659:J666)=0,0,SUM(C659:C666)/SUM(J659:J666))</f>
        <v/>
      </c>
      <c r="D658" s="6">
        <f>IF(SUM(J659:J666)=0,0,SUM(D659:D666)/SUM(J659:J666))</f>
        <v/>
      </c>
      <c r="E658" s="6">
        <f>IF(SUM(J659:J666)=0,0,SUM(E659:E666)/SUM(J659:J666))</f>
        <v/>
      </c>
      <c r="F658" s="6">
        <f>IF(SUM(J659:J666)=0,0,SUM(F659:F666)/SUM(J659:J666))</f>
        <v/>
      </c>
      <c r="G658" s="6">
        <f>IF(SUM(J659:J666)=0,0,SUM(G659:G666)/SUM(J659:J666))</f>
        <v/>
      </c>
      <c r="H658" s="6">
        <f>IF(SUM(J659:J666)=0,0,SUM(H659:H666)/SUM(J659:J666))</f>
        <v/>
      </c>
      <c r="I658" s="6">
        <f>IF(SUM(J659:J666)=0,0,SUM(I659:I666)/SUM(J659:J666))</f>
        <v/>
      </c>
    </row>
    <row r="659" spans="1:10">
      <c r="A659" s="4" t="s">
        <v>55</v>
      </c>
      <c r="B659" s="7">
        <v>0</v>
      </c>
      <c r="C659" s="6">
        <f>IF(J659=1,1.0,0)</f>
        <v/>
      </c>
      <c r="D659" s="5" t="s">
        <v>17</v>
      </c>
      <c r="E659" s="5" t="s">
        <v>17</v>
      </c>
      <c r="F659" s="5" t="s">
        <v>17</v>
      </c>
      <c r="G659" s="5" t="s">
        <v>17</v>
      </c>
      <c r="H659" s="5" t="s">
        <v>17</v>
      </c>
      <c r="I659" s="5" t="s">
        <v>17</v>
      </c>
      <c r="J659" s="8">
        <f>IF(OR(LOOKUP(A659,characters!A:A,characters!B:B)=-1, LOOKUP(A659,characters!A:A,characters!B:B)+0.1&gt;=B659),1,0)</f>
        <v/>
      </c>
    </row>
    <row r="660" spans="1:10">
      <c r="A660" s="4" t="s">
        <v>59</v>
      </c>
      <c r="B660" s="7">
        <v>1.2</v>
      </c>
      <c r="C660" s="5" t="s">
        <v>17</v>
      </c>
      <c r="D660" s="6">
        <f>IF(J660=1,1.0,0)</f>
        <v/>
      </c>
      <c r="E660" s="6">
        <f>IF(J660=1,1.0,0)</f>
        <v/>
      </c>
      <c r="F660" s="5" t="s">
        <v>17</v>
      </c>
      <c r="G660" s="5" t="s">
        <v>17</v>
      </c>
      <c r="H660" s="5" t="s">
        <v>17</v>
      </c>
      <c r="I660" s="5" t="s">
        <v>17</v>
      </c>
      <c r="J660" s="8">
        <f>IF(OR(LOOKUP(A660,characters!A:A,characters!B:B)=-1, LOOKUP(A660,characters!A:A,characters!B:B)+0.1&gt;=B660),1,0)</f>
        <v/>
      </c>
    </row>
    <row r="661" spans="1:10">
      <c r="A661" s="4" t="s">
        <v>58</v>
      </c>
      <c r="B661" s="7">
        <v>0.2</v>
      </c>
      <c r="C661" s="5" t="s">
        <v>17</v>
      </c>
      <c r="D661" s="5" t="s">
        <v>17</v>
      </c>
      <c r="E661" s="5" t="s">
        <v>17</v>
      </c>
      <c r="F661" s="6">
        <f>IF(J661=1,1.0,0)</f>
        <v/>
      </c>
      <c r="G661" s="6">
        <f>IF(J661=1,0.9,0)</f>
        <v/>
      </c>
      <c r="H661" s="6">
        <f>IF(J661=1,0.9,0)</f>
        <v/>
      </c>
      <c r="I661" s="5" t="s">
        <v>17</v>
      </c>
      <c r="J661" s="8">
        <f>IF(OR(LOOKUP(A661,characters!A:A,characters!B:B)=-1, LOOKUP(A661,characters!A:A,characters!B:B)+0.1&gt;=B661),1,0)</f>
        <v/>
      </c>
    </row>
    <row r="662" spans="1:10">
      <c r="A662" s="4" t="s">
        <v>56</v>
      </c>
      <c r="B662" s="7">
        <v>0</v>
      </c>
      <c r="C662" s="5" t="s">
        <v>17</v>
      </c>
      <c r="D662" s="5" t="s">
        <v>17</v>
      </c>
      <c r="E662" s="6">
        <f>IF(J662=1,1.0,0)</f>
        <v/>
      </c>
      <c r="F662" s="5" t="s">
        <v>17</v>
      </c>
      <c r="G662" s="5" t="s">
        <v>17</v>
      </c>
      <c r="H662" s="5" t="s">
        <v>17</v>
      </c>
      <c r="I662" s="5" t="s">
        <v>17</v>
      </c>
      <c r="J662" s="8">
        <f>IF(OR(LOOKUP(A662,characters!A:A,characters!B:B)=-1, LOOKUP(A662,characters!A:A,characters!B:B)+0.1&gt;=B662),1,0)</f>
        <v/>
      </c>
    </row>
    <row r="663" spans="1:10">
      <c r="A663" s="4" t="s">
        <v>39</v>
      </c>
      <c r="B663" s="7">
        <v>0</v>
      </c>
      <c r="C663" s="5" t="s">
        <v>17</v>
      </c>
      <c r="D663" s="5" t="s">
        <v>17</v>
      </c>
      <c r="E663" s="6">
        <f>IF(J663=1,1.0,0)</f>
        <v/>
      </c>
      <c r="F663" s="5" t="s">
        <v>17</v>
      </c>
      <c r="G663" s="6">
        <f>IF(J663=1,1.0,0)</f>
        <v/>
      </c>
      <c r="H663" s="6">
        <f>IF(J663=1,1.0,0)</f>
        <v/>
      </c>
      <c r="I663" s="5" t="s">
        <v>17</v>
      </c>
      <c r="J663" s="8">
        <f>IF(OR(LOOKUP(A663,characters!A:A,characters!B:B)=-1, LOOKUP(A663,characters!A:A,characters!B:B)+0.1&gt;=B663),1,0)</f>
        <v/>
      </c>
    </row>
    <row r="664" spans="1:10">
      <c r="A664" s="4" t="s">
        <v>57</v>
      </c>
      <c r="B664" s="7">
        <v>0</v>
      </c>
      <c r="C664" s="5" t="s">
        <v>17</v>
      </c>
      <c r="D664" s="5" t="s">
        <v>17</v>
      </c>
      <c r="E664" s="5" t="s">
        <v>17</v>
      </c>
      <c r="F664" s="5" t="s">
        <v>17</v>
      </c>
      <c r="G664" s="5" t="s">
        <v>17</v>
      </c>
      <c r="H664" s="5" t="s">
        <v>17</v>
      </c>
      <c r="I664" s="6">
        <f>IF(J664=1,1.0,0)</f>
        <v/>
      </c>
      <c r="J664" s="8">
        <f>IF(OR(LOOKUP(A664,characters!A:A,characters!B:B)=-1, LOOKUP(A664,characters!A:A,characters!B:B)+0.1&gt;=B664),1,0)</f>
        <v/>
      </c>
    </row>
    <row r="665" spans="1:10">
      <c r="A665" s="4" t="s">
        <v>68</v>
      </c>
      <c r="B665" s="7">
        <v>0</v>
      </c>
      <c r="C665" s="6">
        <f>IF(J665=1,1.0,0)</f>
        <v/>
      </c>
      <c r="D665" s="5" t="s">
        <v>17</v>
      </c>
      <c r="E665" s="5" t="s">
        <v>17</v>
      </c>
      <c r="F665" s="5" t="s">
        <v>17</v>
      </c>
      <c r="G665" s="5" t="s">
        <v>17</v>
      </c>
      <c r="H665" s="5" t="s">
        <v>17</v>
      </c>
      <c r="I665" s="5" t="s">
        <v>17</v>
      </c>
      <c r="J665" s="8">
        <f>IF(OR(LOOKUP(A665,characters!A:A,characters!B:B)=-1, LOOKUP(A665,characters!A:A,characters!B:B)+0.1&gt;=B665),1,0)</f>
        <v/>
      </c>
    </row>
    <row r="666" spans="1:10">
      <c r="A666" s="4" t="s">
        <v>22</v>
      </c>
      <c r="B666" s="7">
        <v>1.2</v>
      </c>
      <c r="C666" s="6">
        <f>IF(J666=1,0.99,0)</f>
        <v/>
      </c>
      <c r="D666" s="5" t="s">
        <v>17</v>
      </c>
      <c r="E666" s="5" t="s">
        <v>17</v>
      </c>
      <c r="F666" s="5" t="s">
        <v>17</v>
      </c>
      <c r="G666" s="6">
        <f>IF(J666=1,1.0,0)</f>
        <v/>
      </c>
      <c r="H666" s="5" t="s">
        <v>17</v>
      </c>
      <c r="I666" s="5" t="s">
        <v>17</v>
      </c>
      <c r="J666" s="8">
        <f>IF(OR(LOOKUP(A666,characters!A:A,characters!B:B)=-1, LOOKUP(A666,characters!A:A,characters!B:B)+0.1&gt;=B666),1,0)</f>
        <v/>
      </c>
    </row>
    <row r="668" spans="1:10">
      <c r="A668" s="3" t="s">
        <v>32</v>
      </c>
      <c r="B668" s="3" t="s">
        <v>9</v>
      </c>
      <c r="C668" s="3" t="s">
        <v>42</v>
      </c>
      <c r="D668" s="3" t="s">
        <v>53</v>
      </c>
      <c r="E668" s="3" t="s">
        <v>33</v>
      </c>
      <c r="F668" s="3" t="s">
        <v>34</v>
      </c>
    </row>
    <row r="669" spans="1:10">
      <c r="A669" s="4" t="s">
        <v>16</v>
      </c>
      <c r="B669" s="5" t="s">
        <v>17</v>
      </c>
      <c r="C669" s="6">
        <f>IF(SUM(G670:G677)=0,0,SUM(C670:C677)/SUM(G670:G677))</f>
        <v/>
      </c>
      <c r="D669" s="6">
        <f>IF(SUM(G670:G677)=0,0,SUM(D670:D677)/SUM(G670:G677))</f>
        <v/>
      </c>
      <c r="E669" s="6">
        <f>IF(SUM(G670:G677)=0,0,SUM(E670:E677)/SUM(G670:G677))</f>
        <v/>
      </c>
      <c r="F669" s="6">
        <f>IF(SUM(G670:G677)=0,0,SUM(F670:F677)/SUM(G670:G677))</f>
        <v/>
      </c>
    </row>
    <row r="670" spans="1:10">
      <c r="A670" s="4" t="s">
        <v>55</v>
      </c>
      <c r="B670" s="7">
        <v>0</v>
      </c>
      <c r="C670" s="6">
        <f>IF(G670=1,1.0,0)</f>
        <v/>
      </c>
      <c r="D670" s="5" t="s">
        <v>17</v>
      </c>
      <c r="E670" s="5" t="s">
        <v>17</v>
      </c>
      <c r="F670" s="5" t="s">
        <v>17</v>
      </c>
      <c r="G670" s="8">
        <f>IF(OR(LOOKUP(A670,characters!A:A,characters!B:B)=-1, LOOKUP(A670,characters!A:A,characters!B:B)+0.1&gt;=B670),1,0)</f>
        <v/>
      </c>
    </row>
    <row r="671" spans="1:10">
      <c r="A671" s="4" t="s">
        <v>59</v>
      </c>
      <c r="B671" s="7">
        <v>1.2</v>
      </c>
      <c r="C671" s="5" t="s">
        <v>17</v>
      </c>
      <c r="D671" s="6">
        <f>IF(G671=1,1.0,0)</f>
        <v/>
      </c>
      <c r="E671" s="6">
        <f>IF(G671=1,1.0,0)</f>
        <v/>
      </c>
      <c r="F671" s="5" t="s">
        <v>17</v>
      </c>
      <c r="G671" s="8">
        <f>IF(OR(LOOKUP(A671,characters!A:A,characters!B:B)=-1, LOOKUP(A671,characters!A:A,characters!B:B)+0.1&gt;=B671),1,0)</f>
        <v/>
      </c>
    </row>
    <row r="672" spans="1:10">
      <c r="A672" s="4" t="s">
        <v>58</v>
      </c>
      <c r="B672" s="7">
        <v>0.2</v>
      </c>
      <c r="C672" s="6">
        <f>IF(G672=1,1.0,0)</f>
        <v/>
      </c>
      <c r="D672" s="5" t="s">
        <v>17</v>
      </c>
      <c r="E672" s="5" t="s">
        <v>17</v>
      </c>
      <c r="F672" s="5" t="s">
        <v>17</v>
      </c>
      <c r="G672" s="8">
        <f>IF(OR(LOOKUP(A672,characters!A:A,characters!B:B)=-1, LOOKUP(A672,characters!A:A,characters!B:B)+0.1&gt;=B672),1,0)</f>
        <v/>
      </c>
    </row>
    <row r="673" spans="1:8">
      <c r="A673" s="4" t="s">
        <v>56</v>
      </c>
      <c r="B673" s="7">
        <v>0</v>
      </c>
      <c r="C673" s="6">
        <f>IF(G673=1,1.0,0)</f>
        <v/>
      </c>
      <c r="D673" s="5" t="s">
        <v>17</v>
      </c>
      <c r="E673" s="5" t="s">
        <v>17</v>
      </c>
      <c r="F673" s="5" t="s">
        <v>17</v>
      </c>
      <c r="G673" s="8">
        <f>IF(OR(LOOKUP(A673,characters!A:A,characters!B:B)=-1, LOOKUP(A673,characters!A:A,characters!B:B)+0.1&gt;=B673),1,0)</f>
        <v/>
      </c>
    </row>
    <row r="674" spans="1:8">
      <c r="A674" s="4" t="s">
        <v>39</v>
      </c>
      <c r="B674" s="7">
        <v>0</v>
      </c>
      <c r="C674" s="6">
        <f>IF(G674=1,1.0,0)</f>
        <v/>
      </c>
      <c r="D674" s="5" t="s">
        <v>17</v>
      </c>
      <c r="E674" s="5" t="s">
        <v>17</v>
      </c>
      <c r="F674" s="5" t="s">
        <v>17</v>
      </c>
      <c r="G674" s="8">
        <f>IF(OR(LOOKUP(A674,characters!A:A,characters!B:B)=-1, LOOKUP(A674,characters!A:A,characters!B:B)+0.1&gt;=B674),1,0)</f>
        <v/>
      </c>
    </row>
    <row r="675" spans="1:8">
      <c r="A675" s="4" t="s">
        <v>57</v>
      </c>
      <c r="B675" s="7">
        <v>0</v>
      </c>
      <c r="C675" s="6">
        <f>IF(G675=1,1.0,0)</f>
        <v/>
      </c>
      <c r="D675" s="5" t="s">
        <v>17</v>
      </c>
      <c r="E675" s="5" t="s">
        <v>17</v>
      </c>
      <c r="F675" s="5" t="s">
        <v>17</v>
      </c>
      <c r="G675" s="8">
        <f>IF(OR(LOOKUP(A675,characters!A:A,characters!B:B)=-1, LOOKUP(A675,characters!A:A,characters!B:B)+0.1&gt;=B675),1,0)</f>
        <v/>
      </c>
    </row>
    <row r="676" spans="1:8">
      <c r="A676" s="4" t="s">
        <v>68</v>
      </c>
      <c r="B676" s="7">
        <v>0</v>
      </c>
      <c r="C676" s="6">
        <f>IF(G676=1,1.0,0)</f>
        <v/>
      </c>
      <c r="D676" s="5" t="s">
        <v>17</v>
      </c>
      <c r="E676" s="5" t="s">
        <v>17</v>
      </c>
      <c r="F676" s="5" t="s">
        <v>17</v>
      </c>
      <c r="G676" s="8">
        <f>IF(OR(LOOKUP(A676,characters!A:A,characters!B:B)=-1, LOOKUP(A676,characters!A:A,characters!B:B)+0.1&gt;=B676),1,0)</f>
        <v/>
      </c>
    </row>
    <row r="677" spans="1:8">
      <c r="A677" s="4" t="s">
        <v>22</v>
      </c>
      <c r="B677" s="7">
        <v>1.2</v>
      </c>
      <c r="C677" s="5" t="s">
        <v>17</v>
      </c>
      <c r="D677" s="5" t="s">
        <v>17</v>
      </c>
      <c r="E677" s="6">
        <f>IF(G677=1,1.0,0)</f>
        <v/>
      </c>
      <c r="F677" s="6">
        <f>IF(G677=1,1.0,0)</f>
        <v/>
      </c>
      <c r="G677" s="8">
        <f>IF(OR(LOOKUP(A677,characters!A:A,characters!B:B)=-1, LOOKUP(A677,characters!A:A,characters!B:B)+0.1&gt;=B677),1,0)</f>
        <v/>
      </c>
    </row>
    <row r="684" spans="1:8">
      <c r="A684" s="3" t="s">
        <v>70</v>
      </c>
    </row>
    <row r="685" spans="1:8">
      <c r="A685" s="3" t="s">
        <v>8</v>
      </c>
      <c r="B685" s="3" t="s">
        <v>9</v>
      </c>
      <c r="C685" s="3" t="s">
        <v>53</v>
      </c>
      <c r="D685" s="3" t="s">
        <v>13</v>
      </c>
      <c r="E685" s="3" t="s">
        <v>14</v>
      </c>
      <c r="F685" s="3" t="s">
        <v>54</v>
      </c>
      <c r="G685" s="3" t="s">
        <v>12</v>
      </c>
    </row>
    <row r="686" spans="1:8">
      <c r="A686" s="4" t="s">
        <v>16</v>
      </c>
      <c r="B686" s="5" t="s">
        <v>17</v>
      </c>
      <c r="C686" s="6">
        <f>IF(SUM(H687)=0,0,SUM(C687)/SUM(H687))</f>
        <v/>
      </c>
      <c r="D686" s="6">
        <f>IF(SUM(H687)=0,0,SUM(D687)/SUM(H687))</f>
        <v/>
      </c>
      <c r="E686" s="6">
        <f>IF(SUM(H687)=0,0,SUM(E687)/SUM(H687))</f>
        <v/>
      </c>
      <c r="F686" s="6">
        <f>IF(SUM(H687)=0,0,SUM(F687)/SUM(H687))</f>
        <v/>
      </c>
      <c r="G686" s="6">
        <f>IF(SUM(H687)=0,0,SUM(G687)/SUM(H687))</f>
        <v/>
      </c>
    </row>
    <row r="687" spans="1:8">
      <c r="A687" s="4" t="s">
        <v>59</v>
      </c>
      <c r="B687" s="7">
        <v>0.1</v>
      </c>
      <c r="C687" s="6">
        <f>IF(H687=1,1.0,0)</f>
        <v/>
      </c>
      <c r="D687" s="6">
        <f>IF(H687=1,0.9,0)</f>
        <v/>
      </c>
      <c r="E687" s="6">
        <f>IF(H687=1,0.9,0)</f>
        <v/>
      </c>
      <c r="F687" s="6">
        <f>IF(H687=1,0.8,0)</f>
        <v/>
      </c>
      <c r="G687" s="6">
        <f>IF(H687=1,0.7,0)</f>
        <v/>
      </c>
      <c r="H687" s="8">
        <f>IF(OR(LOOKUP(A687,characters!A:A,characters!B:B)=-1, LOOKUP(A687,characters!A:A,characters!B:B)+0.1&gt;=B687),1,0)</f>
        <v/>
      </c>
    </row>
    <row r="689" spans="1:5">
      <c r="A689" s="3" t="s">
        <v>26</v>
      </c>
      <c r="B689" s="3" t="s">
        <v>9</v>
      </c>
      <c r="C689" s="3" t="s">
        <v>53</v>
      </c>
      <c r="D689" s="3" t="s">
        <v>14</v>
      </c>
    </row>
    <row r="690" spans="1:5">
      <c r="A690" s="4" t="s">
        <v>16</v>
      </c>
      <c r="B690" s="5" t="s">
        <v>17</v>
      </c>
      <c r="C690" s="6">
        <f>IF(SUM(E691)=0,0,SUM(C691)/SUM(E691))</f>
        <v/>
      </c>
      <c r="D690" s="6">
        <f>IF(SUM(E691)=0,0,SUM(D691)/SUM(E691))</f>
        <v/>
      </c>
    </row>
    <row r="691" spans="1:5">
      <c r="A691" s="4" t="s">
        <v>59</v>
      </c>
      <c r="B691" s="7">
        <v>0.1</v>
      </c>
      <c r="C691" s="6">
        <f>IF(E691=1,1.0,0)</f>
        <v/>
      </c>
      <c r="D691" s="6">
        <f>IF(E691=1,0.9,0)</f>
        <v/>
      </c>
      <c r="E691" s="8">
        <f>IF(OR(LOOKUP(A691,characters!A:A,characters!B:B)=-1, LOOKUP(A691,characters!A:A,characters!B:B)+0.1&gt;=B691),1,0)</f>
        <v/>
      </c>
    </row>
    <row r="693" spans="1:5">
      <c r="A693" s="3" t="s">
        <v>27</v>
      </c>
      <c r="B693" s="3" t="s">
        <v>9</v>
      </c>
      <c r="C693" s="3" t="s">
        <v>53</v>
      </c>
      <c r="D693" s="3" t="s">
        <v>41</v>
      </c>
    </row>
    <row r="694" spans="1:5">
      <c r="A694" s="4" t="s">
        <v>16</v>
      </c>
      <c r="B694" s="5" t="s">
        <v>17</v>
      </c>
      <c r="C694" s="6">
        <f>IF(SUM(E695)=0,0,SUM(C695)/SUM(E695))</f>
        <v/>
      </c>
      <c r="D694" s="6">
        <f>IF(SUM(E695)=0,0,SUM(D695)/SUM(E695))</f>
        <v/>
      </c>
    </row>
    <row r="695" spans="1:5">
      <c r="A695" s="4" t="s">
        <v>59</v>
      </c>
      <c r="B695" s="7">
        <v>0.1</v>
      </c>
      <c r="C695" s="6">
        <f>IF(E695=1,1.0,0)</f>
        <v/>
      </c>
      <c r="D695" s="6">
        <f>IF(E695=1,1.0,0)</f>
        <v/>
      </c>
      <c r="E695" s="8">
        <f>IF(OR(LOOKUP(A695,characters!A:A,characters!B:B)=-1, LOOKUP(A695,characters!A:A,characters!B:B)+0.1&gt;=B695),1,0)</f>
        <v/>
      </c>
    </row>
    <row r="697" spans="1:5">
      <c r="A697" s="3" t="s">
        <v>32</v>
      </c>
      <c r="B697" s="3" t="s">
        <v>9</v>
      </c>
      <c r="C697" s="3" t="s">
        <v>53</v>
      </c>
      <c r="D697" s="3" t="s">
        <v>33</v>
      </c>
    </row>
    <row r="698" spans="1:5">
      <c r="A698" s="4" t="s">
        <v>16</v>
      </c>
      <c r="B698" s="5" t="s">
        <v>17</v>
      </c>
      <c r="C698" s="6">
        <f>IF(SUM(E699)=0,0,SUM(C699)/SUM(E699))</f>
        <v/>
      </c>
      <c r="D698" s="6">
        <f>IF(SUM(E699)=0,0,SUM(D699)/SUM(E699))</f>
        <v/>
      </c>
    </row>
    <row r="699" spans="1:5">
      <c r="A699" s="4" t="s">
        <v>59</v>
      </c>
      <c r="B699" s="7">
        <v>0.1</v>
      </c>
      <c r="C699" s="6">
        <f>IF(E699=1,1.0,0)</f>
        <v/>
      </c>
      <c r="D699" s="6">
        <f>IF(E699=1,1.0,0)</f>
        <v/>
      </c>
      <c r="E699" s="8">
        <f>IF(OR(LOOKUP(A699,characters!A:A,characters!B:B)=-1, LOOKUP(A699,characters!A:A,characters!B:B)+0.1&gt;=B699),1,0)</f>
        <v/>
      </c>
    </row>
    <row r="706" spans="1:11">
      <c r="A706" s="3" t="s">
        <v>71</v>
      </c>
    </row>
    <row r="707" spans="1:11">
      <c r="A707" s="3" t="s">
        <v>8</v>
      </c>
      <c r="B707" s="3" t="s">
        <v>9</v>
      </c>
      <c r="C707" s="3" t="s">
        <v>10</v>
      </c>
      <c r="D707" s="3" t="s">
        <v>12</v>
      </c>
      <c r="E707" s="3" t="s">
        <v>11</v>
      </c>
      <c r="F707" s="3" t="s">
        <v>13</v>
      </c>
      <c r="G707" s="3" t="s">
        <v>14</v>
      </c>
      <c r="H707" s="3" t="s">
        <v>15</v>
      </c>
      <c r="I707" s="3" t="s">
        <v>53</v>
      </c>
      <c r="J707" s="3" t="s">
        <v>54</v>
      </c>
    </row>
    <row r="708" spans="1:11">
      <c r="A708" s="4" t="s">
        <v>16</v>
      </c>
      <c r="B708" s="5" t="s">
        <v>17</v>
      </c>
      <c r="C708" s="6">
        <f>IF(SUM(K709:K722)=0,0,SUM(C709:C722)/SUM(K709:K722))</f>
        <v/>
      </c>
      <c r="D708" s="6">
        <f>IF(SUM(K709:K722)=0,0,SUM(D709:D722)/SUM(K709:K722))</f>
        <v/>
      </c>
      <c r="E708" s="6">
        <f>IF(SUM(K709:K722)=0,0,SUM(E709:E722)/SUM(K709:K722))</f>
        <v/>
      </c>
      <c r="F708" s="6">
        <f>IF(SUM(K709:K722)=0,0,SUM(F709:F722)/SUM(K709:K722))</f>
        <v/>
      </c>
      <c r="G708" s="6">
        <f>IF(SUM(K709:K722)=0,0,SUM(G709:G722)/SUM(K709:K722))</f>
        <v/>
      </c>
      <c r="H708" s="6">
        <f>IF(SUM(K709:K722)=0,0,SUM(H709:H722)/SUM(K709:K722))</f>
        <v/>
      </c>
      <c r="I708" s="6">
        <f>IF(SUM(K709:K722)=0,0,SUM(I709:I722)/SUM(K709:K722))</f>
        <v/>
      </c>
      <c r="J708" s="6">
        <f>IF(SUM(K709:K722)=0,0,SUM(J709:J722)/SUM(K709:K722))</f>
        <v/>
      </c>
    </row>
    <row r="709" spans="1:11">
      <c r="A709" s="4" t="s">
        <v>59</v>
      </c>
      <c r="B709" s="7">
        <v>0</v>
      </c>
      <c r="C709" s="5" t="s">
        <v>17</v>
      </c>
      <c r="D709" s="6">
        <f>IF(K709=1,0.7,0)</f>
        <v/>
      </c>
      <c r="E709" s="5" t="s">
        <v>17</v>
      </c>
      <c r="F709" s="6">
        <f>IF(K709=1,0.9,0)</f>
        <v/>
      </c>
      <c r="G709" s="6">
        <f>IF(K709=1,0.9,0)</f>
        <v/>
      </c>
      <c r="H709" s="5" t="s">
        <v>17</v>
      </c>
      <c r="I709" s="6">
        <f>IF(K709=1,1.0,0)</f>
        <v/>
      </c>
      <c r="J709" s="6">
        <f>IF(K709=1,0.8,0)</f>
        <v/>
      </c>
      <c r="K709" s="8">
        <f>IF(OR(LOOKUP(A709,characters!A:A,characters!B:B)=-1, LOOKUP(A709,characters!A:A,characters!B:B)+0.1&gt;=B709),1,0)</f>
        <v/>
      </c>
    </row>
    <row r="710" spans="1:11">
      <c r="A710" s="4" t="s">
        <v>55</v>
      </c>
      <c r="B710" s="7">
        <v>0.1</v>
      </c>
      <c r="C710" s="6">
        <f>IF(K710=1,0.9,0)</f>
        <v/>
      </c>
      <c r="D710" s="6">
        <f>IF(K710=1,0.8,0)</f>
        <v/>
      </c>
      <c r="E710" s="6">
        <f>IF(K710=1,0.8,0)</f>
        <v/>
      </c>
      <c r="F710" s="6">
        <f>IF(K710=1,1.0,0)</f>
        <v/>
      </c>
      <c r="G710" s="6">
        <f>IF(K710=1,1.0,0)</f>
        <v/>
      </c>
      <c r="H710" s="5" t="s">
        <v>17</v>
      </c>
      <c r="I710" s="5" t="s">
        <v>17</v>
      </c>
      <c r="J710" s="5" t="s">
        <v>17</v>
      </c>
      <c r="K710" s="8">
        <f>IF(OR(LOOKUP(A710,characters!A:A,characters!B:B)=-1, LOOKUP(A710,characters!A:A,characters!B:B)+0.1&gt;=B710),1,0)</f>
        <v/>
      </c>
    </row>
    <row r="711" spans="1:11">
      <c r="A711" s="4" t="s">
        <v>18</v>
      </c>
      <c r="B711" s="7">
        <v>0.1</v>
      </c>
      <c r="C711" s="6">
        <f>IF(K711=1,1.0,0)</f>
        <v/>
      </c>
      <c r="D711" s="6">
        <f>IF(K711=1,0.7,0)</f>
        <v/>
      </c>
      <c r="E711" s="6">
        <f>IF(K711=1,0.9,0)</f>
        <v/>
      </c>
      <c r="F711" s="6">
        <f>IF(K711=1,0.8,0)</f>
        <v/>
      </c>
      <c r="G711" s="6">
        <f>IF(K711=1,0.8,0)</f>
        <v/>
      </c>
      <c r="H711" s="6">
        <f>IF(K711=1,0.8,0)</f>
        <v/>
      </c>
      <c r="I711" s="5" t="s">
        <v>17</v>
      </c>
      <c r="J711" s="5" t="s">
        <v>17</v>
      </c>
      <c r="K711" s="8">
        <f>IF(OR(LOOKUP(A711,characters!A:A,characters!B:B)=-1, LOOKUP(A711,characters!A:A,characters!B:B)+0.1&gt;=B711),1,0)</f>
        <v/>
      </c>
    </row>
    <row r="712" spans="1:11">
      <c r="A712" s="4" t="s">
        <v>58</v>
      </c>
      <c r="B712" s="7">
        <v>0.1</v>
      </c>
      <c r="C712" s="6">
        <f>IF(K712=1,0.9,0)</f>
        <v/>
      </c>
      <c r="D712" s="6">
        <f>IF(K712=1,0.8,0)</f>
        <v/>
      </c>
      <c r="E712" s="6">
        <f>IF(K712=1,0.8,0)</f>
        <v/>
      </c>
      <c r="F712" s="6">
        <f>IF(K712=1,1.0,0)</f>
        <v/>
      </c>
      <c r="G712" s="6">
        <f>IF(K712=1,1.0,0)</f>
        <v/>
      </c>
      <c r="H712" s="6">
        <f>IF(K712=1,1.0,0)</f>
        <v/>
      </c>
      <c r="I712" s="5" t="s">
        <v>17</v>
      </c>
      <c r="J712" s="5" t="s">
        <v>17</v>
      </c>
      <c r="K712" s="8">
        <f>IF(OR(LOOKUP(A712,characters!A:A,characters!B:B)=-1, LOOKUP(A712,characters!A:A,characters!B:B)+0.1&gt;=B712),1,0)</f>
        <v/>
      </c>
    </row>
    <row r="713" spans="1:11">
      <c r="A713" s="4" t="s">
        <v>56</v>
      </c>
      <c r="B713" s="7">
        <v>0.1</v>
      </c>
      <c r="C713" s="6">
        <f>IF(K713=1,0.9,0)</f>
        <v/>
      </c>
      <c r="D713" s="6">
        <f>IF(K713=1,0.8,0)</f>
        <v/>
      </c>
      <c r="E713" s="6">
        <f>IF(K713=1,0.8,0)</f>
        <v/>
      </c>
      <c r="F713" s="6">
        <f>IF(K713=1,1.0,0)</f>
        <v/>
      </c>
      <c r="G713" s="6">
        <f>IF(K713=1,1.0,0)</f>
        <v/>
      </c>
      <c r="H713" s="5" t="s">
        <v>17</v>
      </c>
      <c r="I713" s="5" t="s">
        <v>17</v>
      </c>
      <c r="J713" s="5" t="s">
        <v>17</v>
      </c>
      <c r="K713" s="8">
        <f>IF(OR(LOOKUP(A713,characters!A:A,characters!B:B)=-1, LOOKUP(A713,characters!A:A,characters!B:B)+0.1&gt;=B713),1,0)</f>
        <v/>
      </c>
    </row>
    <row r="714" spans="1:11">
      <c r="A714" s="4" t="s">
        <v>39</v>
      </c>
      <c r="B714" s="7">
        <v>0.1</v>
      </c>
      <c r="C714" s="6">
        <f>IF(K714=1,1.0,0)</f>
        <v/>
      </c>
      <c r="D714" s="6">
        <f>IF(K714=1,0.8,0)</f>
        <v/>
      </c>
      <c r="E714" s="6">
        <f>IF(K714=1,0.9,0)</f>
        <v/>
      </c>
      <c r="F714" s="6">
        <f>IF(K714=1,1.0,0)</f>
        <v/>
      </c>
      <c r="G714" s="6">
        <f>IF(K714=1,1.0,0)</f>
        <v/>
      </c>
      <c r="H714" s="6">
        <f>IF(K714=1,1.0,0)</f>
        <v/>
      </c>
      <c r="I714" s="5" t="s">
        <v>17</v>
      </c>
      <c r="J714" s="5" t="s">
        <v>17</v>
      </c>
      <c r="K714" s="8">
        <f>IF(OR(LOOKUP(A714,characters!A:A,characters!B:B)=-1, LOOKUP(A714,characters!A:A,characters!B:B)+0.1&gt;=B714),1,0)</f>
        <v/>
      </c>
    </row>
    <row r="715" spans="1:11">
      <c r="A715" s="4" t="s">
        <v>19</v>
      </c>
      <c r="B715" s="7">
        <v>0.1</v>
      </c>
      <c r="C715" s="6">
        <f>IF(K715=1,1.0,0)</f>
        <v/>
      </c>
      <c r="D715" s="6">
        <f>IF(K715=1,0.9,0)</f>
        <v/>
      </c>
      <c r="E715" s="6">
        <f>IF(K715=1,0.9,0)</f>
        <v/>
      </c>
      <c r="F715" s="6">
        <f>IF(K715=1,1.0,0)</f>
        <v/>
      </c>
      <c r="G715" s="6">
        <f>IF(K715=1,1.0,0)</f>
        <v/>
      </c>
      <c r="H715" s="5" t="s">
        <v>17</v>
      </c>
      <c r="I715" s="5" t="s">
        <v>17</v>
      </c>
      <c r="J715" s="5" t="s">
        <v>17</v>
      </c>
      <c r="K715" s="8">
        <f>IF(OR(LOOKUP(A715,characters!A:A,characters!B:B)=-1, LOOKUP(A715,characters!A:A,characters!B:B)+0.1&gt;=B715),1,0)</f>
        <v/>
      </c>
    </row>
    <row r="716" spans="1:11">
      <c r="A716" s="4" t="s">
        <v>57</v>
      </c>
      <c r="B716" s="7">
        <v>0.1</v>
      </c>
      <c r="C716" s="6">
        <f>IF(K716=1,0.9,0)</f>
        <v/>
      </c>
      <c r="D716" s="6">
        <f>IF(K716=1,0.8,0)</f>
        <v/>
      </c>
      <c r="E716" s="6">
        <f>IF(K716=1,0.8,0)</f>
        <v/>
      </c>
      <c r="F716" s="6">
        <f>IF(K716=1,1.0,0)</f>
        <v/>
      </c>
      <c r="G716" s="6">
        <f>IF(K716=1,1.0,0)</f>
        <v/>
      </c>
      <c r="H716" s="5" t="s">
        <v>17</v>
      </c>
      <c r="I716" s="5" t="s">
        <v>17</v>
      </c>
      <c r="J716" s="5" t="s">
        <v>17</v>
      </c>
      <c r="K716" s="8">
        <f>IF(OR(LOOKUP(A716,characters!A:A,characters!B:B)=-1, LOOKUP(A716,characters!A:A,characters!B:B)+0.1&gt;=B716),1,0)</f>
        <v/>
      </c>
    </row>
    <row r="717" spans="1:11">
      <c r="A717" s="4" t="s">
        <v>20</v>
      </c>
      <c r="B717" s="7">
        <v>0.1</v>
      </c>
      <c r="C717" s="6">
        <f>IF(K717=1,1.0,0)</f>
        <v/>
      </c>
      <c r="D717" s="6">
        <f>IF(K717=1,0.9,0)</f>
        <v/>
      </c>
      <c r="E717" s="6">
        <f>IF(K717=1,0.9,0)</f>
        <v/>
      </c>
      <c r="F717" s="5" t="s">
        <v>17</v>
      </c>
      <c r="G717" s="5" t="s">
        <v>17</v>
      </c>
      <c r="H717" s="6">
        <f>IF(K717=1,1.0,0)</f>
        <v/>
      </c>
      <c r="I717" s="5" t="s">
        <v>17</v>
      </c>
      <c r="J717" s="5" t="s">
        <v>17</v>
      </c>
      <c r="K717" s="8">
        <f>IF(OR(LOOKUP(A717,characters!A:A,characters!B:B)=-1, LOOKUP(A717,characters!A:A,characters!B:B)+0.1&gt;=B717),1,0)</f>
        <v/>
      </c>
    </row>
    <row r="718" spans="1:11">
      <c r="A718" s="4" t="s">
        <v>68</v>
      </c>
      <c r="B718" s="7">
        <v>0.1</v>
      </c>
      <c r="C718" s="6">
        <f>IF(K718=1,0.9,0)</f>
        <v/>
      </c>
      <c r="D718" s="6">
        <f>IF(K718=1,0.8,0)</f>
        <v/>
      </c>
      <c r="E718" s="6">
        <f>IF(K718=1,0.8,0)</f>
        <v/>
      </c>
      <c r="F718" s="6">
        <f>IF(K718=1,1.0,0)</f>
        <v/>
      </c>
      <c r="G718" s="6">
        <f>IF(K718=1,1.0,0)</f>
        <v/>
      </c>
      <c r="H718" s="5" t="s">
        <v>17</v>
      </c>
      <c r="I718" s="5" t="s">
        <v>17</v>
      </c>
      <c r="J718" s="5" t="s">
        <v>17</v>
      </c>
      <c r="K718" s="8">
        <f>IF(OR(LOOKUP(A718,characters!A:A,characters!B:B)=-1, LOOKUP(A718,characters!A:A,characters!B:B)+0.1&gt;=B718),1,0)</f>
        <v/>
      </c>
    </row>
    <row r="719" spans="1:11">
      <c r="A719" s="4" t="s">
        <v>21</v>
      </c>
      <c r="B719" s="7">
        <v>0.1</v>
      </c>
      <c r="C719" s="6">
        <f>IF(K719=1,0.9,0)</f>
        <v/>
      </c>
      <c r="D719" s="6">
        <f>IF(K719=1,0.8,0)</f>
        <v/>
      </c>
      <c r="E719" s="6">
        <f>IF(K719=1,0.8,0)</f>
        <v/>
      </c>
      <c r="F719" s="5" t="s">
        <v>17</v>
      </c>
      <c r="G719" s="5" t="s">
        <v>17</v>
      </c>
      <c r="H719" s="6">
        <f>IF(K719=1,1.0,0)</f>
        <v/>
      </c>
      <c r="I719" s="5" t="s">
        <v>17</v>
      </c>
      <c r="J719" s="5" t="s">
        <v>17</v>
      </c>
      <c r="K719" s="8">
        <f>IF(OR(LOOKUP(A719,characters!A:A,characters!B:B)=-1, LOOKUP(A719,characters!A:A,characters!B:B)+0.1&gt;=B719),1,0)</f>
        <v/>
      </c>
    </row>
    <row r="720" spans="1:11">
      <c r="A720" s="4" t="s">
        <v>22</v>
      </c>
      <c r="B720" s="7">
        <v>0.1</v>
      </c>
      <c r="C720" s="6">
        <f>IF(K720=1,1.0,0)</f>
        <v/>
      </c>
      <c r="D720" s="6">
        <f>IF(K720=1,0.7,0)</f>
        <v/>
      </c>
      <c r="E720" s="6">
        <f>IF(K720=1,0.8,0)</f>
        <v/>
      </c>
      <c r="F720" s="5" t="s">
        <v>17</v>
      </c>
      <c r="G720" s="5" t="s">
        <v>17</v>
      </c>
      <c r="H720" s="6">
        <f>IF(K720=1,0.9,0)</f>
        <v/>
      </c>
      <c r="I720" s="5" t="s">
        <v>17</v>
      </c>
      <c r="J720" s="5" t="s">
        <v>17</v>
      </c>
      <c r="K720" s="8">
        <f>IF(OR(LOOKUP(A720,characters!A:A,characters!B:B)=-1, LOOKUP(A720,characters!A:A,characters!B:B)+0.1&gt;=B720),1,0)</f>
        <v/>
      </c>
    </row>
    <row r="721" spans="1:11">
      <c r="A721" s="4" t="s">
        <v>23</v>
      </c>
      <c r="B721" s="7">
        <v>0.1</v>
      </c>
      <c r="C721" s="6">
        <f>IF(K721=1,1.0,0)</f>
        <v/>
      </c>
      <c r="D721" s="6">
        <f>IF(K721=1,0.9,0)</f>
        <v/>
      </c>
      <c r="E721" s="6">
        <f>IF(K721=1,0.9,0)</f>
        <v/>
      </c>
      <c r="F721" s="6">
        <f>IF(K721=1,1.0,0)</f>
        <v/>
      </c>
      <c r="G721" s="6">
        <f>IF(K721=1,1.0,0)</f>
        <v/>
      </c>
      <c r="H721" s="5" t="s">
        <v>17</v>
      </c>
      <c r="I721" s="5" t="s">
        <v>17</v>
      </c>
      <c r="J721" s="5" t="s">
        <v>17</v>
      </c>
      <c r="K721" s="8">
        <f>IF(OR(LOOKUP(A721,characters!A:A,characters!B:B)=-1, LOOKUP(A721,characters!A:A,characters!B:B)+0.1&gt;=B721),1,0)</f>
        <v/>
      </c>
    </row>
    <row r="722" spans="1:11">
      <c r="A722" s="4" t="s">
        <v>37</v>
      </c>
      <c r="B722" s="7">
        <v>0.5</v>
      </c>
      <c r="C722" s="6">
        <f>IF(K722=1,0.9,0)</f>
        <v/>
      </c>
      <c r="D722" s="6">
        <f>IF(K722=1,0.8,0)</f>
        <v/>
      </c>
      <c r="E722" s="6">
        <f>IF(K722=1,0.8,0)</f>
        <v/>
      </c>
      <c r="F722" s="5" t="s">
        <v>17</v>
      </c>
      <c r="G722" s="5" t="s">
        <v>17</v>
      </c>
      <c r="H722" s="6">
        <f>IF(K722=1,1.0,0)</f>
        <v/>
      </c>
      <c r="I722" s="5" t="s">
        <v>17</v>
      </c>
      <c r="J722" s="5" t="s">
        <v>17</v>
      </c>
      <c r="K722" s="8">
        <f>IF(OR(LOOKUP(A722,characters!A:A,characters!B:B)=-1, LOOKUP(A722,characters!A:A,characters!B:B)+0.1&gt;=B722),1,0)</f>
        <v/>
      </c>
    </row>
    <row r="724" spans="1:11">
      <c r="A724" s="3" t="s">
        <v>26</v>
      </c>
      <c r="B724" s="3" t="s">
        <v>9</v>
      </c>
      <c r="C724" s="3" t="s">
        <v>13</v>
      </c>
      <c r="D724" s="3" t="s">
        <v>14</v>
      </c>
      <c r="E724" s="3" t="s">
        <v>10</v>
      </c>
      <c r="F724" s="3" t="s">
        <v>53</v>
      </c>
      <c r="G724" s="3" t="s">
        <v>15</v>
      </c>
    </row>
    <row r="725" spans="1:11">
      <c r="A725" s="4" t="s">
        <v>16</v>
      </c>
      <c r="B725" s="5" t="s">
        <v>17</v>
      </c>
      <c r="C725" s="6">
        <f>IF(SUM(H726:H739)=0,0,SUM(C726:C739)/SUM(H726:H739))</f>
        <v/>
      </c>
      <c r="D725" s="6">
        <f>IF(SUM(H726:H739)=0,0,SUM(D726:D739)/SUM(H726:H739))</f>
        <v/>
      </c>
      <c r="E725" s="6">
        <f>IF(SUM(H726:H739)=0,0,SUM(E726:E739)/SUM(H726:H739))</f>
        <v/>
      </c>
      <c r="F725" s="6">
        <f>IF(SUM(H726:H739)=0,0,SUM(F726:F739)/SUM(H726:H739))</f>
        <v/>
      </c>
      <c r="G725" s="6">
        <f>IF(SUM(H726:H739)=0,0,SUM(G726:G739)/SUM(H726:H739))</f>
        <v/>
      </c>
    </row>
    <row r="726" spans="1:11">
      <c r="A726" s="4" t="s">
        <v>55</v>
      </c>
      <c r="B726" s="7">
        <v>0.1</v>
      </c>
      <c r="C726" s="6">
        <f>IF(H726=1,1.0,0)</f>
        <v/>
      </c>
      <c r="D726" s="6">
        <f>IF(H726=1,0.99,0)</f>
        <v/>
      </c>
      <c r="E726" s="5" t="s">
        <v>17</v>
      </c>
      <c r="F726" s="5" t="s">
        <v>17</v>
      </c>
      <c r="G726" s="5" t="s">
        <v>17</v>
      </c>
      <c r="H726" s="8">
        <f>IF(OR(LOOKUP(A726,characters!A:A,characters!B:B)=-1, LOOKUP(A726,characters!A:A,characters!B:B)+0.1&gt;=B726),1,0)</f>
        <v/>
      </c>
    </row>
    <row r="727" spans="1:11">
      <c r="A727" s="4" t="s">
        <v>18</v>
      </c>
      <c r="B727" s="7">
        <v>0.1</v>
      </c>
      <c r="C727" s="5" t="s">
        <v>17</v>
      </c>
      <c r="D727" s="5" t="s">
        <v>17</v>
      </c>
      <c r="E727" s="6">
        <f>IF(H727=1,1.0,0)</f>
        <v/>
      </c>
      <c r="F727" s="5" t="s">
        <v>17</v>
      </c>
      <c r="G727" s="5" t="s">
        <v>17</v>
      </c>
      <c r="H727" s="8">
        <f>IF(OR(LOOKUP(A727,characters!A:A,characters!B:B)=-1, LOOKUP(A727,characters!A:A,characters!B:B)+0.1&gt;=B727),1,0)</f>
        <v/>
      </c>
    </row>
    <row r="728" spans="1:11">
      <c r="A728" s="4" t="s">
        <v>59</v>
      </c>
      <c r="B728" s="7">
        <v>0</v>
      </c>
      <c r="C728" s="5" t="s">
        <v>17</v>
      </c>
      <c r="D728" s="6">
        <f>IF(H728=1,0.9,0)</f>
        <v/>
      </c>
      <c r="E728" s="5" t="s">
        <v>17</v>
      </c>
      <c r="F728" s="6">
        <f>IF(H728=1,1.0,0)</f>
        <v/>
      </c>
      <c r="G728" s="5" t="s">
        <v>17</v>
      </c>
      <c r="H728" s="8">
        <f>IF(OR(LOOKUP(A728,characters!A:A,characters!B:B)=-1, LOOKUP(A728,characters!A:A,characters!B:B)+0.1&gt;=B728),1,0)</f>
        <v/>
      </c>
    </row>
    <row r="729" spans="1:11">
      <c r="A729" s="4" t="s">
        <v>37</v>
      </c>
      <c r="B729" s="7">
        <v>0.5</v>
      </c>
      <c r="C729" s="5" t="s">
        <v>17</v>
      </c>
      <c r="D729" s="5" t="s">
        <v>17</v>
      </c>
      <c r="E729" s="5" t="s">
        <v>17</v>
      </c>
      <c r="F729" s="5" t="s">
        <v>17</v>
      </c>
      <c r="G729" s="6">
        <f>IF(H729=1,1.0,0)</f>
        <v/>
      </c>
      <c r="H729" s="8">
        <f>IF(OR(LOOKUP(A729,characters!A:A,characters!B:B)=-1, LOOKUP(A729,characters!A:A,characters!B:B)+0.1&gt;=B729),1,0)</f>
        <v/>
      </c>
    </row>
    <row r="730" spans="1:11">
      <c r="A730" s="4" t="s">
        <v>58</v>
      </c>
      <c r="B730" s="7">
        <v>0.1</v>
      </c>
      <c r="C730" s="6">
        <f>IF(H730=1,1.0,0)</f>
        <v/>
      </c>
      <c r="D730" s="5" t="s">
        <v>17</v>
      </c>
      <c r="E730" s="5" t="s">
        <v>17</v>
      </c>
      <c r="F730" s="5" t="s">
        <v>17</v>
      </c>
      <c r="G730" s="6">
        <f>IF(H730=1,1.0,0)</f>
        <v/>
      </c>
      <c r="H730" s="8">
        <f>IF(OR(LOOKUP(A730,characters!A:A,characters!B:B)=-1, LOOKUP(A730,characters!A:A,characters!B:B)+0.1&gt;=B730),1,0)</f>
        <v/>
      </c>
    </row>
    <row r="731" spans="1:11">
      <c r="A731" s="4" t="s">
        <v>56</v>
      </c>
      <c r="B731" s="7">
        <v>0.1</v>
      </c>
      <c r="C731" s="6">
        <f>IF(H731=1,1.0,0)</f>
        <v/>
      </c>
      <c r="D731" s="6">
        <f>IF(H731=1,0.99,0)</f>
        <v/>
      </c>
      <c r="E731" s="5" t="s">
        <v>17</v>
      </c>
      <c r="F731" s="5" t="s">
        <v>17</v>
      </c>
      <c r="G731" s="5" t="s">
        <v>17</v>
      </c>
      <c r="H731" s="8">
        <f>IF(OR(LOOKUP(A731,characters!A:A,characters!B:B)=-1, LOOKUP(A731,characters!A:A,characters!B:B)+0.1&gt;=B731),1,0)</f>
        <v/>
      </c>
    </row>
    <row r="732" spans="1:11">
      <c r="A732" s="4" t="s">
        <v>39</v>
      </c>
      <c r="B732" s="7">
        <v>0.1</v>
      </c>
      <c r="C732" s="6">
        <f>IF(H732=1,1.0,0)</f>
        <v/>
      </c>
      <c r="D732" s="6">
        <f>IF(H732=1,0.99,0)</f>
        <v/>
      </c>
      <c r="E732" s="5" t="s">
        <v>17</v>
      </c>
      <c r="F732" s="5" t="s">
        <v>17</v>
      </c>
      <c r="G732" s="6">
        <f>IF(H732=1,0.99,0)</f>
        <v/>
      </c>
      <c r="H732" s="8">
        <f>IF(OR(LOOKUP(A732,characters!A:A,characters!B:B)=-1, LOOKUP(A732,characters!A:A,characters!B:B)+0.1&gt;=B732),1,0)</f>
        <v/>
      </c>
    </row>
    <row r="733" spans="1:11">
      <c r="A733" s="4" t="s">
        <v>19</v>
      </c>
      <c r="B733" s="7">
        <v>0.1</v>
      </c>
      <c r="C733" s="6">
        <f>IF(H733=1,0.9,0)</f>
        <v/>
      </c>
      <c r="D733" s="5" t="s">
        <v>17</v>
      </c>
      <c r="E733" s="6">
        <f>IF(H733=1,1.0,0)</f>
        <v/>
      </c>
      <c r="F733" s="5" t="s">
        <v>17</v>
      </c>
      <c r="G733" s="5" t="s">
        <v>17</v>
      </c>
      <c r="H733" s="8">
        <f>IF(OR(LOOKUP(A733,characters!A:A,characters!B:B)=-1, LOOKUP(A733,characters!A:A,characters!B:B)+0.1&gt;=B733),1,0)</f>
        <v/>
      </c>
    </row>
    <row r="734" spans="1:11">
      <c r="A734" s="4" t="s">
        <v>57</v>
      </c>
      <c r="B734" s="7">
        <v>0.1</v>
      </c>
      <c r="C734" s="6">
        <f>IF(H734=1,1.0,0)</f>
        <v/>
      </c>
      <c r="D734" s="6">
        <f>IF(H734=1,0.99,0)</f>
        <v/>
      </c>
      <c r="E734" s="5" t="s">
        <v>17</v>
      </c>
      <c r="F734" s="5" t="s">
        <v>17</v>
      </c>
      <c r="G734" s="5" t="s">
        <v>17</v>
      </c>
      <c r="H734" s="8">
        <f>IF(OR(LOOKUP(A734,characters!A:A,characters!B:B)=-1, LOOKUP(A734,characters!A:A,characters!B:B)+0.1&gt;=B734),1,0)</f>
        <v/>
      </c>
    </row>
    <row r="735" spans="1:11">
      <c r="A735" s="4" t="s">
        <v>20</v>
      </c>
      <c r="B735" s="7">
        <v>0.1</v>
      </c>
      <c r="C735" s="5" t="s">
        <v>17</v>
      </c>
      <c r="D735" s="5" t="s">
        <v>17</v>
      </c>
      <c r="E735" s="6">
        <f>IF(H735=1,1.0,0)</f>
        <v/>
      </c>
      <c r="F735" s="5" t="s">
        <v>17</v>
      </c>
      <c r="G735" s="6">
        <f>IF(H735=1,1.0,0)</f>
        <v/>
      </c>
      <c r="H735" s="8">
        <f>IF(OR(LOOKUP(A735,characters!A:A,characters!B:B)=-1, LOOKUP(A735,characters!A:A,characters!B:B)+0.1&gt;=B735),1,0)</f>
        <v/>
      </c>
    </row>
    <row r="736" spans="1:11">
      <c r="A736" s="4" t="s">
        <v>68</v>
      </c>
      <c r="B736" s="7">
        <v>0.1</v>
      </c>
      <c r="C736" s="6">
        <f>IF(H736=1,1.0,0)</f>
        <v/>
      </c>
      <c r="D736" s="6">
        <f>IF(H736=1,0.99,0)</f>
        <v/>
      </c>
      <c r="E736" s="5" t="s">
        <v>17</v>
      </c>
      <c r="F736" s="5" t="s">
        <v>17</v>
      </c>
      <c r="G736" s="5" t="s">
        <v>17</v>
      </c>
      <c r="H736" s="8">
        <f>IF(OR(LOOKUP(A736,characters!A:A,characters!B:B)=-1, LOOKUP(A736,characters!A:A,characters!B:B)+0.1&gt;=B736),1,0)</f>
        <v/>
      </c>
    </row>
    <row r="737" spans="1:11">
      <c r="A737" s="4" t="s">
        <v>21</v>
      </c>
      <c r="B737" s="7">
        <v>0.1</v>
      </c>
      <c r="C737" s="5" t="s">
        <v>17</v>
      </c>
      <c r="D737" s="5" t="s">
        <v>17</v>
      </c>
      <c r="E737" s="6">
        <f>IF(H737=1,1.0,0)</f>
        <v/>
      </c>
      <c r="F737" s="5" t="s">
        <v>17</v>
      </c>
      <c r="G737" s="6">
        <f>IF(H737=1,1.0,0)</f>
        <v/>
      </c>
      <c r="H737" s="8">
        <f>IF(OR(LOOKUP(A737,characters!A:A,characters!B:B)=-1, LOOKUP(A737,characters!A:A,characters!B:B)+0.1&gt;=B737),1,0)</f>
        <v/>
      </c>
    </row>
    <row r="738" spans="1:11">
      <c r="A738" s="4" t="s">
        <v>22</v>
      </c>
      <c r="B738" s="7">
        <v>0.1</v>
      </c>
      <c r="C738" s="5" t="s">
        <v>17</v>
      </c>
      <c r="D738" s="5" t="s">
        <v>17</v>
      </c>
      <c r="E738" s="6">
        <f>IF(H738=1,1.0,0)</f>
        <v/>
      </c>
      <c r="F738" s="5" t="s">
        <v>17</v>
      </c>
      <c r="G738" s="6">
        <f>IF(H738=1,0.99,0)</f>
        <v/>
      </c>
      <c r="H738" s="8">
        <f>IF(OR(LOOKUP(A738,characters!A:A,characters!B:B)=-1, LOOKUP(A738,characters!A:A,characters!B:B)+0.1&gt;=B738),1,0)</f>
        <v/>
      </c>
    </row>
    <row r="739" spans="1:11">
      <c r="A739" s="4" t="s">
        <v>23</v>
      </c>
      <c r="B739" s="7">
        <v>0.1</v>
      </c>
      <c r="C739" s="6">
        <f>IF(H739=1,0.9,0)</f>
        <v/>
      </c>
      <c r="D739" s="5" t="s">
        <v>17</v>
      </c>
      <c r="E739" s="6">
        <f>IF(H739=1,1.0,0)</f>
        <v/>
      </c>
      <c r="F739" s="5" t="s">
        <v>17</v>
      </c>
      <c r="G739" s="5" t="s">
        <v>17</v>
      </c>
      <c r="H739" s="8">
        <f>IF(OR(LOOKUP(A739,characters!A:A,characters!B:B)=-1, LOOKUP(A739,characters!A:A,characters!B:B)+0.1&gt;=B739),1,0)</f>
        <v/>
      </c>
    </row>
    <row r="741" spans="1:11">
      <c r="A741" s="3" t="s">
        <v>27</v>
      </c>
      <c r="B741" s="3" t="s">
        <v>9</v>
      </c>
      <c r="C741" s="3" t="s">
        <v>28</v>
      </c>
      <c r="D741" s="3" t="s">
        <v>10</v>
      </c>
      <c r="E741" s="3" t="s">
        <v>53</v>
      </c>
      <c r="F741" s="3" t="s">
        <v>41</v>
      </c>
      <c r="G741" s="3" t="s">
        <v>31</v>
      </c>
      <c r="H741" s="3" t="s">
        <v>51</v>
      </c>
      <c r="I741" s="3" t="s">
        <v>29</v>
      </c>
      <c r="J741" s="3" t="s">
        <v>30</v>
      </c>
    </row>
    <row r="742" spans="1:11">
      <c r="A742" s="4" t="s">
        <v>16</v>
      </c>
      <c r="B742" s="5" t="s">
        <v>17</v>
      </c>
      <c r="C742" s="6">
        <f>IF(SUM(K743:K756)=0,0,SUM(C743:C756)/SUM(K743:K756))</f>
        <v/>
      </c>
      <c r="D742" s="6">
        <f>IF(SUM(K743:K756)=0,0,SUM(D743:D756)/SUM(K743:K756))</f>
        <v/>
      </c>
      <c r="E742" s="6">
        <f>IF(SUM(K743:K756)=0,0,SUM(E743:E756)/SUM(K743:K756))</f>
        <v/>
      </c>
      <c r="F742" s="6">
        <f>IF(SUM(K743:K756)=0,0,SUM(F743:F756)/SUM(K743:K756))</f>
        <v/>
      </c>
      <c r="G742" s="6">
        <f>IF(SUM(K743:K756)=0,0,SUM(G743:G756)/SUM(K743:K756))</f>
        <v/>
      </c>
      <c r="H742" s="6">
        <f>IF(SUM(K743:K756)=0,0,SUM(H743:H756)/SUM(K743:K756))</f>
        <v/>
      </c>
      <c r="I742" s="6">
        <f>IF(SUM(K743:K756)=0,0,SUM(I743:I756)/SUM(K743:K756))</f>
        <v/>
      </c>
      <c r="J742" s="6">
        <f>IF(SUM(K743:K756)=0,0,SUM(J743:J756)/SUM(K743:K756))</f>
        <v/>
      </c>
    </row>
    <row r="743" spans="1:11">
      <c r="A743" s="4" t="s">
        <v>55</v>
      </c>
      <c r="B743" s="7">
        <v>0.1</v>
      </c>
      <c r="C743" s="6">
        <f>IF(K743=1,1.0,0)</f>
        <v/>
      </c>
      <c r="D743" s="5" t="s">
        <v>17</v>
      </c>
      <c r="E743" s="5" t="s">
        <v>17</v>
      </c>
      <c r="F743" s="5" t="s">
        <v>17</v>
      </c>
      <c r="G743" s="5" t="s">
        <v>17</v>
      </c>
      <c r="H743" s="5" t="s">
        <v>17</v>
      </c>
      <c r="I743" s="5" t="s">
        <v>17</v>
      </c>
      <c r="J743" s="5" t="s">
        <v>17</v>
      </c>
      <c r="K743" s="8">
        <f>IF(OR(LOOKUP(A743,characters!A:A,characters!B:B)=-1, LOOKUP(A743,characters!A:A,characters!B:B)+0.1&gt;=B743),1,0)</f>
        <v/>
      </c>
    </row>
    <row r="744" spans="1:11">
      <c r="A744" s="4" t="s">
        <v>18</v>
      </c>
      <c r="B744" s="7">
        <v>0.1</v>
      </c>
      <c r="C744" s="5" t="s">
        <v>17</v>
      </c>
      <c r="D744" s="6">
        <f>IF(K744=1,1.0,0)</f>
        <v/>
      </c>
      <c r="E744" s="5" t="s">
        <v>17</v>
      </c>
      <c r="F744" s="5" t="s">
        <v>17</v>
      </c>
      <c r="G744" s="5" t="s">
        <v>17</v>
      </c>
      <c r="H744" s="5" t="s">
        <v>17</v>
      </c>
      <c r="I744" s="5" t="s">
        <v>17</v>
      </c>
      <c r="J744" s="5" t="s">
        <v>17</v>
      </c>
      <c r="K744" s="8">
        <f>IF(OR(LOOKUP(A744,characters!A:A,characters!B:B)=-1, LOOKUP(A744,characters!A:A,characters!B:B)+0.1&gt;=B744),1,0)</f>
        <v/>
      </c>
    </row>
    <row r="745" spans="1:11">
      <c r="A745" s="4" t="s">
        <v>59</v>
      </c>
      <c r="B745" s="7">
        <v>0</v>
      </c>
      <c r="C745" s="5" t="s">
        <v>17</v>
      </c>
      <c r="D745" s="5" t="s">
        <v>17</v>
      </c>
      <c r="E745" s="6">
        <f>IF(K745=1,1.0,0)</f>
        <v/>
      </c>
      <c r="F745" s="6">
        <f>IF(K745=1,1.0,0)</f>
        <v/>
      </c>
      <c r="G745" s="5" t="s">
        <v>17</v>
      </c>
      <c r="H745" s="5" t="s">
        <v>17</v>
      </c>
      <c r="I745" s="5" t="s">
        <v>17</v>
      </c>
      <c r="J745" s="5" t="s">
        <v>17</v>
      </c>
      <c r="K745" s="8">
        <f>IF(OR(LOOKUP(A745,characters!A:A,characters!B:B)=-1, LOOKUP(A745,characters!A:A,characters!B:B)+0.1&gt;=B745),1,0)</f>
        <v/>
      </c>
    </row>
    <row r="746" spans="1:11">
      <c r="A746" s="4" t="s">
        <v>37</v>
      </c>
      <c r="B746" s="7">
        <v>0.5</v>
      </c>
      <c r="C746" s="5" t="s">
        <v>17</v>
      </c>
      <c r="D746" s="5" t="s">
        <v>17</v>
      </c>
      <c r="E746" s="5" t="s">
        <v>17</v>
      </c>
      <c r="F746" s="6">
        <f>IF(K746=1,1.0,0)</f>
        <v/>
      </c>
      <c r="G746" s="6">
        <f>IF(K746=1,0.99,0)</f>
        <v/>
      </c>
      <c r="H746" s="5" t="s">
        <v>17</v>
      </c>
      <c r="I746" s="5" t="s">
        <v>17</v>
      </c>
      <c r="J746" s="5" t="s">
        <v>17</v>
      </c>
      <c r="K746" s="8">
        <f>IF(OR(LOOKUP(A746,characters!A:A,characters!B:B)=-1, LOOKUP(A746,characters!A:A,characters!B:B)+0.1&gt;=B746),1,0)</f>
        <v/>
      </c>
    </row>
    <row r="747" spans="1:11">
      <c r="A747" s="4" t="s">
        <v>58</v>
      </c>
      <c r="B747" s="7">
        <v>0.1</v>
      </c>
      <c r="C747" s="5" t="s">
        <v>17</v>
      </c>
      <c r="D747" s="6">
        <f>IF(K747=1,0.9,0)</f>
        <v/>
      </c>
      <c r="E747" s="5" t="s">
        <v>17</v>
      </c>
      <c r="F747" s="5" t="s">
        <v>17</v>
      </c>
      <c r="G747" s="6">
        <f>IF(K747=1,0.9,0)</f>
        <v/>
      </c>
      <c r="H747" s="6">
        <f>IF(K747=1,1.0,0)</f>
        <v/>
      </c>
      <c r="I747" s="5" t="s">
        <v>17</v>
      </c>
      <c r="J747" s="5" t="s">
        <v>17</v>
      </c>
      <c r="K747" s="8">
        <f>IF(OR(LOOKUP(A747,characters!A:A,characters!B:B)=-1, LOOKUP(A747,characters!A:A,characters!B:B)+0.1&gt;=B747),1,0)</f>
        <v/>
      </c>
    </row>
    <row r="748" spans="1:11">
      <c r="A748" s="4" t="s">
        <v>56</v>
      </c>
      <c r="B748" s="7">
        <v>0.1</v>
      </c>
      <c r="C748" s="5" t="s">
        <v>17</v>
      </c>
      <c r="D748" s="5" t="s">
        <v>17</v>
      </c>
      <c r="E748" s="5" t="s">
        <v>17</v>
      </c>
      <c r="F748" s="6">
        <f>IF(K748=1,1.0,0)</f>
        <v/>
      </c>
      <c r="G748" s="5" t="s">
        <v>17</v>
      </c>
      <c r="H748" s="5" t="s">
        <v>17</v>
      </c>
      <c r="I748" s="5" t="s">
        <v>17</v>
      </c>
      <c r="J748" s="5" t="s">
        <v>17</v>
      </c>
      <c r="K748" s="8">
        <f>IF(OR(LOOKUP(A748,characters!A:A,characters!B:B)=-1, LOOKUP(A748,characters!A:A,characters!B:B)+0.1&gt;=B748),1,0)</f>
        <v/>
      </c>
    </row>
    <row r="749" spans="1:11">
      <c r="A749" s="4" t="s">
        <v>39</v>
      </c>
      <c r="B749" s="7">
        <v>0.1</v>
      </c>
      <c r="C749" s="5" t="s">
        <v>17</v>
      </c>
      <c r="D749" s="6">
        <f>IF(K749=1,1.0,0)</f>
        <v/>
      </c>
      <c r="E749" s="5" t="s">
        <v>17</v>
      </c>
      <c r="F749" s="6">
        <f>IF(K749=1,1.0,0)</f>
        <v/>
      </c>
      <c r="G749" s="6">
        <f>IF(K749=1,1.0,0)</f>
        <v/>
      </c>
      <c r="H749" s="5" t="s">
        <v>17</v>
      </c>
      <c r="I749" s="5" t="s">
        <v>17</v>
      </c>
      <c r="J749" s="5" t="s">
        <v>17</v>
      </c>
      <c r="K749" s="8">
        <f>IF(OR(LOOKUP(A749,characters!A:A,characters!B:B)=-1, LOOKUP(A749,characters!A:A,characters!B:B)+0.1&gt;=B749),1,0)</f>
        <v/>
      </c>
    </row>
    <row r="750" spans="1:11">
      <c r="A750" s="4" t="s">
        <v>19</v>
      </c>
      <c r="B750" s="7">
        <v>0.1</v>
      </c>
      <c r="C750" s="5" t="s">
        <v>17</v>
      </c>
      <c r="D750" s="6">
        <f>IF(K750=1,1.0,0)</f>
        <v/>
      </c>
      <c r="E750" s="5" t="s">
        <v>17</v>
      </c>
      <c r="F750" s="5" t="s">
        <v>17</v>
      </c>
      <c r="G750" s="5" t="s">
        <v>17</v>
      </c>
      <c r="H750" s="5" t="s">
        <v>17</v>
      </c>
      <c r="I750" s="5" t="s">
        <v>17</v>
      </c>
      <c r="J750" s="5" t="s">
        <v>17</v>
      </c>
      <c r="K750" s="8">
        <f>IF(OR(LOOKUP(A750,characters!A:A,characters!B:B)=-1, LOOKUP(A750,characters!A:A,characters!B:B)+0.1&gt;=B750),1,0)</f>
        <v/>
      </c>
    </row>
    <row r="751" spans="1:11">
      <c r="A751" s="4" t="s">
        <v>57</v>
      </c>
      <c r="B751" s="7">
        <v>0.1</v>
      </c>
      <c r="C751" s="5" t="s">
        <v>17</v>
      </c>
      <c r="D751" s="5" t="s">
        <v>17</v>
      </c>
      <c r="E751" s="5" t="s">
        <v>17</v>
      </c>
      <c r="F751" s="5" t="s">
        <v>17</v>
      </c>
      <c r="G751" s="5" t="s">
        <v>17</v>
      </c>
      <c r="H751" s="5" t="s">
        <v>17</v>
      </c>
      <c r="I751" s="6">
        <f>IF(K751=1,1.0,0)</f>
        <v/>
      </c>
      <c r="J751" s="5" t="s">
        <v>17</v>
      </c>
      <c r="K751" s="8">
        <f>IF(OR(LOOKUP(A751,characters!A:A,characters!B:B)=-1, LOOKUP(A751,characters!A:A,characters!B:B)+0.1&gt;=B751),1,0)</f>
        <v/>
      </c>
    </row>
    <row r="752" spans="1:11">
      <c r="A752" s="4" t="s">
        <v>20</v>
      </c>
      <c r="B752" s="7">
        <v>0.1</v>
      </c>
      <c r="C752" s="5" t="s">
        <v>17</v>
      </c>
      <c r="D752" s="6">
        <f>IF(K752=1,0.9,0)</f>
        <v/>
      </c>
      <c r="E752" s="5" t="s">
        <v>17</v>
      </c>
      <c r="F752" s="5" t="s">
        <v>17</v>
      </c>
      <c r="G752" s="5" t="s">
        <v>17</v>
      </c>
      <c r="H752" s="5" t="s">
        <v>17</v>
      </c>
      <c r="I752" s="5" t="s">
        <v>17</v>
      </c>
      <c r="J752" s="6">
        <f>IF(K752=1,1.0,0)</f>
        <v/>
      </c>
      <c r="K752" s="8">
        <f>IF(OR(LOOKUP(A752,characters!A:A,characters!B:B)=-1, LOOKUP(A752,characters!A:A,characters!B:B)+0.1&gt;=B752),1,0)</f>
        <v/>
      </c>
    </row>
    <row r="753" spans="1:11">
      <c r="A753" s="4" t="s">
        <v>68</v>
      </c>
      <c r="B753" s="7">
        <v>0.1</v>
      </c>
      <c r="C753" s="6">
        <f>IF(K753=1,1.0,0)</f>
        <v/>
      </c>
      <c r="D753" s="5" t="s">
        <v>17</v>
      </c>
      <c r="E753" s="5" t="s">
        <v>17</v>
      </c>
      <c r="F753" s="5" t="s">
        <v>17</v>
      </c>
      <c r="G753" s="5" t="s">
        <v>17</v>
      </c>
      <c r="H753" s="5" t="s">
        <v>17</v>
      </c>
      <c r="I753" s="5" t="s">
        <v>17</v>
      </c>
      <c r="J753" s="5" t="s">
        <v>17</v>
      </c>
      <c r="K753" s="8">
        <f>IF(OR(LOOKUP(A753,characters!A:A,characters!B:B)=-1, LOOKUP(A753,characters!A:A,characters!B:B)+0.1&gt;=B753),1,0)</f>
        <v/>
      </c>
    </row>
    <row r="754" spans="1:11">
      <c r="A754" s="4" t="s">
        <v>21</v>
      </c>
      <c r="B754" s="7">
        <v>0.1</v>
      </c>
      <c r="C754" s="5" t="s">
        <v>17</v>
      </c>
      <c r="D754" s="5" t="s">
        <v>17</v>
      </c>
      <c r="E754" s="5" t="s">
        <v>17</v>
      </c>
      <c r="F754" s="5" t="s">
        <v>17</v>
      </c>
      <c r="G754" s="6">
        <f>IF(K754=1,1.0,0)</f>
        <v/>
      </c>
      <c r="H754" s="5" t="s">
        <v>17</v>
      </c>
      <c r="I754" s="5" t="s">
        <v>17</v>
      </c>
      <c r="J754" s="5" t="s">
        <v>17</v>
      </c>
      <c r="K754" s="8">
        <f>IF(OR(LOOKUP(A754,characters!A:A,characters!B:B)=-1, LOOKUP(A754,characters!A:A,characters!B:B)+0.1&gt;=B754),1,0)</f>
        <v/>
      </c>
    </row>
    <row r="755" spans="1:11">
      <c r="A755" s="4" t="s">
        <v>22</v>
      </c>
      <c r="B755" s="7">
        <v>0.1</v>
      </c>
      <c r="C755" s="6">
        <f>IF(K755=1,0.99,0)</f>
        <v/>
      </c>
      <c r="D755" s="6">
        <f>IF(K755=1,1.0,0)</f>
        <v/>
      </c>
      <c r="E755" s="5" t="s">
        <v>17</v>
      </c>
      <c r="F755" s="5" t="s">
        <v>17</v>
      </c>
      <c r="G755" s="5" t="s">
        <v>17</v>
      </c>
      <c r="H755" s="5" t="s">
        <v>17</v>
      </c>
      <c r="I755" s="5" t="s">
        <v>17</v>
      </c>
      <c r="J755" s="5" t="s">
        <v>17</v>
      </c>
      <c r="K755" s="8">
        <f>IF(OR(LOOKUP(A755,characters!A:A,characters!B:B)=-1, LOOKUP(A755,characters!A:A,characters!B:B)+0.1&gt;=B755),1,0)</f>
        <v/>
      </c>
    </row>
    <row r="756" spans="1:11">
      <c r="A756" s="4" t="s">
        <v>23</v>
      </c>
      <c r="B756" s="7">
        <v>0.1</v>
      </c>
      <c r="C756" s="5" t="s">
        <v>17</v>
      </c>
      <c r="D756" s="6">
        <f>IF(K756=1,1.0,0)</f>
        <v/>
      </c>
      <c r="E756" s="5" t="s">
        <v>17</v>
      </c>
      <c r="F756" s="5" t="s">
        <v>17</v>
      </c>
      <c r="G756" s="5" t="s">
        <v>17</v>
      </c>
      <c r="H756" s="5" t="s">
        <v>17</v>
      </c>
      <c r="I756" s="6">
        <f>IF(K756=1,0.9,0)</f>
        <v/>
      </c>
      <c r="J756" s="5" t="s">
        <v>17</v>
      </c>
      <c r="K756" s="8">
        <f>IF(OR(LOOKUP(A756,characters!A:A,characters!B:B)=-1, LOOKUP(A756,characters!A:A,characters!B:B)+0.1&gt;=B756),1,0)</f>
        <v/>
      </c>
    </row>
    <row r="758" spans="1:11">
      <c r="A758" s="3" t="s">
        <v>32</v>
      </c>
      <c r="B758" s="3" t="s">
        <v>9</v>
      </c>
      <c r="C758" s="3" t="s">
        <v>42</v>
      </c>
      <c r="D758" s="3" t="s">
        <v>33</v>
      </c>
      <c r="E758" s="3" t="s">
        <v>10</v>
      </c>
      <c r="F758" s="3" t="s">
        <v>53</v>
      </c>
      <c r="G758" s="3" t="s">
        <v>34</v>
      </c>
    </row>
    <row r="759" spans="1:11">
      <c r="A759" s="4" t="s">
        <v>16</v>
      </c>
      <c r="B759" s="5" t="s">
        <v>17</v>
      </c>
      <c r="C759" s="6">
        <f>IF(SUM(H760:H773)=0,0,SUM(C760:C773)/SUM(H760:H773))</f>
        <v/>
      </c>
      <c r="D759" s="6">
        <f>IF(SUM(H760:H773)=0,0,SUM(D760:D773)/SUM(H760:H773))</f>
        <v/>
      </c>
      <c r="E759" s="6">
        <f>IF(SUM(H760:H773)=0,0,SUM(E760:E773)/SUM(H760:H773))</f>
        <v/>
      </c>
      <c r="F759" s="6">
        <f>IF(SUM(H760:H773)=0,0,SUM(F760:F773)/SUM(H760:H773))</f>
        <v/>
      </c>
      <c r="G759" s="6">
        <f>IF(SUM(H760:H773)=0,0,SUM(G760:G773)/SUM(H760:H773))</f>
        <v/>
      </c>
    </row>
    <row r="760" spans="1:11">
      <c r="A760" s="4" t="s">
        <v>55</v>
      </c>
      <c r="B760" s="7">
        <v>0.1</v>
      </c>
      <c r="C760" s="6">
        <f>IF(H760=1,1.0,0)</f>
        <v/>
      </c>
      <c r="D760" s="5" t="s">
        <v>17</v>
      </c>
      <c r="E760" s="5" t="s">
        <v>17</v>
      </c>
      <c r="F760" s="5" t="s">
        <v>17</v>
      </c>
      <c r="G760" s="5" t="s">
        <v>17</v>
      </c>
      <c r="H760" s="8">
        <f>IF(OR(LOOKUP(A760,characters!A:A,characters!B:B)=-1, LOOKUP(A760,characters!A:A,characters!B:B)+0.1&gt;=B760),1,0)</f>
        <v/>
      </c>
    </row>
    <row r="761" spans="1:11">
      <c r="A761" s="4" t="s">
        <v>18</v>
      </c>
      <c r="B761" s="7">
        <v>0.1</v>
      </c>
      <c r="C761" s="5" t="s">
        <v>17</v>
      </c>
      <c r="D761" s="6">
        <f>IF(H761=1,1.0,0)</f>
        <v/>
      </c>
      <c r="E761" s="6">
        <f>IF(H761=1,1.0,0)</f>
        <v/>
      </c>
      <c r="F761" s="5" t="s">
        <v>17</v>
      </c>
      <c r="G761" s="5" t="s">
        <v>17</v>
      </c>
      <c r="H761" s="8">
        <f>IF(OR(LOOKUP(A761,characters!A:A,characters!B:B)=-1, LOOKUP(A761,characters!A:A,characters!B:B)+0.1&gt;=B761),1,0)</f>
        <v/>
      </c>
    </row>
    <row r="762" spans="1:11">
      <c r="A762" s="4" t="s">
        <v>59</v>
      </c>
      <c r="B762" s="7">
        <v>0</v>
      </c>
      <c r="C762" s="5" t="s">
        <v>17</v>
      </c>
      <c r="D762" s="6">
        <f>IF(H762=1,1.0,0)</f>
        <v/>
      </c>
      <c r="E762" s="5" t="s">
        <v>17</v>
      </c>
      <c r="F762" s="6">
        <f>IF(H762=1,1.0,0)</f>
        <v/>
      </c>
      <c r="G762" s="5" t="s">
        <v>17</v>
      </c>
      <c r="H762" s="8">
        <f>IF(OR(LOOKUP(A762,characters!A:A,characters!B:B)=-1, LOOKUP(A762,characters!A:A,characters!B:B)+0.1&gt;=B762),1,0)</f>
        <v/>
      </c>
    </row>
    <row r="763" spans="1:11">
      <c r="A763" s="4" t="s">
        <v>37</v>
      </c>
      <c r="B763" s="7">
        <v>0.5</v>
      </c>
      <c r="C763" s="5" t="s">
        <v>17</v>
      </c>
      <c r="D763" s="5" t="s">
        <v>17</v>
      </c>
      <c r="E763" s="6">
        <f>IF(H763=1,1.0,0)</f>
        <v/>
      </c>
      <c r="F763" s="5" t="s">
        <v>17</v>
      </c>
      <c r="G763" s="6">
        <f>IF(H763=1,1.0,0)</f>
        <v/>
      </c>
      <c r="H763" s="8">
        <f>IF(OR(LOOKUP(A763,characters!A:A,characters!B:B)=-1, LOOKUP(A763,characters!A:A,characters!B:B)+0.1&gt;=B763),1,0)</f>
        <v/>
      </c>
    </row>
    <row r="764" spans="1:11">
      <c r="A764" s="4" t="s">
        <v>58</v>
      </c>
      <c r="B764" s="7">
        <v>0.1</v>
      </c>
      <c r="C764" s="6">
        <f>IF(H764=1,1.0,0)</f>
        <v/>
      </c>
      <c r="D764" s="5" t="s">
        <v>17</v>
      </c>
      <c r="E764" s="5" t="s">
        <v>17</v>
      </c>
      <c r="F764" s="5" t="s">
        <v>17</v>
      </c>
      <c r="G764" s="5" t="s">
        <v>17</v>
      </c>
      <c r="H764" s="8">
        <f>IF(OR(LOOKUP(A764,characters!A:A,characters!B:B)=-1, LOOKUP(A764,characters!A:A,characters!B:B)+0.1&gt;=B764),1,0)</f>
        <v/>
      </c>
    </row>
    <row r="765" spans="1:11">
      <c r="A765" s="4" t="s">
        <v>56</v>
      </c>
      <c r="B765" s="7">
        <v>0.1</v>
      </c>
      <c r="C765" s="6">
        <f>IF(H765=1,1.0,0)</f>
        <v/>
      </c>
      <c r="D765" s="5" t="s">
        <v>17</v>
      </c>
      <c r="E765" s="5" t="s">
        <v>17</v>
      </c>
      <c r="F765" s="5" t="s">
        <v>17</v>
      </c>
      <c r="G765" s="5" t="s">
        <v>17</v>
      </c>
      <c r="H765" s="8">
        <f>IF(OR(LOOKUP(A765,characters!A:A,characters!B:B)=-1, LOOKUP(A765,characters!A:A,characters!B:B)+0.1&gt;=B765),1,0)</f>
        <v/>
      </c>
    </row>
    <row r="766" spans="1:11">
      <c r="A766" s="4" t="s">
        <v>39</v>
      </c>
      <c r="B766" s="7">
        <v>0.1</v>
      </c>
      <c r="C766" s="6">
        <f>IF(H766=1,1.0,0)</f>
        <v/>
      </c>
      <c r="D766" s="5" t="s">
        <v>17</v>
      </c>
      <c r="E766" s="5" t="s">
        <v>17</v>
      </c>
      <c r="F766" s="5" t="s">
        <v>17</v>
      </c>
      <c r="G766" s="5" t="s">
        <v>17</v>
      </c>
      <c r="H766" s="8">
        <f>IF(OR(LOOKUP(A766,characters!A:A,characters!B:B)=-1, LOOKUP(A766,characters!A:A,characters!B:B)+0.1&gt;=B766),1,0)</f>
        <v/>
      </c>
    </row>
    <row r="767" spans="1:11">
      <c r="A767" s="4" t="s">
        <v>19</v>
      </c>
      <c r="B767" s="7">
        <v>0.1</v>
      </c>
      <c r="C767" s="5" t="s">
        <v>17</v>
      </c>
      <c r="D767" s="6">
        <f>IF(H767=1,1.0,0)</f>
        <v/>
      </c>
      <c r="E767" s="6">
        <f>IF(H767=1,1.0,0)</f>
        <v/>
      </c>
      <c r="F767" s="5" t="s">
        <v>17</v>
      </c>
      <c r="G767" s="5" t="s">
        <v>17</v>
      </c>
      <c r="H767" s="8">
        <f>IF(OR(LOOKUP(A767,characters!A:A,characters!B:B)=-1, LOOKUP(A767,characters!A:A,characters!B:B)+0.1&gt;=B767),1,0)</f>
        <v/>
      </c>
    </row>
    <row r="768" spans="1:11">
      <c r="A768" s="4" t="s">
        <v>57</v>
      </c>
      <c r="B768" s="7">
        <v>0.1</v>
      </c>
      <c r="C768" s="6">
        <f>IF(H768=1,1.0,0)</f>
        <v/>
      </c>
      <c r="D768" s="5" t="s">
        <v>17</v>
      </c>
      <c r="E768" s="5" t="s">
        <v>17</v>
      </c>
      <c r="F768" s="5" t="s">
        <v>17</v>
      </c>
      <c r="G768" s="5" t="s">
        <v>17</v>
      </c>
      <c r="H768" s="8">
        <f>IF(OR(LOOKUP(A768,characters!A:A,characters!B:B)=-1, LOOKUP(A768,characters!A:A,characters!B:B)+0.1&gt;=B768),1,0)</f>
        <v/>
      </c>
    </row>
    <row r="769" spans="1:9">
      <c r="A769" s="4" t="s">
        <v>20</v>
      </c>
      <c r="B769" s="7">
        <v>0.1</v>
      </c>
      <c r="C769" s="5" t="s">
        <v>17</v>
      </c>
      <c r="D769" s="6">
        <f>IF(H769=1,1.0,0)</f>
        <v/>
      </c>
      <c r="E769" s="6">
        <f>IF(H769=1,1.0,0)</f>
        <v/>
      </c>
      <c r="F769" s="5" t="s">
        <v>17</v>
      </c>
      <c r="G769" s="5" t="s">
        <v>17</v>
      </c>
      <c r="H769" s="8">
        <f>IF(OR(LOOKUP(A769,characters!A:A,characters!B:B)=-1, LOOKUP(A769,characters!A:A,characters!B:B)+0.1&gt;=B769),1,0)</f>
        <v/>
      </c>
    </row>
    <row r="770" spans="1:9">
      <c r="A770" s="4" t="s">
        <v>68</v>
      </c>
      <c r="B770" s="7">
        <v>0.1</v>
      </c>
      <c r="C770" s="6">
        <f>IF(H770=1,1.0,0)</f>
        <v/>
      </c>
      <c r="D770" s="5" t="s">
        <v>17</v>
      </c>
      <c r="E770" s="5" t="s">
        <v>17</v>
      </c>
      <c r="F770" s="5" t="s">
        <v>17</v>
      </c>
      <c r="G770" s="5" t="s">
        <v>17</v>
      </c>
      <c r="H770" s="8">
        <f>IF(OR(LOOKUP(A770,characters!A:A,characters!B:B)=-1, LOOKUP(A770,characters!A:A,characters!B:B)+0.1&gt;=B770),1,0)</f>
        <v/>
      </c>
    </row>
    <row r="771" spans="1:9">
      <c r="A771" s="4" t="s">
        <v>21</v>
      </c>
      <c r="B771" s="7">
        <v>0.1</v>
      </c>
      <c r="C771" s="5" t="s">
        <v>17</v>
      </c>
      <c r="D771" s="6">
        <f>IF(H771=1,1.0,0)</f>
        <v/>
      </c>
      <c r="E771" s="6">
        <f>IF(H771=1,0.99,0)</f>
        <v/>
      </c>
      <c r="F771" s="5" t="s">
        <v>17</v>
      </c>
      <c r="G771" s="5" t="s">
        <v>17</v>
      </c>
      <c r="H771" s="8">
        <f>IF(OR(LOOKUP(A771,characters!A:A,characters!B:B)=-1, LOOKUP(A771,characters!A:A,characters!B:B)+0.1&gt;=B771),1,0)</f>
        <v/>
      </c>
    </row>
    <row r="772" spans="1:9">
      <c r="A772" s="4" t="s">
        <v>22</v>
      </c>
      <c r="B772" s="7">
        <v>0.1</v>
      </c>
      <c r="C772" s="5" t="s">
        <v>17</v>
      </c>
      <c r="D772" s="6">
        <f>IF(H772=1,1.0,0)</f>
        <v/>
      </c>
      <c r="E772" s="5" t="s">
        <v>17</v>
      </c>
      <c r="F772" s="5" t="s">
        <v>17</v>
      </c>
      <c r="G772" s="6">
        <f>IF(H772=1,1.0,0)</f>
        <v/>
      </c>
      <c r="H772" s="8">
        <f>IF(OR(LOOKUP(A772,characters!A:A,characters!B:B)=-1, LOOKUP(A772,characters!A:A,characters!B:B)+0.1&gt;=B772),1,0)</f>
        <v/>
      </c>
    </row>
    <row r="773" spans="1:9">
      <c r="A773" s="4" t="s">
        <v>23</v>
      </c>
      <c r="B773" s="7">
        <v>0.1</v>
      </c>
      <c r="C773" s="5" t="s">
        <v>17</v>
      </c>
      <c r="D773" s="6">
        <f>IF(H773=1,1.0,0)</f>
        <v/>
      </c>
      <c r="E773" s="6">
        <f>IF(H773=1,1.0,0)</f>
        <v/>
      </c>
      <c r="F773" s="5" t="s">
        <v>17</v>
      </c>
      <c r="G773" s="5" t="s">
        <v>17</v>
      </c>
      <c r="H773" s="8">
        <f>IF(OR(LOOKUP(A773,characters!A:A,characters!B:B)=-1, LOOKUP(A773,characters!A:A,characters!B:B)+0.1&gt;=B773),1,0)</f>
        <v/>
      </c>
    </row>
    <row r="780" spans="1:9">
      <c r="A780" s="3" t="s">
        <v>72</v>
      </c>
    </row>
    <row r="781" spans="1:9">
      <c r="A781" s="3" t="s">
        <v>8</v>
      </c>
      <c r="B781" s="3" t="s">
        <v>9</v>
      </c>
      <c r="C781" s="3" t="s">
        <v>10</v>
      </c>
      <c r="D781" s="3" t="s">
        <v>12</v>
      </c>
      <c r="E781" s="3" t="s">
        <v>11</v>
      </c>
      <c r="F781" s="3" t="s">
        <v>13</v>
      </c>
      <c r="G781" s="3" t="s">
        <v>14</v>
      </c>
      <c r="H781" s="3" t="s">
        <v>15</v>
      </c>
    </row>
    <row r="782" spans="1:9">
      <c r="A782" s="4" t="s">
        <v>16</v>
      </c>
      <c r="B782" s="5" t="s">
        <v>17</v>
      </c>
      <c r="C782" s="6">
        <f>IF(SUM(I783:I790)=0,0,SUM(C783:C790)/SUM(I783:I790))</f>
        <v/>
      </c>
      <c r="D782" s="6">
        <f>IF(SUM(I783:I790)=0,0,SUM(D783:D790)/SUM(I783:I790))</f>
        <v/>
      </c>
      <c r="E782" s="6">
        <f>IF(SUM(I783:I790)=0,0,SUM(E783:E790)/SUM(I783:I790))</f>
        <v/>
      </c>
      <c r="F782" s="6">
        <f>IF(SUM(I783:I790)=0,0,SUM(F783:F790)/SUM(I783:I790))</f>
        <v/>
      </c>
      <c r="G782" s="6">
        <f>IF(SUM(I783:I790)=0,0,SUM(G783:G790)/SUM(I783:I790))</f>
        <v/>
      </c>
      <c r="H782" s="6">
        <f>IF(SUM(I783:I790)=0,0,SUM(H783:H790)/SUM(I783:I790))</f>
        <v/>
      </c>
    </row>
    <row r="783" spans="1:9">
      <c r="A783" s="4" t="s">
        <v>61</v>
      </c>
      <c r="B783" s="7">
        <v>0</v>
      </c>
      <c r="C783" s="6">
        <f>IF(I783=1,0.9,0)</f>
        <v/>
      </c>
      <c r="D783" s="6">
        <f>IF(I783=1,0.8,0)</f>
        <v/>
      </c>
      <c r="E783" s="6">
        <f>IF(I783=1,0.8,0)</f>
        <v/>
      </c>
      <c r="F783" s="6">
        <f>IF(I783=1,1.0,0)</f>
        <v/>
      </c>
      <c r="G783" s="6">
        <f>IF(I783=1,1.0,0)</f>
        <v/>
      </c>
      <c r="H783" s="5" t="s">
        <v>17</v>
      </c>
      <c r="I783" s="8">
        <f>IF(OR(LOOKUP(A783,characters!A:A,characters!B:B)=-1, LOOKUP(A783,characters!A:A,characters!B:B)+0.1&gt;=B783),1,0)</f>
        <v/>
      </c>
    </row>
    <row r="784" spans="1:9">
      <c r="A784" s="4" t="s">
        <v>40</v>
      </c>
      <c r="B784" s="7">
        <v>0</v>
      </c>
      <c r="C784" s="6">
        <f>IF(I784=1,0.9,0)</f>
        <v/>
      </c>
      <c r="D784" s="6">
        <f>IF(I784=1,0.8,0)</f>
        <v/>
      </c>
      <c r="E784" s="6">
        <f>IF(I784=1,0.8,0)</f>
        <v/>
      </c>
      <c r="F784" s="5" t="s">
        <v>17</v>
      </c>
      <c r="G784" s="5" t="s">
        <v>17</v>
      </c>
      <c r="H784" s="6">
        <f>IF(I784=1,1.0,0)</f>
        <v/>
      </c>
      <c r="I784" s="8">
        <f>IF(OR(LOOKUP(A784,characters!A:A,characters!B:B)=-1, LOOKUP(A784,characters!A:A,characters!B:B)+0.1&gt;=B784),1,0)</f>
        <v/>
      </c>
    </row>
    <row r="785" spans="1:9">
      <c r="A785" s="4" t="s">
        <v>24</v>
      </c>
      <c r="B785" s="7">
        <v>0</v>
      </c>
      <c r="C785" s="6">
        <f>IF(I785=1,1.0,0)</f>
        <v/>
      </c>
      <c r="D785" s="6">
        <f>IF(I785=1,0.9,0)</f>
        <v/>
      </c>
      <c r="E785" s="6">
        <f>IF(I785=1,0.9,0)</f>
        <v/>
      </c>
      <c r="F785" s="6">
        <f>IF(I785=1,1.0,0)</f>
        <v/>
      </c>
      <c r="G785" s="6">
        <f>IF(I785=1,1.0,0)</f>
        <v/>
      </c>
      <c r="H785" s="5" t="s">
        <v>17</v>
      </c>
      <c r="I785" s="8">
        <f>IF(OR(LOOKUP(A785,characters!A:A,characters!B:B)=-1, LOOKUP(A785,characters!A:A,characters!B:B)+0.1&gt;=B785),1,0)</f>
        <v/>
      </c>
    </row>
    <row r="786" spans="1:9">
      <c r="A786" s="4" t="s">
        <v>68</v>
      </c>
      <c r="B786" s="7">
        <v>0.2</v>
      </c>
      <c r="C786" s="6">
        <f>IF(I786=1,0.9,0)</f>
        <v/>
      </c>
      <c r="D786" s="6">
        <f>IF(I786=1,0.8,0)</f>
        <v/>
      </c>
      <c r="E786" s="6">
        <f>IF(I786=1,0.8,0)</f>
        <v/>
      </c>
      <c r="F786" s="6">
        <f>IF(I786=1,1.0,0)</f>
        <v/>
      </c>
      <c r="G786" s="6">
        <f>IF(I786=1,1.0,0)</f>
        <v/>
      </c>
      <c r="H786" s="5" t="s">
        <v>17</v>
      </c>
      <c r="I786" s="8">
        <f>IF(OR(LOOKUP(A786,characters!A:A,characters!B:B)=-1, LOOKUP(A786,characters!A:A,characters!B:B)+0.1&gt;=B786),1,0)</f>
        <v/>
      </c>
    </row>
    <row r="787" spans="1:9">
      <c r="A787" s="4" t="s">
        <v>38</v>
      </c>
      <c r="B787" s="7">
        <v>0.2</v>
      </c>
      <c r="C787" s="6">
        <f>IF(I787=1,0.9,0)</f>
        <v/>
      </c>
      <c r="D787" s="6">
        <f>IF(I787=1,0.8,0)</f>
        <v/>
      </c>
      <c r="E787" s="6">
        <f>IF(I787=1,0.8,0)</f>
        <v/>
      </c>
      <c r="F787" s="5" t="s">
        <v>17</v>
      </c>
      <c r="G787" s="5" t="s">
        <v>17</v>
      </c>
      <c r="H787" s="6">
        <f>IF(I787=1,1.0,0)</f>
        <v/>
      </c>
      <c r="I787" s="8">
        <f>IF(OR(LOOKUP(A787,characters!A:A,characters!B:B)=-1, LOOKUP(A787,characters!A:A,characters!B:B)+0.1&gt;=B787),1,0)</f>
        <v/>
      </c>
    </row>
    <row r="788" spans="1:9">
      <c r="A788" s="4" t="s">
        <v>55</v>
      </c>
      <c r="B788" s="7">
        <v>0.3</v>
      </c>
      <c r="C788" s="6">
        <f>IF(I788=1,0.9,0)</f>
        <v/>
      </c>
      <c r="D788" s="6">
        <f>IF(I788=1,0.8,0)</f>
        <v/>
      </c>
      <c r="E788" s="6">
        <f>IF(I788=1,0.8,0)</f>
        <v/>
      </c>
      <c r="F788" s="6">
        <f>IF(I788=1,1.0,0)</f>
        <v/>
      </c>
      <c r="G788" s="6">
        <f>IF(I788=1,1.0,0)</f>
        <v/>
      </c>
      <c r="H788" s="5" t="s">
        <v>17</v>
      </c>
      <c r="I788" s="8">
        <f>IF(OR(LOOKUP(A788,characters!A:A,characters!B:B)=-1, LOOKUP(A788,characters!A:A,characters!B:B)+0.1&gt;=B788),1,0)</f>
        <v/>
      </c>
    </row>
    <row r="789" spans="1:9">
      <c r="A789" s="4" t="s">
        <v>56</v>
      </c>
      <c r="B789" s="7">
        <v>0.3</v>
      </c>
      <c r="C789" s="6">
        <f>IF(I789=1,0.9,0)</f>
        <v/>
      </c>
      <c r="D789" s="6">
        <f>IF(I789=1,0.8,0)</f>
        <v/>
      </c>
      <c r="E789" s="6">
        <f>IF(I789=1,0.8,0)</f>
        <v/>
      </c>
      <c r="F789" s="6">
        <f>IF(I789=1,1.0,0)</f>
        <v/>
      </c>
      <c r="G789" s="6">
        <f>IF(I789=1,1.0,0)</f>
        <v/>
      </c>
      <c r="H789" s="5" t="s">
        <v>17</v>
      </c>
      <c r="I789" s="8">
        <f>IF(OR(LOOKUP(A789,characters!A:A,characters!B:B)=-1, LOOKUP(A789,characters!A:A,characters!B:B)+0.1&gt;=B789),1,0)</f>
        <v/>
      </c>
    </row>
    <row r="790" spans="1:9">
      <c r="A790" s="4" t="s">
        <v>21</v>
      </c>
      <c r="B790" s="7">
        <v>1.4</v>
      </c>
      <c r="C790" s="6">
        <f>IF(I790=1,0.9,0)</f>
        <v/>
      </c>
      <c r="D790" s="6">
        <f>IF(I790=1,0.8,0)</f>
        <v/>
      </c>
      <c r="E790" s="6">
        <f>IF(I790=1,0.8,0)</f>
        <v/>
      </c>
      <c r="F790" s="5" t="s">
        <v>17</v>
      </c>
      <c r="G790" s="5" t="s">
        <v>17</v>
      </c>
      <c r="H790" s="6">
        <f>IF(I790=1,1.0,0)</f>
        <v/>
      </c>
      <c r="I790" s="8">
        <f>IF(OR(LOOKUP(A790,characters!A:A,characters!B:B)=-1, LOOKUP(A790,characters!A:A,characters!B:B)+0.1&gt;=B790),1,0)</f>
        <v/>
      </c>
    </row>
    <row r="792" spans="1:9">
      <c r="A792" s="3" t="s">
        <v>26</v>
      </c>
      <c r="B792" s="3" t="s">
        <v>9</v>
      </c>
      <c r="C792" s="3" t="s">
        <v>13</v>
      </c>
      <c r="D792" s="3" t="s">
        <v>14</v>
      </c>
      <c r="E792" s="3" t="s">
        <v>15</v>
      </c>
      <c r="F792" s="3" t="s">
        <v>10</v>
      </c>
    </row>
    <row r="793" spans="1:9">
      <c r="A793" s="4" t="s">
        <v>16</v>
      </c>
      <c r="B793" s="5" t="s">
        <v>17</v>
      </c>
      <c r="C793" s="6">
        <f>IF(SUM(G794:G801)=0,0,SUM(C794:C801)/SUM(G794:G801))</f>
        <v/>
      </c>
      <c r="D793" s="6">
        <f>IF(SUM(G794:G801)=0,0,SUM(D794:D801)/SUM(G794:G801))</f>
        <v/>
      </c>
      <c r="E793" s="6">
        <f>IF(SUM(G794:G801)=0,0,SUM(E794:E801)/SUM(G794:G801))</f>
        <v/>
      </c>
      <c r="F793" s="6">
        <f>IF(SUM(G794:G801)=0,0,SUM(F794:F801)/SUM(G794:G801))</f>
        <v/>
      </c>
    </row>
    <row r="794" spans="1:9">
      <c r="A794" s="4" t="s">
        <v>55</v>
      </c>
      <c r="B794" s="7">
        <v>0.3</v>
      </c>
      <c r="C794" s="6">
        <f>IF(G794=1,1.0,0)</f>
        <v/>
      </c>
      <c r="D794" s="6">
        <f>IF(G794=1,0.99,0)</f>
        <v/>
      </c>
      <c r="E794" s="5" t="s">
        <v>17</v>
      </c>
      <c r="F794" s="5" t="s">
        <v>17</v>
      </c>
      <c r="G794" s="8">
        <f>IF(OR(LOOKUP(A794,characters!A:A,characters!B:B)=-1, LOOKUP(A794,characters!A:A,characters!B:B)+0.1&gt;=B794),1,0)</f>
        <v/>
      </c>
    </row>
    <row r="795" spans="1:9">
      <c r="A795" s="4" t="s">
        <v>61</v>
      </c>
      <c r="B795" s="7">
        <v>0</v>
      </c>
      <c r="C795" s="6">
        <f>IF(G795=1,1.0,0)</f>
        <v/>
      </c>
      <c r="D795" s="6">
        <f>IF(G795=1,0.99,0)</f>
        <v/>
      </c>
      <c r="E795" s="5" t="s">
        <v>17</v>
      </c>
      <c r="F795" s="5" t="s">
        <v>17</v>
      </c>
      <c r="G795" s="8">
        <f>IF(OR(LOOKUP(A795,characters!A:A,characters!B:B)=-1, LOOKUP(A795,characters!A:A,characters!B:B)+0.1&gt;=B795),1,0)</f>
        <v/>
      </c>
    </row>
    <row r="796" spans="1:9">
      <c r="A796" s="4" t="s">
        <v>40</v>
      </c>
      <c r="B796" s="7">
        <v>0</v>
      </c>
      <c r="C796" s="5" t="s">
        <v>17</v>
      </c>
      <c r="D796" s="5" t="s">
        <v>17</v>
      </c>
      <c r="E796" s="6">
        <f>IF(G796=1,1.0,0)</f>
        <v/>
      </c>
      <c r="F796" s="6">
        <f>IF(G796=1,0.9,0)</f>
        <v/>
      </c>
      <c r="G796" s="8">
        <f>IF(OR(LOOKUP(A796,characters!A:A,characters!B:B)=-1, LOOKUP(A796,characters!A:A,characters!B:B)+0.1&gt;=B796),1,0)</f>
        <v/>
      </c>
    </row>
    <row r="797" spans="1:9">
      <c r="A797" s="4" t="s">
        <v>24</v>
      </c>
      <c r="B797" s="7">
        <v>0</v>
      </c>
      <c r="C797" s="6">
        <f>IF(G797=1,0.99,0)</f>
        <v/>
      </c>
      <c r="D797" s="6">
        <f>IF(G797=1,1.0,0)</f>
        <v/>
      </c>
      <c r="E797" s="5" t="s">
        <v>17</v>
      </c>
      <c r="F797" s="5" t="s">
        <v>17</v>
      </c>
      <c r="G797" s="8">
        <f>IF(OR(LOOKUP(A797,characters!A:A,characters!B:B)=-1, LOOKUP(A797,characters!A:A,characters!B:B)+0.1&gt;=B797),1,0)</f>
        <v/>
      </c>
    </row>
    <row r="798" spans="1:9">
      <c r="A798" s="4" t="s">
        <v>56</v>
      </c>
      <c r="B798" s="7">
        <v>0.3</v>
      </c>
      <c r="C798" s="6">
        <f>IF(G798=1,1.0,0)</f>
        <v/>
      </c>
      <c r="D798" s="6">
        <f>IF(G798=1,0.99,0)</f>
        <v/>
      </c>
      <c r="E798" s="5" t="s">
        <v>17</v>
      </c>
      <c r="F798" s="5" t="s">
        <v>17</v>
      </c>
      <c r="G798" s="8">
        <f>IF(OR(LOOKUP(A798,characters!A:A,characters!B:B)=-1, LOOKUP(A798,characters!A:A,characters!B:B)+0.1&gt;=B798),1,0)</f>
        <v/>
      </c>
    </row>
    <row r="799" spans="1:9">
      <c r="A799" s="4" t="s">
        <v>68</v>
      </c>
      <c r="B799" s="7">
        <v>0.2</v>
      </c>
      <c r="C799" s="6">
        <f>IF(G799=1,1.0,0)</f>
        <v/>
      </c>
      <c r="D799" s="6">
        <f>IF(G799=1,0.99,0)</f>
        <v/>
      </c>
      <c r="E799" s="5" t="s">
        <v>17</v>
      </c>
      <c r="F799" s="5" t="s">
        <v>17</v>
      </c>
      <c r="G799" s="8">
        <f>IF(OR(LOOKUP(A799,characters!A:A,characters!B:B)=-1, LOOKUP(A799,characters!A:A,characters!B:B)+0.1&gt;=B799),1,0)</f>
        <v/>
      </c>
    </row>
    <row r="800" spans="1:9">
      <c r="A800" s="4" t="s">
        <v>21</v>
      </c>
      <c r="B800" s="7">
        <v>1.4</v>
      </c>
      <c r="C800" s="5" t="s">
        <v>17</v>
      </c>
      <c r="D800" s="5" t="s">
        <v>17</v>
      </c>
      <c r="E800" s="6">
        <f>IF(G800=1,1.0,0)</f>
        <v/>
      </c>
      <c r="F800" s="6">
        <f>IF(G800=1,1.0,0)</f>
        <v/>
      </c>
      <c r="G800" s="8">
        <f>IF(OR(LOOKUP(A800,characters!A:A,characters!B:B)=-1, LOOKUP(A800,characters!A:A,characters!B:B)+0.1&gt;=B800),1,0)</f>
        <v/>
      </c>
    </row>
    <row r="801" spans="1:7">
      <c r="A801" s="4" t="s">
        <v>38</v>
      </c>
      <c r="B801" s="7">
        <v>0.2</v>
      </c>
      <c r="C801" s="5" t="s">
        <v>17</v>
      </c>
      <c r="D801" s="5" t="s">
        <v>17</v>
      </c>
      <c r="E801" s="6">
        <f>IF(G801=1,1.0,0)</f>
        <v/>
      </c>
      <c r="F801" s="5" t="s">
        <v>17</v>
      </c>
      <c r="G801" s="8">
        <f>IF(OR(LOOKUP(A801,characters!A:A,characters!B:B)=-1, LOOKUP(A801,characters!A:A,characters!B:B)+0.1&gt;=B801),1,0)</f>
        <v/>
      </c>
    </row>
    <row r="803" spans="1:7">
      <c r="A803" s="3" t="s">
        <v>27</v>
      </c>
      <c r="B803" s="3" t="s">
        <v>9</v>
      </c>
      <c r="C803" s="3" t="s">
        <v>28</v>
      </c>
      <c r="D803" s="3" t="s">
        <v>31</v>
      </c>
      <c r="E803" s="3" t="s">
        <v>10</v>
      </c>
      <c r="F803" s="3" t="s">
        <v>41</v>
      </c>
    </row>
    <row r="804" spans="1:7">
      <c r="A804" s="4" t="s">
        <v>16</v>
      </c>
      <c r="B804" s="5" t="s">
        <v>17</v>
      </c>
      <c r="C804" s="6">
        <f>IF(SUM(G805:G812)=0,0,SUM(C805:C812)/SUM(G805:G812))</f>
        <v/>
      </c>
      <c r="D804" s="6">
        <f>IF(SUM(G805:G812)=0,0,SUM(D805:D812)/SUM(G805:G812))</f>
        <v/>
      </c>
      <c r="E804" s="6">
        <f>IF(SUM(G805:G812)=0,0,SUM(E805:E812)/SUM(G805:G812))</f>
        <v/>
      </c>
      <c r="F804" s="6">
        <f>IF(SUM(G805:G812)=0,0,SUM(F805:F812)/SUM(G805:G812))</f>
        <v/>
      </c>
    </row>
    <row r="805" spans="1:7">
      <c r="A805" s="4" t="s">
        <v>55</v>
      </c>
      <c r="B805" s="7">
        <v>0.3</v>
      </c>
      <c r="C805" s="6">
        <f>IF(G805=1,1.0,0)</f>
        <v/>
      </c>
      <c r="D805" s="5" t="s">
        <v>17</v>
      </c>
      <c r="E805" s="5" t="s">
        <v>17</v>
      </c>
      <c r="F805" s="5" t="s">
        <v>17</v>
      </c>
      <c r="G805" s="8">
        <f>IF(OR(LOOKUP(A805,characters!A:A,characters!B:B)=-1, LOOKUP(A805,characters!A:A,characters!B:B)+0.1&gt;=B805),1,0)</f>
        <v/>
      </c>
    </row>
    <row r="806" spans="1:7">
      <c r="A806" s="4" t="s">
        <v>61</v>
      </c>
      <c r="B806" s="7">
        <v>0</v>
      </c>
      <c r="C806" s="6">
        <f>IF(G806=1,1.0,0)</f>
        <v/>
      </c>
      <c r="D806" s="5" t="s">
        <v>17</v>
      </c>
      <c r="E806" s="5" t="s">
        <v>17</v>
      </c>
      <c r="F806" s="5" t="s">
        <v>17</v>
      </c>
      <c r="G806" s="8">
        <f>IF(OR(LOOKUP(A806,characters!A:A,characters!B:B)=-1, LOOKUP(A806,characters!A:A,characters!B:B)+0.1&gt;=B806),1,0)</f>
        <v/>
      </c>
    </row>
    <row r="807" spans="1:7">
      <c r="A807" s="4" t="s">
        <v>40</v>
      </c>
      <c r="B807" s="7">
        <v>0</v>
      </c>
      <c r="C807" s="6">
        <f>IF(G807=1,1.0,0)</f>
        <v/>
      </c>
      <c r="D807" s="6">
        <f>IF(G807=1,0.9,0)</f>
        <v/>
      </c>
      <c r="E807" s="6">
        <f>IF(G807=1,0.9,0)</f>
        <v/>
      </c>
      <c r="F807" s="5" t="s">
        <v>17</v>
      </c>
      <c r="G807" s="8">
        <f>IF(OR(LOOKUP(A807,characters!A:A,characters!B:B)=-1, LOOKUP(A807,characters!A:A,characters!B:B)+0.1&gt;=B807),1,0)</f>
        <v/>
      </c>
    </row>
    <row r="808" spans="1:7">
      <c r="A808" s="4" t="s">
        <v>24</v>
      </c>
      <c r="B808" s="7">
        <v>0</v>
      </c>
      <c r="C808" s="6">
        <f>IF(G808=1,1.0,0)</f>
        <v/>
      </c>
      <c r="D808" s="5" t="s">
        <v>17</v>
      </c>
      <c r="E808" s="6">
        <f>IF(G808=1,0.99,0)</f>
        <v/>
      </c>
      <c r="F808" s="5" t="s">
        <v>17</v>
      </c>
      <c r="G808" s="8">
        <f>IF(OR(LOOKUP(A808,characters!A:A,characters!B:B)=-1, LOOKUP(A808,characters!A:A,characters!B:B)+0.1&gt;=B808),1,0)</f>
        <v/>
      </c>
    </row>
    <row r="809" spans="1:7">
      <c r="A809" s="4" t="s">
        <v>56</v>
      </c>
      <c r="B809" s="7">
        <v>0.3</v>
      </c>
      <c r="C809" s="5" t="s">
        <v>17</v>
      </c>
      <c r="D809" s="5" t="s">
        <v>17</v>
      </c>
      <c r="E809" s="5" t="s">
        <v>17</v>
      </c>
      <c r="F809" s="6">
        <f>IF(G809=1,1.0,0)</f>
        <v/>
      </c>
      <c r="G809" s="8">
        <f>IF(OR(LOOKUP(A809,characters!A:A,characters!B:B)=-1, LOOKUP(A809,characters!A:A,characters!B:B)+0.1&gt;=B809),1,0)</f>
        <v/>
      </c>
    </row>
    <row r="810" spans="1:7">
      <c r="A810" s="4" t="s">
        <v>68</v>
      </c>
      <c r="B810" s="7">
        <v>0.2</v>
      </c>
      <c r="C810" s="6">
        <f>IF(G810=1,1.0,0)</f>
        <v/>
      </c>
      <c r="D810" s="5" t="s">
        <v>17</v>
      </c>
      <c r="E810" s="5" t="s">
        <v>17</v>
      </c>
      <c r="F810" s="5" t="s">
        <v>17</v>
      </c>
      <c r="G810" s="8">
        <f>IF(OR(LOOKUP(A810,characters!A:A,characters!B:B)=-1, LOOKUP(A810,characters!A:A,characters!B:B)+0.1&gt;=B810),1,0)</f>
        <v/>
      </c>
    </row>
    <row r="811" spans="1:7">
      <c r="A811" s="4" t="s">
        <v>21</v>
      </c>
      <c r="B811" s="7">
        <v>1.4</v>
      </c>
      <c r="C811" s="5" t="s">
        <v>17</v>
      </c>
      <c r="D811" s="6">
        <f>IF(G811=1,1.0,0)</f>
        <v/>
      </c>
      <c r="E811" s="5" t="s">
        <v>17</v>
      </c>
      <c r="F811" s="5" t="s">
        <v>17</v>
      </c>
      <c r="G811" s="8">
        <f>IF(OR(LOOKUP(A811,characters!A:A,characters!B:B)=-1, LOOKUP(A811,characters!A:A,characters!B:B)+0.1&gt;=B811),1,0)</f>
        <v/>
      </c>
    </row>
    <row r="812" spans="1:7">
      <c r="A812" s="4" t="s">
        <v>38</v>
      </c>
      <c r="B812" s="7">
        <v>0.2</v>
      </c>
      <c r="C812" s="6">
        <f>IF(G812=1,1.0,0)</f>
        <v/>
      </c>
      <c r="D812" s="6">
        <f>IF(G812=1,0.99,0)</f>
        <v/>
      </c>
      <c r="E812" s="5" t="s">
        <v>17</v>
      </c>
      <c r="F812" s="5" t="s">
        <v>17</v>
      </c>
      <c r="G812" s="8">
        <f>IF(OR(LOOKUP(A812,characters!A:A,characters!B:B)=-1, LOOKUP(A812,characters!A:A,characters!B:B)+0.1&gt;=B812),1,0)</f>
        <v/>
      </c>
    </row>
    <row r="814" spans="1:7">
      <c r="A814" s="3" t="s">
        <v>32</v>
      </c>
      <c r="B814" s="3" t="s">
        <v>9</v>
      </c>
      <c r="C814" s="3" t="s">
        <v>42</v>
      </c>
      <c r="D814" s="3" t="s">
        <v>10</v>
      </c>
      <c r="E814" s="3" t="s">
        <v>34</v>
      </c>
      <c r="F814" s="3" t="s">
        <v>33</v>
      </c>
    </row>
    <row r="815" spans="1:7">
      <c r="A815" s="4" t="s">
        <v>16</v>
      </c>
      <c r="B815" s="5" t="s">
        <v>17</v>
      </c>
      <c r="C815" s="6">
        <f>IF(SUM(G816:G823)=0,0,SUM(C816:C823)/SUM(G816:G823))</f>
        <v/>
      </c>
      <c r="D815" s="6">
        <f>IF(SUM(G816:G823)=0,0,SUM(D816:D823)/SUM(G816:G823))</f>
        <v/>
      </c>
      <c r="E815" s="6">
        <f>IF(SUM(G816:G823)=0,0,SUM(E816:E823)/SUM(G816:G823))</f>
        <v/>
      </c>
      <c r="F815" s="6">
        <f>IF(SUM(G816:G823)=0,0,SUM(F816:F823)/SUM(G816:G823))</f>
        <v/>
      </c>
    </row>
    <row r="816" spans="1:7">
      <c r="A816" s="4" t="s">
        <v>55</v>
      </c>
      <c r="B816" s="7">
        <v>0.3</v>
      </c>
      <c r="C816" s="6">
        <f>IF(G816=1,1.0,0)</f>
        <v/>
      </c>
      <c r="D816" s="5" t="s">
        <v>17</v>
      </c>
      <c r="E816" s="5" t="s">
        <v>17</v>
      </c>
      <c r="F816" s="5" t="s">
        <v>17</v>
      </c>
      <c r="G816" s="8">
        <f>IF(OR(LOOKUP(A816,characters!A:A,characters!B:B)=-1, LOOKUP(A816,characters!A:A,characters!B:B)+0.1&gt;=B816),1,0)</f>
        <v/>
      </c>
    </row>
    <row r="817" spans="1:8">
      <c r="A817" s="4" t="s">
        <v>61</v>
      </c>
      <c r="B817" s="7">
        <v>0</v>
      </c>
      <c r="C817" s="5" t="s">
        <v>17</v>
      </c>
      <c r="D817" s="6">
        <f>IF(G817=1,1.0,0)</f>
        <v/>
      </c>
      <c r="E817" s="5" t="s">
        <v>17</v>
      </c>
      <c r="F817" s="5" t="s">
        <v>17</v>
      </c>
      <c r="G817" s="8">
        <f>IF(OR(LOOKUP(A817,characters!A:A,characters!B:B)=-1, LOOKUP(A817,characters!A:A,characters!B:B)+0.1&gt;=B817),1,0)</f>
        <v/>
      </c>
    </row>
    <row r="818" spans="1:8">
      <c r="A818" s="4" t="s">
        <v>40</v>
      </c>
      <c r="B818" s="7">
        <v>0</v>
      </c>
      <c r="C818" s="5" t="s">
        <v>17</v>
      </c>
      <c r="D818" s="6">
        <f>IF(G818=1,1.0,0)</f>
        <v/>
      </c>
      <c r="E818" s="6">
        <f>IF(G818=1,1.0,0)</f>
        <v/>
      </c>
      <c r="F818" s="5" t="s">
        <v>17</v>
      </c>
      <c r="G818" s="8">
        <f>IF(OR(LOOKUP(A818,characters!A:A,characters!B:B)=-1, LOOKUP(A818,characters!A:A,characters!B:B)+0.1&gt;=B818),1,0)</f>
        <v/>
      </c>
    </row>
    <row r="819" spans="1:8">
      <c r="A819" s="4" t="s">
        <v>24</v>
      </c>
      <c r="B819" s="7">
        <v>0</v>
      </c>
      <c r="C819" s="5" t="s">
        <v>17</v>
      </c>
      <c r="D819" s="6">
        <f>IF(G819=1,1.0,0)</f>
        <v/>
      </c>
      <c r="E819" s="5" t="s">
        <v>17</v>
      </c>
      <c r="F819" s="5" t="s">
        <v>17</v>
      </c>
      <c r="G819" s="8">
        <f>IF(OR(LOOKUP(A819,characters!A:A,characters!B:B)=-1, LOOKUP(A819,characters!A:A,characters!B:B)+0.1&gt;=B819),1,0)</f>
        <v/>
      </c>
    </row>
    <row r="820" spans="1:8">
      <c r="A820" s="4" t="s">
        <v>56</v>
      </c>
      <c r="B820" s="7">
        <v>0.3</v>
      </c>
      <c r="C820" s="6">
        <f>IF(G820=1,1.0,0)</f>
        <v/>
      </c>
      <c r="D820" s="5" t="s">
        <v>17</v>
      </c>
      <c r="E820" s="5" t="s">
        <v>17</v>
      </c>
      <c r="F820" s="5" t="s">
        <v>17</v>
      </c>
      <c r="G820" s="8">
        <f>IF(OR(LOOKUP(A820,characters!A:A,characters!B:B)=-1, LOOKUP(A820,characters!A:A,characters!B:B)+0.1&gt;=B820),1,0)</f>
        <v/>
      </c>
    </row>
    <row r="821" spans="1:8">
      <c r="A821" s="4" t="s">
        <v>68</v>
      </c>
      <c r="B821" s="7">
        <v>0.2</v>
      </c>
      <c r="C821" s="6">
        <f>IF(G821=1,1.0,0)</f>
        <v/>
      </c>
      <c r="D821" s="5" t="s">
        <v>17</v>
      </c>
      <c r="E821" s="5" t="s">
        <v>17</v>
      </c>
      <c r="F821" s="5" t="s">
        <v>17</v>
      </c>
      <c r="G821" s="8">
        <f>IF(OR(LOOKUP(A821,characters!A:A,characters!B:B)=-1, LOOKUP(A821,characters!A:A,characters!B:B)+0.1&gt;=B821),1,0)</f>
        <v/>
      </c>
    </row>
    <row r="822" spans="1:8">
      <c r="A822" s="4" t="s">
        <v>21</v>
      </c>
      <c r="B822" s="7">
        <v>1.4</v>
      </c>
      <c r="C822" s="5" t="s">
        <v>17</v>
      </c>
      <c r="D822" s="6">
        <f>IF(G822=1,0.99,0)</f>
        <v/>
      </c>
      <c r="E822" s="5" t="s">
        <v>17</v>
      </c>
      <c r="F822" s="6">
        <f>IF(G822=1,1.0,0)</f>
        <v/>
      </c>
      <c r="G822" s="8">
        <f>IF(OR(LOOKUP(A822,characters!A:A,characters!B:B)=-1, LOOKUP(A822,characters!A:A,characters!B:B)+0.1&gt;=B822),1,0)</f>
        <v/>
      </c>
    </row>
    <row r="823" spans="1:8">
      <c r="A823" s="4" t="s">
        <v>38</v>
      </c>
      <c r="B823" s="7">
        <v>0.2</v>
      </c>
      <c r="C823" s="5" t="s">
        <v>17</v>
      </c>
      <c r="D823" s="6">
        <f>IF(G823=1,1.0,0)</f>
        <v/>
      </c>
      <c r="E823" s="6">
        <f>IF(G823=1,1.0,0)</f>
        <v/>
      </c>
      <c r="F823" s="5" t="s">
        <v>17</v>
      </c>
      <c r="G823" s="8">
        <f>IF(OR(LOOKUP(A823,characters!A:A,characters!B:B)=-1, LOOKUP(A823,characters!A:A,characters!B:B)+0.1&gt;=B823),1,0)</f>
        <v/>
      </c>
    </row>
    <row r="830" spans="1:8">
      <c r="A830" s="3" t="s">
        <v>73</v>
      </c>
    </row>
    <row r="831" spans="1:8">
      <c r="A831" s="3" t="s">
        <v>8</v>
      </c>
      <c r="B831" s="3" t="s">
        <v>9</v>
      </c>
      <c r="C831" s="3" t="s">
        <v>13</v>
      </c>
      <c r="D831" s="3" t="s">
        <v>14</v>
      </c>
      <c r="E831" s="3" t="s">
        <v>10</v>
      </c>
      <c r="F831" s="3" t="s">
        <v>11</v>
      </c>
      <c r="G831" s="3" t="s">
        <v>12</v>
      </c>
      <c r="H831" s="3" t="s">
        <v>15</v>
      </c>
    </row>
    <row r="832" spans="1:8">
      <c r="A832" s="4" t="s">
        <v>16</v>
      </c>
      <c r="B832" s="5" t="s">
        <v>17</v>
      </c>
      <c r="C832" s="6">
        <f>IF(SUM(I833:I843)=0,0,SUM(C833:C843)/SUM(I833:I843))</f>
        <v/>
      </c>
      <c r="D832" s="6">
        <f>IF(SUM(I833:I843)=0,0,SUM(D833:D843)/SUM(I833:I843))</f>
        <v/>
      </c>
      <c r="E832" s="6">
        <f>IF(SUM(I833:I843)=0,0,SUM(E833:E843)/SUM(I833:I843))</f>
        <v/>
      </c>
      <c r="F832" s="6">
        <f>IF(SUM(I833:I843)=0,0,SUM(F833:F843)/SUM(I833:I843))</f>
        <v/>
      </c>
      <c r="G832" s="6">
        <f>IF(SUM(I833:I843)=0,0,SUM(G833:G843)/SUM(I833:I843))</f>
        <v/>
      </c>
      <c r="H832" s="6">
        <f>IF(SUM(I833:I843)=0,0,SUM(H833:H843)/SUM(I833:I843))</f>
        <v/>
      </c>
    </row>
    <row r="833" spans="1:9">
      <c r="A833" s="4" t="s">
        <v>50</v>
      </c>
      <c r="B833" s="7">
        <v>0</v>
      </c>
      <c r="C833" s="6">
        <f>IF(I833=1,1.0,0)</f>
        <v/>
      </c>
      <c r="D833" s="6">
        <f>IF(I833=1,1.0,0)</f>
        <v/>
      </c>
      <c r="E833" s="6">
        <f>IF(I833=1,0.9,0)</f>
        <v/>
      </c>
      <c r="F833" s="6">
        <f>IF(I833=1,0.8,0)</f>
        <v/>
      </c>
      <c r="G833" s="6">
        <f>IF(I833=1,0.8,0)</f>
        <v/>
      </c>
      <c r="H833" s="5" t="s">
        <v>17</v>
      </c>
      <c r="I833" s="8">
        <f>IF(OR(LOOKUP(A833,characters!A:A,characters!B:B)=-1, LOOKUP(A833,characters!A:A,characters!B:B)+0.1&gt;=B833),1,0)</f>
        <v/>
      </c>
    </row>
    <row r="834" spans="1:9">
      <c r="A834" s="4" t="s">
        <v>62</v>
      </c>
      <c r="B834" s="7">
        <v>0</v>
      </c>
      <c r="C834" s="6">
        <f>IF(I834=1,1.0,0)</f>
        <v/>
      </c>
      <c r="D834" s="6">
        <f>IF(I834=1,1.0,0)</f>
        <v/>
      </c>
      <c r="E834" s="6">
        <f>IF(I834=1,0.9,0)</f>
        <v/>
      </c>
      <c r="F834" s="6">
        <f>IF(I834=1,0.8,0)</f>
        <v/>
      </c>
      <c r="G834" s="6">
        <f>IF(I834=1,0.8,0)</f>
        <v/>
      </c>
      <c r="H834" s="5" t="s">
        <v>17</v>
      </c>
      <c r="I834" s="8">
        <f>IF(OR(LOOKUP(A834,characters!A:A,characters!B:B)=-1, LOOKUP(A834,characters!A:A,characters!B:B)+0.1&gt;=B834),1,0)</f>
        <v/>
      </c>
    </row>
    <row r="835" spans="1:9">
      <c r="A835" s="4" t="s">
        <v>61</v>
      </c>
      <c r="B835" s="7">
        <v>0.1</v>
      </c>
      <c r="C835" s="6">
        <f>IF(I835=1,1.0,0)</f>
        <v/>
      </c>
      <c r="D835" s="6">
        <f>IF(I835=1,1.0,0)</f>
        <v/>
      </c>
      <c r="E835" s="6">
        <f>IF(I835=1,0.9,0)</f>
        <v/>
      </c>
      <c r="F835" s="6">
        <f>IF(I835=1,0.8,0)</f>
        <v/>
      </c>
      <c r="G835" s="6">
        <f>IF(I835=1,0.8,0)</f>
        <v/>
      </c>
      <c r="H835" s="5" t="s">
        <v>17</v>
      </c>
      <c r="I835" s="8">
        <f>IF(OR(LOOKUP(A835,characters!A:A,characters!B:B)=-1, LOOKUP(A835,characters!A:A,characters!B:B)+0.1&gt;=B835),1,0)</f>
        <v/>
      </c>
    </row>
    <row r="836" spans="1:9">
      <c r="A836" s="4" t="s">
        <v>46</v>
      </c>
      <c r="B836" s="7">
        <v>0.1</v>
      </c>
      <c r="C836" s="6">
        <f>IF(I836=1,1.0,0)</f>
        <v/>
      </c>
      <c r="D836" s="6">
        <f>IF(I836=1,1.0,0)</f>
        <v/>
      </c>
      <c r="E836" s="6">
        <f>IF(I836=1,0.9,0)</f>
        <v/>
      </c>
      <c r="F836" s="6">
        <f>IF(I836=1,0.8,0)</f>
        <v/>
      </c>
      <c r="G836" s="6">
        <f>IF(I836=1,0.8,0)</f>
        <v/>
      </c>
      <c r="H836" s="5" t="s">
        <v>17</v>
      </c>
      <c r="I836" s="8">
        <f>IF(OR(LOOKUP(A836,characters!A:A,characters!B:B)=-1, LOOKUP(A836,characters!A:A,characters!B:B)+0.1&gt;=B836),1,0)</f>
        <v/>
      </c>
    </row>
    <row r="837" spans="1:9">
      <c r="A837" s="4" t="s">
        <v>24</v>
      </c>
      <c r="B837" s="7">
        <v>0.1</v>
      </c>
      <c r="C837" s="6">
        <f>IF(I837=1,1.0,0)</f>
        <v/>
      </c>
      <c r="D837" s="6">
        <f>IF(I837=1,1.0,0)</f>
        <v/>
      </c>
      <c r="E837" s="6">
        <f>IF(I837=1,1.0,0)</f>
        <v/>
      </c>
      <c r="F837" s="6">
        <f>IF(I837=1,0.9,0)</f>
        <v/>
      </c>
      <c r="G837" s="6">
        <f>IF(I837=1,0.9,0)</f>
        <v/>
      </c>
      <c r="H837" s="5" t="s">
        <v>17</v>
      </c>
      <c r="I837" s="8">
        <f>IF(OR(LOOKUP(A837,characters!A:A,characters!B:B)=-1, LOOKUP(A837,characters!A:A,characters!B:B)+0.1&gt;=B837),1,0)</f>
        <v/>
      </c>
    </row>
    <row r="838" spans="1:9">
      <c r="A838" s="4" t="s">
        <v>48</v>
      </c>
      <c r="B838" s="7">
        <v>0.1</v>
      </c>
      <c r="C838" s="6">
        <f>IF(I838=1,1.0,0)</f>
        <v/>
      </c>
      <c r="D838" s="6">
        <f>IF(I838=1,1.0,0)</f>
        <v/>
      </c>
      <c r="E838" s="6">
        <f>IF(I838=1,0.9,0)</f>
        <v/>
      </c>
      <c r="F838" s="6">
        <f>IF(I838=1,0.8,0)</f>
        <v/>
      </c>
      <c r="G838" s="6">
        <f>IF(I838=1,0.8,0)</f>
        <v/>
      </c>
      <c r="H838" s="5" t="s">
        <v>17</v>
      </c>
      <c r="I838" s="8">
        <f>IF(OR(LOOKUP(A838,characters!A:A,characters!B:B)=-1, LOOKUP(A838,characters!A:A,characters!B:B)+0.1&gt;=B838),1,0)</f>
        <v/>
      </c>
    </row>
    <row r="839" spans="1:9">
      <c r="A839" s="4" t="s">
        <v>63</v>
      </c>
      <c r="B839" s="7">
        <v>0.1</v>
      </c>
      <c r="C839" s="6">
        <f>IF(I839=1,1.0,0)</f>
        <v/>
      </c>
      <c r="D839" s="6">
        <f>IF(I839=1,1.0,0)</f>
        <v/>
      </c>
      <c r="E839" s="6">
        <f>IF(I839=1,0.9,0)</f>
        <v/>
      </c>
      <c r="F839" s="6">
        <f>IF(I839=1,0.8,0)</f>
        <v/>
      </c>
      <c r="G839" s="6">
        <f>IF(I839=1,0.8,0)</f>
        <v/>
      </c>
      <c r="H839" s="5" t="s">
        <v>17</v>
      </c>
      <c r="I839" s="8">
        <f>IF(OR(LOOKUP(A839,characters!A:A,characters!B:B)=-1, LOOKUP(A839,characters!A:A,characters!B:B)+0.1&gt;=B839),1,0)</f>
        <v/>
      </c>
    </row>
    <row r="840" spans="1:9">
      <c r="A840" s="4" t="s">
        <v>44</v>
      </c>
      <c r="B840" s="7">
        <v>0.1</v>
      </c>
      <c r="C840" s="6">
        <f>IF(I840=1,1.0,0)</f>
        <v/>
      </c>
      <c r="D840" s="6">
        <f>IF(I840=1,1.0,0)</f>
        <v/>
      </c>
      <c r="E840" s="6">
        <f>IF(I840=1,0.9,0)</f>
        <v/>
      </c>
      <c r="F840" s="6">
        <f>IF(I840=1,0.8,0)</f>
        <v/>
      </c>
      <c r="G840" s="6">
        <f>IF(I840=1,0.8,0)</f>
        <v/>
      </c>
      <c r="H840" s="5" t="s">
        <v>17</v>
      </c>
      <c r="I840" s="8">
        <f>IF(OR(LOOKUP(A840,characters!A:A,characters!B:B)=-1, LOOKUP(A840,characters!A:A,characters!B:B)+0.1&gt;=B840),1,0)</f>
        <v/>
      </c>
    </row>
    <row r="841" spans="1:9">
      <c r="A841" s="4" t="s">
        <v>25</v>
      </c>
      <c r="B841" s="7">
        <v>0.4</v>
      </c>
      <c r="C841" s="6">
        <f>IF(I841=1,1.0,0)</f>
        <v/>
      </c>
      <c r="D841" s="6">
        <f>IF(I841=1,0.99,0)</f>
        <v/>
      </c>
      <c r="E841" s="6">
        <f>IF(I841=1,0.99,0)</f>
        <v/>
      </c>
      <c r="F841" s="6">
        <f>IF(I841=1,0.89,0)</f>
        <v/>
      </c>
      <c r="G841" s="6">
        <f>IF(I841=1,0.89,0)</f>
        <v/>
      </c>
      <c r="H841" s="6">
        <f>IF(I841=1,0.89,0)</f>
        <v/>
      </c>
      <c r="I841" s="8">
        <f>IF(OR(LOOKUP(A841,characters!A:A,characters!B:B)=-1, LOOKUP(A841,characters!A:A,characters!B:B)+0.1&gt;=B841),1,0)</f>
        <v/>
      </c>
    </row>
    <row r="842" spans="1:9">
      <c r="A842" s="4" t="s">
        <v>68</v>
      </c>
      <c r="B842" s="7">
        <v>0.4</v>
      </c>
      <c r="C842" s="6">
        <f>IF(I842=1,1.0,0)</f>
        <v/>
      </c>
      <c r="D842" s="6">
        <f>IF(I842=1,1.0,0)</f>
        <v/>
      </c>
      <c r="E842" s="6">
        <f>IF(I842=1,0.9,0)</f>
        <v/>
      </c>
      <c r="F842" s="6">
        <f>IF(I842=1,0.8,0)</f>
        <v/>
      </c>
      <c r="G842" s="6">
        <f>IF(I842=1,0.8,0)</f>
        <v/>
      </c>
      <c r="H842" s="5" t="s">
        <v>17</v>
      </c>
      <c r="I842" s="8">
        <f>IF(OR(LOOKUP(A842,characters!A:A,characters!B:B)=-1, LOOKUP(A842,characters!A:A,characters!B:B)+0.1&gt;=B842),1,0)</f>
        <v/>
      </c>
    </row>
    <row r="843" spans="1:9">
      <c r="A843" s="4" t="s">
        <v>39</v>
      </c>
      <c r="B843" s="7">
        <v>0.5</v>
      </c>
      <c r="C843" s="6">
        <f>IF(I843=1,1.0,0)</f>
        <v/>
      </c>
      <c r="D843" s="6">
        <f>IF(I843=1,1.0,0)</f>
        <v/>
      </c>
      <c r="E843" s="6">
        <f>IF(I843=1,1.0,0)</f>
        <v/>
      </c>
      <c r="F843" s="6">
        <f>IF(I843=1,0.9,0)</f>
        <v/>
      </c>
      <c r="G843" s="6">
        <f>IF(I843=1,0.8,0)</f>
        <v/>
      </c>
      <c r="H843" s="6">
        <f>IF(I843=1,1.0,0)</f>
        <v/>
      </c>
      <c r="I843" s="8">
        <f>IF(OR(LOOKUP(A843,characters!A:A,characters!B:B)=-1, LOOKUP(A843,characters!A:A,characters!B:B)+0.1&gt;=B843),1,0)</f>
        <v/>
      </c>
    </row>
    <row r="845" spans="1:9">
      <c r="A845" s="3" t="s">
        <v>26</v>
      </c>
      <c r="B845" s="3" t="s">
        <v>9</v>
      </c>
      <c r="C845" s="3" t="s">
        <v>13</v>
      </c>
      <c r="D845" s="3" t="s">
        <v>14</v>
      </c>
      <c r="E845" s="3" t="s">
        <v>15</v>
      </c>
      <c r="F845" s="3" t="s">
        <v>10</v>
      </c>
    </row>
    <row r="846" spans="1:9">
      <c r="A846" s="4" t="s">
        <v>16</v>
      </c>
      <c r="B846" s="5" t="s">
        <v>17</v>
      </c>
      <c r="C846" s="6">
        <f>IF(SUM(G847:G857)=0,0,SUM(C847:C857)/SUM(G847:G857))</f>
        <v/>
      </c>
      <c r="D846" s="6">
        <f>IF(SUM(G847:G857)=0,0,SUM(D847:D857)/SUM(G847:G857))</f>
        <v/>
      </c>
      <c r="E846" s="6">
        <f>IF(SUM(G847:G857)=0,0,SUM(E847:E857)/SUM(G847:G857))</f>
        <v/>
      </c>
      <c r="F846" s="6">
        <f>IF(SUM(G847:G857)=0,0,SUM(F847:F857)/SUM(G847:G857))</f>
        <v/>
      </c>
    </row>
    <row r="847" spans="1:9">
      <c r="A847" s="4" t="s">
        <v>61</v>
      </c>
      <c r="B847" s="7">
        <v>0.1</v>
      </c>
      <c r="C847" s="6">
        <f>IF(G847=1,1.0,0)</f>
        <v/>
      </c>
      <c r="D847" s="6">
        <f>IF(G847=1,0.99,0)</f>
        <v/>
      </c>
      <c r="E847" s="5" t="s">
        <v>17</v>
      </c>
      <c r="F847" s="5" t="s">
        <v>17</v>
      </c>
      <c r="G847" s="8">
        <f>IF(OR(LOOKUP(A847,characters!A:A,characters!B:B)=-1, LOOKUP(A847,characters!A:A,characters!B:B)+0.1&gt;=B847),1,0)</f>
        <v/>
      </c>
    </row>
    <row r="848" spans="1:9">
      <c r="A848" s="4" t="s">
        <v>50</v>
      </c>
      <c r="B848" s="7">
        <v>0</v>
      </c>
      <c r="C848" s="6">
        <f>IF(G848=1,1.0,0)</f>
        <v/>
      </c>
      <c r="D848" s="6">
        <f>IF(G848=1,1.0,0)</f>
        <v/>
      </c>
      <c r="E848" s="5" t="s">
        <v>17</v>
      </c>
      <c r="F848" s="5" t="s">
        <v>17</v>
      </c>
      <c r="G848" s="8">
        <f>IF(OR(LOOKUP(A848,characters!A:A,characters!B:B)=-1, LOOKUP(A848,characters!A:A,characters!B:B)+0.1&gt;=B848),1,0)</f>
        <v/>
      </c>
    </row>
    <row r="849" spans="1:10">
      <c r="A849" s="4" t="s">
        <v>46</v>
      </c>
      <c r="B849" s="7">
        <v>0.1</v>
      </c>
      <c r="C849" s="6">
        <f>IF(G849=1,1.0,0)</f>
        <v/>
      </c>
      <c r="D849" s="6">
        <f>IF(G849=1,1.0,0)</f>
        <v/>
      </c>
      <c r="E849" s="5" t="s">
        <v>17</v>
      </c>
      <c r="F849" s="5" t="s">
        <v>17</v>
      </c>
      <c r="G849" s="8">
        <f>IF(OR(LOOKUP(A849,characters!A:A,characters!B:B)=-1, LOOKUP(A849,characters!A:A,characters!B:B)+0.1&gt;=B849),1,0)</f>
        <v/>
      </c>
    </row>
    <row r="850" spans="1:10">
      <c r="A850" s="4" t="s">
        <v>62</v>
      </c>
      <c r="B850" s="7">
        <v>0</v>
      </c>
      <c r="C850" s="6">
        <f>IF(G850=1,1.0,0)</f>
        <v/>
      </c>
      <c r="D850" s="6">
        <f>IF(G850=1,1.0,0)</f>
        <v/>
      </c>
      <c r="E850" s="5" t="s">
        <v>17</v>
      </c>
      <c r="F850" s="5" t="s">
        <v>17</v>
      </c>
      <c r="G850" s="8">
        <f>IF(OR(LOOKUP(A850,characters!A:A,characters!B:B)=-1, LOOKUP(A850,characters!A:A,characters!B:B)+0.1&gt;=B850),1,0)</f>
        <v/>
      </c>
    </row>
    <row r="851" spans="1:10">
      <c r="A851" s="4" t="s">
        <v>24</v>
      </c>
      <c r="B851" s="7">
        <v>0.1</v>
      </c>
      <c r="C851" s="6">
        <f>IF(G851=1,0.99,0)</f>
        <v/>
      </c>
      <c r="D851" s="6">
        <f>IF(G851=1,1.0,0)</f>
        <v/>
      </c>
      <c r="E851" s="5" t="s">
        <v>17</v>
      </c>
      <c r="F851" s="5" t="s">
        <v>17</v>
      </c>
      <c r="G851" s="8">
        <f>IF(OR(LOOKUP(A851,characters!A:A,characters!B:B)=-1, LOOKUP(A851,characters!A:A,characters!B:B)+0.1&gt;=B851),1,0)</f>
        <v/>
      </c>
    </row>
    <row r="852" spans="1:10">
      <c r="A852" s="4" t="s">
        <v>39</v>
      </c>
      <c r="B852" s="7">
        <v>0.5</v>
      </c>
      <c r="C852" s="6">
        <f>IF(G852=1,1.0,0)</f>
        <v/>
      </c>
      <c r="D852" s="6">
        <f>IF(G852=1,0.99,0)</f>
        <v/>
      </c>
      <c r="E852" s="6">
        <f>IF(G852=1,0.99,0)</f>
        <v/>
      </c>
      <c r="F852" s="5" t="s">
        <v>17</v>
      </c>
      <c r="G852" s="8">
        <f>IF(OR(LOOKUP(A852,characters!A:A,characters!B:B)=-1, LOOKUP(A852,characters!A:A,characters!B:B)+0.1&gt;=B852),1,0)</f>
        <v/>
      </c>
    </row>
    <row r="853" spans="1:10">
      <c r="A853" s="4" t="s">
        <v>25</v>
      </c>
      <c r="B853" s="7">
        <v>0.4</v>
      </c>
      <c r="C853" s="6">
        <f>IF(G853=1,1.0,0)</f>
        <v/>
      </c>
      <c r="D853" s="5" t="s">
        <v>17</v>
      </c>
      <c r="E853" s="5" t="s">
        <v>17</v>
      </c>
      <c r="F853" s="6">
        <f>IF(G853=1,0.99,0)</f>
        <v/>
      </c>
      <c r="G853" s="8">
        <f>IF(OR(LOOKUP(A853,characters!A:A,characters!B:B)=-1, LOOKUP(A853,characters!A:A,characters!B:B)+0.1&gt;=B853),1,0)</f>
        <v/>
      </c>
    </row>
    <row r="854" spans="1:10">
      <c r="A854" s="4" t="s">
        <v>48</v>
      </c>
      <c r="B854" s="7">
        <v>0.1</v>
      </c>
      <c r="C854" s="6">
        <f>IF(G854=1,1.0,0)</f>
        <v/>
      </c>
      <c r="D854" s="6">
        <f>IF(G854=1,1.0,0)</f>
        <v/>
      </c>
      <c r="E854" s="5" t="s">
        <v>17</v>
      </c>
      <c r="F854" s="5" t="s">
        <v>17</v>
      </c>
      <c r="G854" s="8">
        <f>IF(OR(LOOKUP(A854,characters!A:A,characters!B:B)=-1, LOOKUP(A854,characters!A:A,characters!B:B)+0.1&gt;=B854),1,0)</f>
        <v/>
      </c>
    </row>
    <row r="855" spans="1:10">
      <c r="A855" s="4" t="s">
        <v>68</v>
      </c>
      <c r="B855" s="7">
        <v>0.4</v>
      </c>
      <c r="C855" s="6">
        <f>IF(G855=1,1.0,0)</f>
        <v/>
      </c>
      <c r="D855" s="6">
        <f>IF(G855=1,0.99,0)</f>
        <v/>
      </c>
      <c r="E855" s="5" t="s">
        <v>17</v>
      </c>
      <c r="F855" s="5" t="s">
        <v>17</v>
      </c>
      <c r="G855" s="8">
        <f>IF(OR(LOOKUP(A855,characters!A:A,characters!B:B)=-1, LOOKUP(A855,characters!A:A,characters!B:B)+0.1&gt;=B855),1,0)</f>
        <v/>
      </c>
    </row>
    <row r="856" spans="1:10">
      <c r="A856" s="4" t="s">
        <v>63</v>
      </c>
      <c r="B856" s="7">
        <v>0.1</v>
      </c>
      <c r="C856" s="6">
        <f>IF(G856=1,1.0,0)</f>
        <v/>
      </c>
      <c r="D856" s="6">
        <f>IF(G856=1,1.0,0)</f>
        <v/>
      </c>
      <c r="E856" s="5" t="s">
        <v>17</v>
      </c>
      <c r="F856" s="5" t="s">
        <v>17</v>
      </c>
      <c r="G856" s="8">
        <f>IF(OR(LOOKUP(A856,characters!A:A,characters!B:B)=-1, LOOKUP(A856,characters!A:A,characters!B:B)+0.1&gt;=B856),1,0)</f>
        <v/>
      </c>
    </row>
    <row r="857" spans="1:10">
      <c r="A857" s="4" t="s">
        <v>44</v>
      </c>
      <c r="B857" s="7">
        <v>0.1</v>
      </c>
      <c r="C857" s="6">
        <f>IF(G857=1,1.0,0)</f>
        <v/>
      </c>
      <c r="D857" s="6">
        <f>IF(G857=1,1.0,0)</f>
        <v/>
      </c>
      <c r="E857" s="5" t="s">
        <v>17</v>
      </c>
      <c r="F857" s="5" t="s">
        <v>17</v>
      </c>
      <c r="G857" s="8">
        <f>IF(OR(LOOKUP(A857,characters!A:A,characters!B:B)=-1, LOOKUP(A857,characters!A:A,characters!B:B)+0.1&gt;=B857),1,0)</f>
        <v/>
      </c>
    </row>
    <row r="859" spans="1:10">
      <c r="A859" s="3" t="s">
        <v>27</v>
      </c>
      <c r="B859" s="3" t="s">
        <v>9</v>
      </c>
      <c r="C859" s="3" t="s">
        <v>28</v>
      </c>
      <c r="D859" s="3" t="s">
        <v>51</v>
      </c>
      <c r="E859" s="3" t="s">
        <v>10</v>
      </c>
      <c r="F859" s="3" t="s">
        <v>29</v>
      </c>
      <c r="G859" s="3" t="s">
        <v>41</v>
      </c>
      <c r="H859" s="3" t="s">
        <v>31</v>
      </c>
      <c r="I859" s="3" t="s">
        <v>30</v>
      </c>
    </row>
    <row r="860" spans="1:10">
      <c r="A860" s="4" t="s">
        <v>16</v>
      </c>
      <c r="B860" s="5" t="s">
        <v>17</v>
      </c>
      <c r="C860" s="6">
        <f>IF(SUM(J861:J871)=0,0,SUM(C861:C871)/SUM(J861:J871))</f>
        <v/>
      </c>
      <c r="D860" s="6">
        <f>IF(SUM(J861:J871)=0,0,SUM(D861:D871)/SUM(J861:J871))</f>
        <v/>
      </c>
      <c r="E860" s="6">
        <f>IF(SUM(J861:J871)=0,0,SUM(E861:E871)/SUM(J861:J871))</f>
        <v/>
      </c>
      <c r="F860" s="6">
        <f>IF(SUM(J861:J871)=0,0,SUM(F861:F871)/SUM(J861:J871))</f>
        <v/>
      </c>
      <c r="G860" s="6">
        <f>IF(SUM(J861:J871)=0,0,SUM(G861:G871)/SUM(J861:J871))</f>
        <v/>
      </c>
      <c r="H860" s="6">
        <f>IF(SUM(J861:J871)=0,0,SUM(H861:H871)/SUM(J861:J871))</f>
        <v/>
      </c>
      <c r="I860" s="6">
        <f>IF(SUM(J861:J871)=0,0,SUM(I861:I871)/SUM(J861:J871))</f>
        <v/>
      </c>
    </row>
    <row r="861" spans="1:10">
      <c r="A861" s="4" t="s">
        <v>61</v>
      </c>
      <c r="B861" s="7">
        <v>0.1</v>
      </c>
      <c r="C861" s="6">
        <f>IF(J861=1,1.0,0)</f>
        <v/>
      </c>
      <c r="D861" s="5" t="s">
        <v>17</v>
      </c>
      <c r="E861" s="5" t="s">
        <v>17</v>
      </c>
      <c r="F861" s="5" t="s">
        <v>17</v>
      </c>
      <c r="G861" s="5" t="s">
        <v>17</v>
      </c>
      <c r="H861" s="5" t="s">
        <v>17</v>
      </c>
      <c r="I861" s="5" t="s">
        <v>17</v>
      </c>
      <c r="J861" s="8">
        <f>IF(OR(LOOKUP(A861,characters!A:A,characters!B:B)=-1, LOOKUP(A861,characters!A:A,characters!B:B)+0.1&gt;=B861),1,0)</f>
        <v/>
      </c>
    </row>
    <row r="862" spans="1:10">
      <c r="A862" s="4" t="s">
        <v>50</v>
      </c>
      <c r="B862" s="7">
        <v>0</v>
      </c>
      <c r="C862" s="5" t="s">
        <v>17</v>
      </c>
      <c r="D862" s="6">
        <f>IF(J862=1,1.0,0)</f>
        <v/>
      </c>
      <c r="E862" s="6">
        <f>IF(J862=1,0.99,0)</f>
        <v/>
      </c>
      <c r="F862" s="5" t="s">
        <v>17</v>
      </c>
      <c r="G862" s="5" t="s">
        <v>17</v>
      </c>
      <c r="H862" s="5" t="s">
        <v>17</v>
      </c>
      <c r="I862" s="5" t="s">
        <v>17</v>
      </c>
      <c r="J862" s="8">
        <f>IF(OR(LOOKUP(A862,characters!A:A,characters!B:B)=-1, LOOKUP(A862,characters!A:A,characters!B:B)+0.1&gt;=B862),1,0)</f>
        <v/>
      </c>
    </row>
    <row r="863" spans="1:10">
      <c r="A863" s="4" t="s">
        <v>46</v>
      </c>
      <c r="B863" s="7">
        <v>0.1</v>
      </c>
      <c r="C863" s="5" t="s">
        <v>17</v>
      </c>
      <c r="D863" s="6">
        <f>IF(J863=1,0.99,0)</f>
        <v/>
      </c>
      <c r="E863" s="6">
        <f>IF(J863=1,1.0,0)</f>
        <v/>
      </c>
      <c r="F863" s="5" t="s">
        <v>17</v>
      </c>
      <c r="G863" s="5" t="s">
        <v>17</v>
      </c>
      <c r="H863" s="5" t="s">
        <v>17</v>
      </c>
      <c r="I863" s="5" t="s">
        <v>17</v>
      </c>
      <c r="J863" s="8">
        <f>IF(OR(LOOKUP(A863,characters!A:A,characters!B:B)=-1, LOOKUP(A863,characters!A:A,characters!B:B)+0.1&gt;=B863),1,0)</f>
        <v/>
      </c>
    </row>
    <row r="864" spans="1:10">
      <c r="A864" s="4" t="s">
        <v>62</v>
      </c>
      <c r="B864" s="7">
        <v>0</v>
      </c>
      <c r="C864" s="5" t="s">
        <v>17</v>
      </c>
      <c r="D864" s="5" t="s">
        <v>17</v>
      </c>
      <c r="E864" s="6">
        <f>IF(J864=1,0.9,0)</f>
        <v/>
      </c>
      <c r="F864" s="6">
        <f>IF(J864=1,1.0,0)</f>
        <v/>
      </c>
      <c r="G864" s="5" t="s">
        <v>17</v>
      </c>
      <c r="H864" s="5" t="s">
        <v>17</v>
      </c>
      <c r="I864" s="5" t="s">
        <v>17</v>
      </c>
      <c r="J864" s="8">
        <f>IF(OR(LOOKUP(A864,characters!A:A,characters!B:B)=-1, LOOKUP(A864,characters!A:A,characters!B:B)+0.1&gt;=B864),1,0)</f>
        <v/>
      </c>
    </row>
    <row r="865" spans="1:10">
      <c r="A865" s="4" t="s">
        <v>24</v>
      </c>
      <c r="B865" s="7">
        <v>0.1</v>
      </c>
      <c r="C865" s="6">
        <f>IF(J865=1,1.0,0)</f>
        <v/>
      </c>
      <c r="D865" s="5" t="s">
        <v>17</v>
      </c>
      <c r="E865" s="6">
        <f>IF(J865=1,0.99,0)</f>
        <v/>
      </c>
      <c r="F865" s="5" t="s">
        <v>17</v>
      </c>
      <c r="G865" s="5" t="s">
        <v>17</v>
      </c>
      <c r="H865" s="5" t="s">
        <v>17</v>
      </c>
      <c r="I865" s="5" t="s">
        <v>17</v>
      </c>
      <c r="J865" s="8">
        <f>IF(OR(LOOKUP(A865,characters!A:A,characters!B:B)=-1, LOOKUP(A865,characters!A:A,characters!B:B)+0.1&gt;=B865),1,0)</f>
        <v/>
      </c>
    </row>
    <row r="866" spans="1:10">
      <c r="A866" s="4" t="s">
        <v>39</v>
      </c>
      <c r="B866" s="7">
        <v>0.5</v>
      </c>
      <c r="C866" s="5" t="s">
        <v>17</v>
      </c>
      <c r="D866" s="5" t="s">
        <v>17</v>
      </c>
      <c r="E866" s="6">
        <f>IF(J866=1,1.0,0)</f>
        <v/>
      </c>
      <c r="F866" s="5" t="s">
        <v>17</v>
      </c>
      <c r="G866" s="6">
        <f>IF(J866=1,1.0,0)</f>
        <v/>
      </c>
      <c r="H866" s="6">
        <f>IF(J866=1,1.0,0)</f>
        <v/>
      </c>
      <c r="I866" s="5" t="s">
        <v>17</v>
      </c>
      <c r="J866" s="8">
        <f>IF(OR(LOOKUP(A866,characters!A:A,characters!B:B)=-1, LOOKUP(A866,characters!A:A,characters!B:B)+0.1&gt;=B866),1,0)</f>
        <v/>
      </c>
    </row>
    <row r="867" spans="1:10">
      <c r="A867" s="4" t="s">
        <v>25</v>
      </c>
      <c r="B867" s="7">
        <v>0.4</v>
      </c>
      <c r="C867" s="5" t="s">
        <v>17</v>
      </c>
      <c r="D867" s="5" t="s">
        <v>17</v>
      </c>
      <c r="E867" s="6">
        <f>IF(J867=1,1.0,0)</f>
        <v/>
      </c>
      <c r="F867" s="6">
        <f>IF(J867=1,1.0,0)</f>
        <v/>
      </c>
      <c r="G867" s="5" t="s">
        <v>17</v>
      </c>
      <c r="H867" s="5" t="s">
        <v>17</v>
      </c>
      <c r="I867" s="5" t="s">
        <v>17</v>
      </c>
      <c r="J867" s="8">
        <f>IF(OR(LOOKUP(A867,characters!A:A,characters!B:B)=-1, LOOKUP(A867,characters!A:A,characters!B:B)+0.1&gt;=B867),1,0)</f>
        <v/>
      </c>
    </row>
    <row r="868" spans="1:10">
      <c r="A868" s="4" t="s">
        <v>48</v>
      </c>
      <c r="B868" s="7">
        <v>0.1</v>
      </c>
      <c r="C868" s="5" t="s">
        <v>17</v>
      </c>
      <c r="D868" s="6">
        <f>IF(J868=1,0.99,0)</f>
        <v/>
      </c>
      <c r="E868" s="6">
        <f>IF(J868=1,1.0,0)</f>
        <v/>
      </c>
      <c r="F868" s="5" t="s">
        <v>17</v>
      </c>
      <c r="G868" s="5" t="s">
        <v>17</v>
      </c>
      <c r="H868" s="5" t="s">
        <v>17</v>
      </c>
      <c r="I868" s="5" t="s">
        <v>17</v>
      </c>
      <c r="J868" s="8">
        <f>IF(OR(LOOKUP(A868,characters!A:A,characters!B:B)=-1, LOOKUP(A868,characters!A:A,characters!B:B)+0.1&gt;=B868),1,0)</f>
        <v/>
      </c>
    </row>
    <row r="869" spans="1:10">
      <c r="A869" s="4" t="s">
        <v>68</v>
      </c>
      <c r="B869" s="7">
        <v>0.4</v>
      </c>
      <c r="C869" s="6">
        <f>IF(J869=1,1.0,0)</f>
        <v/>
      </c>
      <c r="D869" s="5" t="s">
        <v>17</v>
      </c>
      <c r="E869" s="5" t="s">
        <v>17</v>
      </c>
      <c r="F869" s="5" t="s">
        <v>17</v>
      </c>
      <c r="G869" s="5" t="s">
        <v>17</v>
      </c>
      <c r="H869" s="5" t="s">
        <v>17</v>
      </c>
      <c r="I869" s="5" t="s">
        <v>17</v>
      </c>
      <c r="J869" s="8">
        <f>IF(OR(LOOKUP(A869,characters!A:A,characters!B:B)=-1, LOOKUP(A869,characters!A:A,characters!B:B)+0.1&gt;=B869),1,0)</f>
        <v/>
      </c>
    </row>
    <row r="870" spans="1:10">
      <c r="A870" s="4" t="s">
        <v>63</v>
      </c>
      <c r="B870" s="7">
        <v>0.1</v>
      </c>
      <c r="C870" s="5" t="s">
        <v>17</v>
      </c>
      <c r="D870" s="5" t="s">
        <v>17</v>
      </c>
      <c r="E870" s="6">
        <f>IF(J870=1,0.9,0)</f>
        <v/>
      </c>
      <c r="F870" s="5" t="s">
        <v>17</v>
      </c>
      <c r="G870" s="6">
        <f>IF(J870=1,1.0,0)</f>
        <v/>
      </c>
      <c r="H870" s="5" t="s">
        <v>17</v>
      </c>
      <c r="I870" s="5" t="s">
        <v>17</v>
      </c>
      <c r="J870" s="8">
        <f>IF(OR(LOOKUP(A870,characters!A:A,characters!B:B)=-1, LOOKUP(A870,characters!A:A,characters!B:B)+0.1&gt;=B870),1,0)</f>
        <v/>
      </c>
    </row>
    <row r="871" spans="1:10">
      <c r="A871" s="4" t="s">
        <v>44</v>
      </c>
      <c r="B871" s="7">
        <v>0.1</v>
      </c>
      <c r="C871" s="5" t="s">
        <v>17</v>
      </c>
      <c r="D871" s="5" t="s">
        <v>17</v>
      </c>
      <c r="E871" s="6">
        <f>IF(J871=1,0.9,0)</f>
        <v/>
      </c>
      <c r="F871" s="5" t="s">
        <v>17</v>
      </c>
      <c r="G871" s="5" t="s">
        <v>17</v>
      </c>
      <c r="H871" s="6">
        <f>IF(J871=1,0.9,0)</f>
        <v/>
      </c>
      <c r="I871" s="6">
        <f>IF(J871=1,1.0,0)</f>
        <v/>
      </c>
      <c r="J871" s="8">
        <f>IF(OR(LOOKUP(A871,characters!A:A,characters!B:B)=-1, LOOKUP(A871,characters!A:A,characters!B:B)+0.1&gt;=B871),1,0)</f>
        <v/>
      </c>
    </row>
    <row r="873" spans="1:10">
      <c r="A873" s="3" t="s">
        <v>32</v>
      </c>
      <c r="B873" s="3" t="s">
        <v>9</v>
      </c>
      <c r="C873" s="3" t="s">
        <v>10</v>
      </c>
      <c r="D873" s="3" t="s">
        <v>42</v>
      </c>
    </row>
    <row r="874" spans="1:10">
      <c r="A874" s="4" t="s">
        <v>16</v>
      </c>
      <c r="B874" s="5" t="s">
        <v>17</v>
      </c>
      <c r="C874" s="6">
        <f>IF(SUM(E875:E885)=0,0,SUM(C875:C885)/SUM(E875:E885))</f>
        <v/>
      </c>
      <c r="D874" s="6">
        <f>IF(SUM(E875:E885)=0,0,SUM(D875:D885)/SUM(E875:E885))</f>
        <v/>
      </c>
    </row>
    <row r="875" spans="1:10">
      <c r="A875" s="4" t="s">
        <v>61</v>
      </c>
      <c r="B875" s="7">
        <v>0.1</v>
      </c>
      <c r="C875" s="6">
        <f>IF(E875=1,1.0,0)</f>
        <v/>
      </c>
      <c r="D875" s="5" t="s">
        <v>17</v>
      </c>
      <c r="E875" s="8">
        <f>IF(OR(LOOKUP(A875,characters!A:A,characters!B:B)=-1, LOOKUP(A875,characters!A:A,characters!B:B)+0.1&gt;=B875),1,0)</f>
        <v/>
      </c>
    </row>
    <row r="876" spans="1:10">
      <c r="A876" s="4" t="s">
        <v>50</v>
      </c>
      <c r="B876" s="7">
        <v>0</v>
      </c>
      <c r="C876" s="6">
        <f>IF(E876=1,1.0,0)</f>
        <v/>
      </c>
      <c r="D876" s="5" t="s">
        <v>17</v>
      </c>
      <c r="E876" s="8">
        <f>IF(OR(LOOKUP(A876,characters!A:A,characters!B:B)=-1, LOOKUP(A876,characters!A:A,characters!B:B)+0.1&gt;=B876),1,0)</f>
        <v/>
      </c>
    </row>
    <row r="877" spans="1:10">
      <c r="A877" s="4" t="s">
        <v>46</v>
      </c>
      <c r="B877" s="7">
        <v>0.1</v>
      </c>
      <c r="C877" s="6">
        <f>IF(E877=1,1.0,0)</f>
        <v/>
      </c>
      <c r="D877" s="5" t="s">
        <v>17</v>
      </c>
      <c r="E877" s="8">
        <f>IF(OR(LOOKUP(A877,characters!A:A,characters!B:B)=-1, LOOKUP(A877,characters!A:A,characters!B:B)+0.1&gt;=B877),1,0)</f>
        <v/>
      </c>
    </row>
    <row r="878" spans="1:10">
      <c r="A878" s="4" t="s">
        <v>62</v>
      </c>
      <c r="B878" s="7">
        <v>0</v>
      </c>
      <c r="C878" s="6">
        <f>IF(E878=1,1.0,0)</f>
        <v/>
      </c>
      <c r="D878" s="5" t="s">
        <v>17</v>
      </c>
      <c r="E878" s="8">
        <f>IF(OR(LOOKUP(A878,characters!A:A,characters!B:B)=-1, LOOKUP(A878,characters!A:A,characters!B:B)+0.1&gt;=B878),1,0)</f>
        <v/>
      </c>
    </row>
    <row r="879" spans="1:10">
      <c r="A879" s="4" t="s">
        <v>24</v>
      </c>
      <c r="B879" s="7">
        <v>0.1</v>
      </c>
      <c r="C879" s="6">
        <f>IF(E879=1,1.0,0)</f>
        <v/>
      </c>
      <c r="D879" s="5" t="s">
        <v>17</v>
      </c>
      <c r="E879" s="8">
        <f>IF(OR(LOOKUP(A879,characters!A:A,characters!B:B)=-1, LOOKUP(A879,characters!A:A,characters!B:B)+0.1&gt;=B879),1,0)</f>
        <v/>
      </c>
    </row>
    <row r="880" spans="1:10">
      <c r="A880" s="4" t="s">
        <v>39</v>
      </c>
      <c r="B880" s="7">
        <v>0.5</v>
      </c>
      <c r="C880" s="5" t="s">
        <v>17</v>
      </c>
      <c r="D880" s="6">
        <f>IF(E880=1,1.0,0)</f>
        <v/>
      </c>
      <c r="E880" s="8">
        <f>IF(OR(LOOKUP(A880,characters!A:A,characters!B:B)=-1, LOOKUP(A880,characters!A:A,characters!B:B)+0.1&gt;=B880),1,0)</f>
        <v/>
      </c>
    </row>
    <row r="881" spans="1:5">
      <c r="A881" s="4" t="s">
        <v>25</v>
      </c>
      <c r="B881" s="7">
        <v>0.4</v>
      </c>
      <c r="C881" s="6">
        <f>IF(E881=1,1.0,0)</f>
        <v/>
      </c>
      <c r="D881" s="5" t="s">
        <v>17</v>
      </c>
      <c r="E881" s="8">
        <f>IF(OR(LOOKUP(A881,characters!A:A,characters!B:B)=-1, LOOKUP(A881,characters!A:A,characters!B:B)+0.1&gt;=B881),1,0)</f>
        <v/>
      </c>
    </row>
    <row r="882" spans="1:5">
      <c r="A882" s="4" t="s">
        <v>48</v>
      </c>
      <c r="B882" s="7">
        <v>0.1</v>
      </c>
      <c r="C882" s="6">
        <f>IF(E882=1,1.0,0)</f>
        <v/>
      </c>
      <c r="D882" s="5" t="s">
        <v>17</v>
      </c>
      <c r="E882" s="8">
        <f>IF(OR(LOOKUP(A882,characters!A:A,characters!B:B)=-1, LOOKUP(A882,characters!A:A,characters!B:B)+0.1&gt;=B882),1,0)</f>
        <v/>
      </c>
    </row>
    <row r="883" spans="1:5">
      <c r="A883" s="4" t="s">
        <v>68</v>
      </c>
      <c r="B883" s="7">
        <v>0.4</v>
      </c>
      <c r="C883" s="5" t="s">
        <v>17</v>
      </c>
      <c r="D883" s="6">
        <f>IF(E883=1,1.0,0)</f>
        <v/>
      </c>
      <c r="E883" s="8">
        <f>IF(OR(LOOKUP(A883,characters!A:A,characters!B:B)=-1, LOOKUP(A883,characters!A:A,characters!B:B)+0.1&gt;=B883),1,0)</f>
        <v/>
      </c>
    </row>
    <row r="884" spans="1:5">
      <c r="A884" s="4" t="s">
        <v>63</v>
      </c>
      <c r="B884" s="7">
        <v>0.1</v>
      </c>
      <c r="C884" s="6">
        <f>IF(E884=1,1.0,0)</f>
        <v/>
      </c>
      <c r="D884" s="5" t="s">
        <v>17</v>
      </c>
      <c r="E884" s="8">
        <f>IF(OR(LOOKUP(A884,characters!A:A,characters!B:B)=-1, LOOKUP(A884,characters!A:A,characters!B:B)+0.1&gt;=B884),1,0)</f>
        <v/>
      </c>
    </row>
    <row r="885" spans="1:5">
      <c r="A885" s="4" t="s">
        <v>44</v>
      </c>
      <c r="B885" s="7">
        <v>0.1</v>
      </c>
      <c r="C885" s="6">
        <f>IF(E885=1,1.0,0)</f>
        <v/>
      </c>
      <c r="D885" s="5" t="s">
        <v>17</v>
      </c>
      <c r="E885" s="8">
        <f>IF(OR(LOOKUP(A885,characters!A:A,characters!B:B)=-1, LOOKUP(A885,characters!A:A,characters!B:B)+0.1&gt;=B885),1,0)</f>
        <v/>
      </c>
    </row>
  </sheetData>
  <mergeCells count="3">
    <mergeCell ref="B3:C3"/>
    <mergeCell ref="B4:G4"/>
    <mergeCell ref="A1:E1"/>
  </mergeCells>
  <conditionalFormatting sqref="C105">
    <cfRule type="expression" dxfId="0" priority="165">
      <formula>C106=0</formula>
    </cfRule>
  </conditionalFormatting>
  <conditionalFormatting sqref="C106">
    <cfRule type="cellIs" dxfId="1" priority="171" operator="equal">
      <formula>0</formula>
    </cfRule>
  </conditionalFormatting>
  <conditionalFormatting sqref="C107">
    <cfRule type="cellIs" dxfId="1" priority="177" operator="equal">
      <formula>0</formula>
    </cfRule>
  </conditionalFormatting>
  <conditionalFormatting sqref="C108">
    <cfRule type="cellIs" dxfId="1" priority="181" operator="equal">
      <formula>0</formula>
    </cfRule>
  </conditionalFormatting>
  <conditionalFormatting sqref="C109">
    <cfRule type="cellIs" dxfId="1" priority="185" operator="equal">
      <formula>0</formula>
    </cfRule>
  </conditionalFormatting>
  <conditionalFormatting sqref="C110">
    <cfRule type="cellIs" dxfId="1" priority="190" operator="equal">
      <formula>0</formula>
    </cfRule>
  </conditionalFormatting>
  <conditionalFormatting sqref="C111">
    <cfRule type="cellIs" dxfId="1" priority="194" operator="equal">
      <formula>0</formula>
    </cfRule>
  </conditionalFormatting>
  <conditionalFormatting sqref="C112">
    <cfRule type="cellIs" dxfId="1" priority="198" operator="equal">
      <formula>0</formula>
    </cfRule>
  </conditionalFormatting>
  <conditionalFormatting sqref="C113">
    <cfRule type="cellIs" dxfId="1" priority="202" operator="equal">
      <formula>0</formula>
    </cfRule>
  </conditionalFormatting>
  <conditionalFormatting sqref="C114">
    <cfRule type="cellIs" dxfId="1" priority="207" operator="equal">
      <formula>0</formula>
    </cfRule>
  </conditionalFormatting>
  <conditionalFormatting sqref="C115">
    <cfRule type="cellIs" dxfId="1" priority="213" operator="equal">
      <formula>0</formula>
    </cfRule>
  </conditionalFormatting>
  <conditionalFormatting sqref="C117">
    <cfRule type="expression" dxfId="0" priority="217">
      <formula>C118=0</formula>
    </cfRule>
  </conditionalFormatting>
  <conditionalFormatting sqref="C118">
    <cfRule type="cellIs" dxfId="1" priority="221" operator="equal">
      <formula>0</formula>
    </cfRule>
  </conditionalFormatting>
  <conditionalFormatting sqref="C119">
    <cfRule type="cellIs" dxfId="1" priority="225" operator="equal">
      <formula>0</formula>
    </cfRule>
  </conditionalFormatting>
  <conditionalFormatting sqref="C120">
    <cfRule type="cellIs" dxfId="1" priority="226" operator="equal">
      <formula>0</formula>
    </cfRule>
  </conditionalFormatting>
  <conditionalFormatting sqref="C121">
    <cfRule type="cellIs" dxfId="1" priority="228" operator="equal">
      <formula>0</formula>
    </cfRule>
  </conditionalFormatting>
  <conditionalFormatting sqref="C123">
    <cfRule type="cellIs" dxfId="1" priority="233" operator="equal">
      <formula>0</formula>
    </cfRule>
  </conditionalFormatting>
  <conditionalFormatting sqref="C124">
    <cfRule type="cellIs" dxfId="1" priority="235" operator="equal">
      <formula>0</formula>
    </cfRule>
  </conditionalFormatting>
  <conditionalFormatting sqref="C125">
    <cfRule type="cellIs" dxfId="1" priority="237" operator="equal">
      <formula>0</formula>
    </cfRule>
  </conditionalFormatting>
  <conditionalFormatting sqref="C127">
    <cfRule type="cellIs" dxfId="1" priority="241" operator="equal">
      <formula>0</formula>
    </cfRule>
  </conditionalFormatting>
  <conditionalFormatting sqref="C129">
    <cfRule type="expression" dxfId="0" priority="242">
      <formula>C130=0</formula>
    </cfRule>
  </conditionalFormatting>
  <conditionalFormatting sqref="C130">
    <cfRule type="cellIs" dxfId="1" priority="248" operator="equal">
      <formula>0</formula>
    </cfRule>
  </conditionalFormatting>
  <conditionalFormatting sqref="C131">
    <cfRule type="cellIs" dxfId="1" priority="254" operator="equal">
      <formula>0</formula>
    </cfRule>
  </conditionalFormatting>
  <conditionalFormatting sqref="C133">
    <cfRule type="cellIs" dxfId="1" priority="259" operator="equal">
      <formula>0</formula>
    </cfRule>
  </conditionalFormatting>
  <conditionalFormatting sqref="C141">
    <cfRule type="expression" dxfId="0" priority="272">
      <formula>C142=0</formula>
    </cfRule>
  </conditionalFormatting>
  <conditionalFormatting sqref="C142">
    <cfRule type="cellIs" dxfId="1" priority="276" operator="equal">
      <formula>0</formula>
    </cfRule>
  </conditionalFormatting>
  <conditionalFormatting sqref="C143">
    <cfRule type="cellIs" dxfId="1" priority="280" operator="equal">
      <formula>0</formula>
    </cfRule>
  </conditionalFormatting>
  <conditionalFormatting sqref="C144">
    <cfRule type="cellIs" dxfId="1" priority="282" operator="equal">
      <formula>0</formula>
    </cfRule>
  </conditionalFormatting>
  <conditionalFormatting sqref="C146">
    <cfRule type="cellIs" dxfId="1" priority="285" operator="equal">
      <formula>0</formula>
    </cfRule>
  </conditionalFormatting>
  <conditionalFormatting sqref="C147">
    <cfRule type="cellIs" dxfId="1" priority="287" operator="equal">
      <formula>0</formula>
    </cfRule>
  </conditionalFormatting>
  <conditionalFormatting sqref="C148">
    <cfRule type="cellIs" dxfId="1" priority="289" operator="equal">
      <formula>0</formula>
    </cfRule>
  </conditionalFormatting>
  <conditionalFormatting sqref="C150">
    <cfRule type="cellIs" dxfId="1" priority="293" operator="equal">
      <formula>0</formula>
    </cfRule>
  </conditionalFormatting>
  <conditionalFormatting sqref="C151">
    <cfRule type="cellIs" dxfId="1" priority="295" operator="equal">
      <formula>0</formula>
    </cfRule>
  </conditionalFormatting>
  <conditionalFormatting sqref="C159">
    <cfRule type="expression" dxfId="0" priority="297">
      <formula>C160=0</formula>
    </cfRule>
  </conditionalFormatting>
  <conditionalFormatting sqref="C160">
    <cfRule type="cellIs" dxfId="1" priority="302" operator="equal">
      <formula>0</formula>
    </cfRule>
  </conditionalFormatting>
  <conditionalFormatting sqref="C161">
    <cfRule type="cellIs" dxfId="1" priority="307" operator="equal">
      <formula>0</formula>
    </cfRule>
  </conditionalFormatting>
  <conditionalFormatting sqref="C163">
    <cfRule type="expression" dxfId="0" priority="312">
      <formula>C164=0</formula>
    </cfRule>
  </conditionalFormatting>
  <conditionalFormatting sqref="C164">
    <cfRule type="cellIs" dxfId="1" priority="314" operator="equal">
      <formula>0</formula>
    </cfRule>
  </conditionalFormatting>
  <conditionalFormatting sqref="C165">
    <cfRule type="cellIs" dxfId="1" priority="316" operator="equal">
      <formula>0</formula>
    </cfRule>
  </conditionalFormatting>
  <conditionalFormatting sqref="C167">
    <cfRule type="expression" dxfId="0" priority="318">
      <formula>C168=0</formula>
    </cfRule>
  </conditionalFormatting>
  <conditionalFormatting sqref="C168">
    <cfRule type="cellIs" dxfId="1" priority="321" operator="equal">
      <formula>0</formula>
    </cfRule>
  </conditionalFormatting>
  <conditionalFormatting sqref="C169">
    <cfRule type="cellIs" dxfId="1" priority="324" operator="equal">
      <formula>0</formula>
    </cfRule>
  </conditionalFormatting>
  <conditionalFormatting sqref="C171">
    <cfRule type="expression" dxfId="0" priority="327">
      <formula>C172=0</formula>
    </cfRule>
  </conditionalFormatting>
  <conditionalFormatting sqref="C172">
    <cfRule type="cellIs" dxfId="1" priority="328" operator="equal">
      <formula>0</formula>
    </cfRule>
  </conditionalFormatting>
  <conditionalFormatting sqref="C173">
    <cfRule type="cellIs" dxfId="1" priority="329" operator="equal">
      <formula>0</formula>
    </cfRule>
  </conditionalFormatting>
  <conditionalFormatting sqref="C181">
    <cfRule type="expression" dxfId="0" priority="330">
      <formula>C182=0</formula>
    </cfRule>
  </conditionalFormatting>
  <conditionalFormatting sqref="C182">
    <cfRule type="cellIs" dxfId="1" priority="336" operator="equal">
      <formula>0</formula>
    </cfRule>
  </conditionalFormatting>
  <conditionalFormatting sqref="C183">
    <cfRule type="cellIs" dxfId="1" priority="342" operator="equal">
      <formula>0</formula>
    </cfRule>
  </conditionalFormatting>
  <conditionalFormatting sqref="C184">
    <cfRule type="cellIs" dxfId="1" priority="347" operator="equal">
      <formula>0</formula>
    </cfRule>
  </conditionalFormatting>
  <conditionalFormatting sqref="C185">
    <cfRule type="cellIs" dxfId="1" priority="351" operator="equal">
      <formula>0</formula>
    </cfRule>
  </conditionalFormatting>
  <conditionalFormatting sqref="C186">
    <cfRule type="cellIs" dxfId="1" priority="356" operator="equal">
      <formula>0</formula>
    </cfRule>
  </conditionalFormatting>
  <conditionalFormatting sqref="C187">
    <cfRule type="cellIs" dxfId="1" priority="360" operator="equal">
      <formula>0</formula>
    </cfRule>
  </conditionalFormatting>
  <conditionalFormatting sqref="C189">
    <cfRule type="expression" dxfId="0" priority="365">
      <formula>C190=0</formula>
    </cfRule>
  </conditionalFormatting>
  <conditionalFormatting sqref="C190">
    <cfRule type="cellIs" dxfId="1" priority="369" operator="equal">
      <formula>0</formula>
    </cfRule>
  </conditionalFormatting>
  <conditionalFormatting sqref="C191">
    <cfRule type="cellIs" dxfId="1" priority="373" operator="equal">
      <formula>0</formula>
    </cfRule>
  </conditionalFormatting>
  <conditionalFormatting sqref="C192">
    <cfRule type="cellIs" dxfId="1" priority="375" operator="equal">
      <formula>0</formula>
    </cfRule>
  </conditionalFormatting>
  <conditionalFormatting sqref="C194">
    <cfRule type="cellIs" dxfId="1" priority="378" operator="equal">
      <formula>0</formula>
    </cfRule>
  </conditionalFormatting>
  <conditionalFormatting sqref="C197">
    <cfRule type="expression" dxfId="0" priority="382">
      <formula>C198=0</formula>
    </cfRule>
  </conditionalFormatting>
  <conditionalFormatting sqref="C198">
    <cfRule type="cellIs" dxfId="1" priority="385" operator="equal">
      <formula>0</formula>
    </cfRule>
  </conditionalFormatting>
  <conditionalFormatting sqref="C199">
    <cfRule type="cellIs" dxfId="1" priority="388" operator="equal">
      <formula>0</formula>
    </cfRule>
  </conditionalFormatting>
  <conditionalFormatting sqref="C200">
    <cfRule type="cellIs" dxfId="1" priority="390" operator="equal">
      <formula>0</formula>
    </cfRule>
  </conditionalFormatting>
  <conditionalFormatting sqref="C201">
    <cfRule type="cellIs" dxfId="1" priority="392" operator="equal">
      <formula>0</formula>
    </cfRule>
  </conditionalFormatting>
  <conditionalFormatting sqref="C202">
    <cfRule type="cellIs" dxfId="1" priority="395" operator="equal">
      <formula>0</formula>
    </cfRule>
  </conditionalFormatting>
  <conditionalFormatting sqref="C203">
    <cfRule type="cellIs" dxfId="1" priority="397" operator="equal">
      <formula>0</formula>
    </cfRule>
  </conditionalFormatting>
  <conditionalFormatting sqref="C205">
    <cfRule type="expression" dxfId="0" priority="400">
      <formula>C206=0</formula>
    </cfRule>
  </conditionalFormatting>
  <conditionalFormatting sqref="C206">
    <cfRule type="cellIs" dxfId="1" priority="402" operator="equal">
      <formula>0</formula>
    </cfRule>
  </conditionalFormatting>
  <conditionalFormatting sqref="C207">
    <cfRule type="cellIs" dxfId="1" priority="404" operator="equal">
      <formula>0</formula>
    </cfRule>
  </conditionalFormatting>
  <conditionalFormatting sqref="C208">
    <cfRule type="cellIs" dxfId="1" priority="405" operator="equal">
      <formula>0</formula>
    </cfRule>
  </conditionalFormatting>
  <conditionalFormatting sqref="C209">
    <cfRule type="cellIs" dxfId="1" priority="406" operator="equal">
      <formula>0</formula>
    </cfRule>
  </conditionalFormatting>
  <conditionalFormatting sqref="C210">
    <cfRule type="cellIs" dxfId="1" priority="408" operator="equal">
      <formula>0</formula>
    </cfRule>
  </conditionalFormatting>
  <conditionalFormatting sqref="C211">
    <cfRule type="cellIs" dxfId="1" priority="409" operator="equal">
      <formula>0</formula>
    </cfRule>
  </conditionalFormatting>
  <conditionalFormatting sqref="C219">
    <cfRule type="expression" dxfId="0" priority="411">
      <formula>C220=0</formula>
    </cfRule>
  </conditionalFormatting>
  <conditionalFormatting sqref="C220">
    <cfRule type="cellIs" dxfId="1" priority="419" operator="equal">
      <formula>0</formula>
    </cfRule>
  </conditionalFormatting>
  <conditionalFormatting sqref="C221">
    <cfRule type="cellIs" dxfId="1" priority="427" operator="equal">
      <formula>0</formula>
    </cfRule>
  </conditionalFormatting>
  <conditionalFormatting sqref="C222">
    <cfRule type="cellIs" dxfId="1" priority="431" operator="equal">
      <formula>0</formula>
    </cfRule>
  </conditionalFormatting>
  <conditionalFormatting sqref="C223">
    <cfRule type="cellIs" dxfId="1" priority="435" operator="equal">
      <formula>0</formula>
    </cfRule>
  </conditionalFormatting>
  <conditionalFormatting sqref="C224">
    <cfRule type="cellIs" dxfId="1" priority="439" operator="equal">
      <formula>0</formula>
    </cfRule>
  </conditionalFormatting>
  <conditionalFormatting sqref="C225">
    <cfRule type="cellIs" dxfId="1" priority="443" operator="equal">
      <formula>0</formula>
    </cfRule>
  </conditionalFormatting>
  <conditionalFormatting sqref="C226">
    <cfRule type="cellIs" dxfId="1" priority="448" operator="equal">
      <formula>0</formula>
    </cfRule>
  </conditionalFormatting>
  <conditionalFormatting sqref="C227">
    <cfRule type="cellIs" dxfId="1" priority="452" operator="equal">
      <formula>0</formula>
    </cfRule>
  </conditionalFormatting>
  <conditionalFormatting sqref="C228">
    <cfRule type="cellIs" dxfId="1" priority="457" operator="equal">
      <formula>0</formula>
    </cfRule>
  </conditionalFormatting>
  <conditionalFormatting sqref="C229">
    <cfRule type="cellIs" dxfId="1" priority="462" operator="equal">
      <formula>0</formula>
    </cfRule>
  </conditionalFormatting>
  <conditionalFormatting sqref="C230">
    <cfRule type="cellIs" dxfId="1" priority="467" operator="equal">
      <formula>0</formula>
    </cfRule>
  </conditionalFormatting>
  <conditionalFormatting sqref="C231">
    <cfRule type="cellIs" dxfId="1" priority="471" operator="equal">
      <formula>0</formula>
    </cfRule>
  </conditionalFormatting>
  <conditionalFormatting sqref="C232">
    <cfRule type="cellIs" dxfId="1" priority="475" operator="equal">
      <formula>0</formula>
    </cfRule>
  </conditionalFormatting>
  <conditionalFormatting sqref="C233">
    <cfRule type="cellIs" dxfId="1" priority="479" operator="equal">
      <formula>0</formula>
    </cfRule>
  </conditionalFormatting>
  <conditionalFormatting sqref="C234">
    <cfRule type="cellIs" dxfId="1" priority="484" operator="equal">
      <formula>0</formula>
    </cfRule>
  </conditionalFormatting>
  <conditionalFormatting sqref="C235">
    <cfRule type="cellIs" dxfId="1" priority="490" operator="equal">
      <formula>0</formula>
    </cfRule>
  </conditionalFormatting>
  <conditionalFormatting sqref="C238">
    <cfRule type="expression" dxfId="0" priority="501">
      <formula>C239=0</formula>
    </cfRule>
  </conditionalFormatting>
  <conditionalFormatting sqref="C239">
    <cfRule type="cellIs" dxfId="1" priority="506" operator="equal">
      <formula>0</formula>
    </cfRule>
  </conditionalFormatting>
  <conditionalFormatting sqref="C240">
    <cfRule type="cellIs" dxfId="1" priority="511" operator="equal">
      <formula>0</formula>
    </cfRule>
  </conditionalFormatting>
  <conditionalFormatting sqref="C243">
    <cfRule type="cellIs" dxfId="1" priority="516" operator="equal">
      <formula>0</formula>
    </cfRule>
  </conditionalFormatting>
  <conditionalFormatting sqref="C246">
    <cfRule type="cellIs" dxfId="1" priority="521" operator="equal">
      <formula>0</formula>
    </cfRule>
  </conditionalFormatting>
  <conditionalFormatting sqref="C247">
    <cfRule type="cellIs" dxfId="1" priority="523" operator="equal">
      <formula>0</formula>
    </cfRule>
  </conditionalFormatting>
  <conditionalFormatting sqref="C248">
    <cfRule type="cellIs" dxfId="1" priority="526" operator="equal">
      <formula>0</formula>
    </cfRule>
  </conditionalFormatting>
  <conditionalFormatting sqref="C249">
    <cfRule type="cellIs" dxfId="1" priority="528" operator="equal">
      <formula>0</formula>
    </cfRule>
  </conditionalFormatting>
  <conditionalFormatting sqref="C254">
    <cfRule type="cellIs" dxfId="1" priority="538" operator="equal">
      <formula>0</formula>
    </cfRule>
  </conditionalFormatting>
  <conditionalFormatting sqref="C257">
    <cfRule type="expression" dxfId="0" priority="541">
      <formula>C258=0</formula>
    </cfRule>
  </conditionalFormatting>
  <conditionalFormatting sqref="C258">
    <cfRule type="cellIs" dxfId="1" priority="549" operator="equal">
      <formula>0</formula>
    </cfRule>
  </conditionalFormatting>
  <conditionalFormatting sqref="C259">
    <cfRule type="cellIs" dxfId="1" priority="557" operator="equal">
      <formula>0</formula>
    </cfRule>
  </conditionalFormatting>
  <conditionalFormatting sqref="C263">
    <cfRule type="cellIs" dxfId="1" priority="565" operator="equal">
      <formula>0</formula>
    </cfRule>
  </conditionalFormatting>
  <conditionalFormatting sqref="C272">
    <cfRule type="cellIs" dxfId="1" priority="583" operator="equal">
      <formula>0</formula>
    </cfRule>
  </conditionalFormatting>
  <conditionalFormatting sqref="C274">
    <cfRule type="cellIs" dxfId="1" priority="587" operator="equal">
      <formula>0</formula>
    </cfRule>
  </conditionalFormatting>
  <conditionalFormatting sqref="C276">
    <cfRule type="expression" dxfId="0" priority="589">
      <formula>C277=0</formula>
    </cfRule>
  </conditionalFormatting>
  <conditionalFormatting sqref="C277">
    <cfRule type="cellIs" dxfId="1" priority="594" operator="equal">
      <formula>0</formula>
    </cfRule>
  </conditionalFormatting>
  <conditionalFormatting sqref="C278">
    <cfRule type="cellIs" dxfId="1" priority="599" operator="equal">
      <formula>0</formula>
    </cfRule>
  </conditionalFormatting>
  <conditionalFormatting sqref="C281">
    <cfRule type="cellIs" dxfId="1" priority="604" operator="equal">
      <formula>0</formula>
    </cfRule>
  </conditionalFormatting>
  <conditionalFormatting sqref="C284">
    <cfRule type="cellIs" dxfId="1" priority="609" operator="equal">
      <formula>0</formula>
    </cfRule>
  </conditionalFormatting>
  <conditionalFormatting sqref="C285">
    <cfRule type="cellIs" dxfId="1" priority="610" operator="equal">
      <formula>0</formula>
    </cfRule>
  </conditionalFormatting>
  <conditionalFormatting sqref="C287">
    <cfRule type="cellIs" dxfId="1" priority="613" operator="equal">
      <formula>0</formula>
    </cfRule>
  </conditionalFormatting>
  <conditionalFormatting sqref="C29">
    <cfRule type="expression" dxfId="0" priority="1">
      <formula>C30=0</formula>
    </cfRule>
  </conditionalFormatting>
  <conditionalFormatting sqref="C30">
    <cfRule type="cellIs" dxfId="1" priority="7" operator="equal">
      <formula>0</formula>
    </cfRule>
  </conditionalFormatting>
  <conditionalFormatting sqref="C301">
    <cfRule type="expression" dxfId="0" priority="626">
      <formula>C302=0</formula>
    </cfRule>
  </conditionalFormatting>
  <conditionalFormatting sqref="C302">
    <cfRule type="cellIs" dxfId="1" priority="634" operator="equal">
      <formula>0</formula>
    </cfRule>
  </conditionalFormatting>
  <conditionalFormatting sqref="C303">
    <cfRule type="cellIs" dxfId="1" priority="642" operator="equal">
      <formula>0</formula>
    </cfRule>
  </conditionalFormatting>
  <conditionalFormatting sqref="C304">
    <cfRule type="cellIs" dxfId="1" priority="647" operator="equal">
      <formula>0</formula>
    </cfRule>
  </conditionalFormatting>
  <conditionalFormatting sqref="C305">
    <cfRule type="cellIs" dxfId="1" priority="653" operator="equal">
      <formula>0</formula>
    </cfRule>
  </conditionalFormatting>
  <conditionalFormatting sqref="C306">
    <cfRule type="cellIs" dxfId="1" priority="658" operator="equal">
      <formula>0</formula>
    </cfRule>
  </conditionalFormatting>
  <conditionalFormatting sqref="C307">
    <cfRule type="cellIs" dxfId="1" priority="663" operator="equal">
      <formula>0</formula>
    </cfRule>
  </conditionalFormatting>
  <conditionalFormatting sqref="C308">
    <cfRule type="cellIs" dxfId="1" priority="668" operator="equal">
      <formula>0</formula>
    </cfRule>
  </conditionalFormatting>
  <conditionalFormatting sqref="C309">
    <cfRule type="cellIs" dxfId="1" priority="672" operator="equal">
      <formula>0</formula>
    </cfRule>
  </conditionalFormatting>
  <conditionalFormatting sqref="C31">
    <cfRule type="cellIs" dxfId="1" priority="13" operator="equal">
      <formula>0</formula>
    </cfRule>
  </conditionalFormatting>
  <conditionalFormatting sqref="C310">
    <cfRule type="cellIs" dxfId="1" priority="677" operator="equal">
      <formula>0</formula>
    </cfRule>
  </conditionalFormatting>
  <conditionalFormatting sqref="C311">
    <cfRule type="cellIs" dxfId="1" priority="681" operator="equal">
      <formula>0</formula>
    </cfRule>
  </conditionalFormatting>
  <conditionalFormatting sqref="C312">
    <cfRule type="cellIs" dxfId="1" priority="687" operator="equal">
      <formula>0</formula>
    </cfRule>
  </conditionalFormatting>
  <conditionalFormatting sqref="C313">
    <cfRule type="cellIs" dxfId="1" priority="692" operator="equal">
      <formula>0</formula>
    </cfRule>
  </conditionalFormatting>
  <conditionalFormatting sqref="C314">
    <cfRule type="cellIs" dxfId="1" priority="696" operator="equal">
      <formula>0</formula>
    </cfRule>
  </conditionalFormatting>
  <conditionalFormatting sqref="C315">
    <cfRule type="cellIs" dxfId="1" priority="701" operator="equal">
      <formula>0</formula>
    </cfRule>
  </conditionalFormatting>
  <conditionalFormatting sqref="C316">
    <cfRule type="cellIs" dxfId="1" priority="706" operator="equal">
      <formula>0</formula>
    </cfRule>
  </conditionalFormatting>
  <conditionalFormatting sqref="C317">
    <cfRule type="cellIs" dxfId="1" priority="710" operator="equal">
      <formula>0</formula>
    </cfRule>
  </conditionalFormatting>
  <conditionalFormatting sqref="C318">
    <cfRule type="cellIs" dxfId="1" priority="716" operator="equal">
      <formula>0</formula>
    </cfRule>
  </conditionalFormatting>
  <conditionalFormatting sqref="C319">
    <cfRule type="cellIs" dxfId="1" priority="720" operator="equal">
      <formula>0</formula>
    </cfRule>
  </conditionalFormatting>
  <conditionalFormatting sqref="C32">
    <cfRule type="cellIs" dxfId="1" priority="19" operator="equal">
      <formula>0</formula>
    </cfRule>
  </conditionalFormatting>
  <conditionalFormatting sqref="C320">
    <cfRule type="cellIs" dxfId="1" priority="725" operator="equal">
      <formula>0</formula>
    </cfRule>
  </conditionalFormatting>
  <conditionalFormatting sqref="C321">
    <cfRule type="cellIs" dxfId="1" priority="730" operator="equal">
      <formula>0</formula>
    </cfRule>
  </conditionalFormatting>
  <conditionalFormatting sqref="C322">
    <cfRule type="cellIs" dxfId="1" priority="735" operator="equal">
      <formula>0</formula>
    </cfRule>
  </conditionalFormatting>
  <conditionalFormatting sqref="C323">
    <cfRule type="cellIs" dxfId="1" priority="740" operator="equal">
      <formula>0</formula>
    </cfRule>
  </conditionalFormatting>
  <conditionalFormatting sqref="C324">
    <cfRule type="cellIs" dxfId="1" priority="744" operator="equal">
      <formula>0</formula>
    </cfRule>
  </conditionalFormatting>
  <conditionalFormatting sqref="C325">
    <cfRule type="cellIs" dxfId="1" priority="749" operator="equal">
      <formula>0</formula>
    </cfRule>
  </conditionalFormatting>
  <conditionalFormatting sqref="C326">
    <cfRule type="cellIs" dxfId="1" priority="753" operator="equal">
      <formula>0</formula>
    </cfRule>
  </conditionalFormatting>
  <conditionalFormatting sqref="C329">
    <cfRule type="expression" dxfId="0" priority="762">
      <formula>C330=0</formula>
    </cfRule>
  </conditionalFormatting>
  <conditionalFormatting sqref="C33">
    <cfRule type="cellIs" dxfId="1" priority="24" operator="equal">
      <formula>0</formula>
    </cfRule>
  </conditionalFormatting>
  <conditionalFormatting sqref="C330">
    <cfRule type="cellIs" dxfId="1" priority="767" operator="equal">
      <formula>0</formula>
    </cfRule>
  </conditionalFormatting>
  <conditionalFormatting sqref="C331">
    <cfRule type="cellIs" dxfId="1" priority="772" operator="equal">
      <formula>0</formula>
    </cfRule>
  </conditionalFormatting>
  <conditionalFormatting sqref="C332">
    <cfRule type="cellIs" dxfId="1" priority="774" operator="equal">
      <formula>0</formula>
    </cfRule>
  </conditionalFormatting>
  <conditionalFormatting sqref="C335">
    <cfRule type="cellIs" dxfId="1" priority="779" operator="equal">
      <formula>0</formula>
    </cfRule>
  </conditionalFormatting>
  <conditionalFormatting sqref="C337">
    <cfRule type="cellIs" dxfId="1" priority="782" operator="equal">
      <formula>0</formula>
    </cfRule>
  </conditionalFormatting>
  <conditionalFormatting sqref="C338">
    <cfRule type="cellIs" dxfId="1" priority="784" operator="equal">
      <formula>0</formula>
    </cfRule>
  </conditionalFormatting>
  <conditionalFormatting sqref="C34">
    <cfRule type="cellIs" dxfId="1" priority="28" operator="equal">
      <formula>0</formula>
    </cfRule>
  </conditionalFormatting>
  <conditionalFormatting sqref="C340">
    <cfRule type="cellIs" dxfId="1" priority="788" operator="equal">
      <formula>0</formula>
    </cfRule>
  </conditionalFormatting>
  <conditionalFormatting sqref="C342">
    <cfRule type="cellIs" dxfId="1" priority="791" operator="equal">
      <formula>0</formula>
    </cfRule>
  </conditionalFormatting>
  <conditionalFormatting sqref="C343">
    <cfRule type="cellIs" dxfId="1" priority="793" operator="equal">
      <formula>0</formula>
    </cfRule>
  </conditionalFormatting>
  <conditionalFormatting sqref="C344">
    <cfRule type="cellIs" dxfId="1" priority="796" operator="equal">
      <formula>0</formula>
    </cfRule>
  </conditionalFormatting>
  <conditionalFormatting sqref="C345">
    <cfRule type="cellIs" dxfId="1" priority="798" operator="equal">
      <formula>0</formula>
    </cfRule>
  </conditionalFormatting>
  <conditionalFormatting sqref="C346">
    <cfRule type="cellIs" dxfId="1" priority="800" operator="equal">
      <formula>0</formula>
    </cfRule>
  </conditionalFormatting>
  <conditionalFormatting sqref="C347">
    <cfRule type="cellIs" dxfId="1" priority="802" operator="equal">
      <formula>0</formula>
    </cfRule>
  </conditionalFormatting>
  <conditionalFormatting sqref="C35">
    <cfRule type="cellIs" dxfId="1" priority="32" operator="equal">
      <formula>0</formula>
    </cfRule>
  </conditionalFormatting>
  <conditionalFormatting sqref="C352">
    <cfRule type="cellIs" dxfId="1" priority="812" operator="equal">
      <formula>0</formula>
    </cfRule>
  </conditionalFormatting>
  <conditionalFormatting sqref="C353">
    <cfRule type="cellIs" dxfId="1" priority="814" operator="equal">
      <formula>0</formula>
    </cfRule>
  </conditionalFormatting>
  <conditionalFormatting sqref="C355">
    <cfRule type="cellIs" dxfId="1" priority="817" operator="equal">
      <formula>0</formula>
    </cfRule>
  </conditionalFormatting>
  <conditionalFormatting sqref="C357">
    <cfRule type="expression" dxfId="0" priority="819">
      <formula>C358=0</formula>
    </cfRule>
  </conditionalFormatting>
  <conditionalFormatting sqref="C358">
    <cfRule type="cellIs" dxfId="1" priority="827" operator="equal">
      <formula>0</formula>
    </cfRule>
  </conditionalFormatting>
  <conditionalFormatting sqref="C359">
    <cfRule type="cellIs" dxfId="1" priority="835" operator="equal">
      <formula>0</formula>
    </cfRule>
  </conditionalFormatting>
  <conditionalFormatting sqref="C36">
    <cfRule type="cellIs" dxfId="1" priority="36" operator="equal">
      <formula>0</formula>
    </cfRule>
  </conditionalFormatting>
  <conditionalFormatting sqref="C360">
    <cfRule type="cellIs" dxfId="1" priority="836" operator="equal">
      <formula>0</formula>
    </cfRule>
  </conditionalFormatting>
  <conditionalFormatting sqref="C367">
    <cfRule type="cellIs" dxfId="1" priority="848" operator="equal">
      <formula>0</formula>
    </cfRule>
  </conditionalFormatting>
  <conditionalFormatting sqref="C368">
    <cfRule type="cellIs" dxfId="1" priority="851" operator="equal">
      <formula>0</formula>
    </cfRule>
  </conditionalFormatting>
  <conditionalFormatting sqref="C37">
    <cfRule type="cellIs" dxfId="1" priority="41" operator="equal">
      <formula>0</formula>
    </cfRule>
  </conditionalFormatting>
  <conditionalFormatting sqref="C379">
    <cfRule type="cellIs" dxfId="1" priority="872" operator="equal">
      <formula>0</formula>
    </cfRule>
  </conditionalFormatting>
  <conditionalFormatting sqref="C38">
    <cfRule type="cellIs" dxfId="1" priority="46" operator="equal">
      <formula>0</formula>
    </cfRule>
  </conditionalFormatting>
  <conditionalFormatting sqref="C382">
    <cfRule type="cellIs" dxfId="1" priority="878" operator="equal">
      <formula>0</formula>
    </cfRule>
  </conditionalFormatting>
  <conditionalFormatting sqref="C385">
    <cfRule type="expression" dxfId="0" priority="883">
      <formula>C386=0</formula>
    </cfRule>
  </conditionalFormatting>
  <conditionalFormatting sqref="C386">
    <cfRule type="cellIs" dxfId="1" priority="888" operator="equal">
      <formula>0</formula>
    </cfRule>
  </conditionalFormatting>
  <conditionalFormatting sqref="C387">
    <cfRule type="cellIs" dxfId="1" priority="893" operator="equal">
      <formula>0</formula>
    </cfRule>
  </conditionalFormatting>
  <conditionalFormatting sqref="C398">
    <cfRule type="cellIs" dxfId="1" priority="909" operator="equal">
      <formula>0</formula>
    </cfRule>
  </conditionalFormatting>
  <conditionalFormatting sqref="C399">
    <cfRule type="cellIs" dxfId="1" priority="910" operator="equal">
      <formula>0</formula>
    </cfRule>
  </conditionalFormatting>
  <conditionalFormatting sqref="C40">
    <cfRule type="expression" dxfId="0" priority="52">
      <formula>C41=0</formula>
    </cfRule>
  </conditionalFormatting>
  <conditionalFormatting sqref="C401">
    <cfRule type="cellIs" dxfId="1" priority="913" operator="equal">
      <formula>0</formula>
    </cfRule>
  </conditionalFormatting>
  <conditionalFormatting sqref="C41">
    <cfRule type="cellIs" dxfId="1" priority="56" operator="equal">
      <formula>0</formula>
    </cfRule>
  </conditionalFormatting>
  <conditionalFormatting sqref="C419">
    <cfRule type="expression" dxfId="0" priority="930">
      <formula>C420=0</formula>
    </cfRule>
  </conditionalFormatting>
  <conditionalFormatting sqref="C42">
    <cfRule type="cellIs" dxfId="1" priority="60" operator="equal">
      <formula>0</formula>
    </cfRule>
  </conditionalFormatting>
  <conditionalFormatting sqref="C420">
    <cfRule type="cellIs" dxfId="1" priority="938" operator="equal">
      <formula>0</formula>
    </cfRule>
  </conditionalFormatting>
  <conditionalFormatting sqref="C421">
    <cfRule type="cellIs" dxfId="1" priority="946" operator="equal">
      <formula>0</formula>
    </cfRule>
  </conditionalFormatting>
  <conditionalFormatting sqref="C422">
    <cfRule type="cellIs" dxfId="1" priority="951" operator="equal">
      <formula>0</formula>
    </cfRule>
  </conditionalFormatting>
  <conditionalFormatting sqref="C423">
    <cfRule type="cellIs" dxfId="1" priority="955" operator="equal">
      <formula>0</formula>
    </cfRule>
  </conditionalFormatting>
  <conditionalFormatting sqref="C424">
    <cfRule type="cellIs" dxfId="1" priority="961" operator="equal">
      <formula>0</formula>
    </cfRule>
  </conditionalFormatting>
  <conditionalFormatting sqref="C426">
    <cfRule type="expression" dxfId="0" priority="966">
      <formula>C427=0</formula>
    </cfRule>
  </conditionalFormatting>
  <conditionalFormatting sqref="C427">
    <cfRule type="cellIs" dxfId="1" priority="970" operator="equal">
      <formula>0</formula>
    </cfRule>
  </conditionalFormatting>
  <conditionalFormatting sqref="C428">
    <cfRule type="cellIs" dxfId="1" priority="974" operator="equal">
      <formula>0</formula>
    </cfRule>
  </conditionalFormatting>
  <conditionalFormatting sqref="C433">
    <cfRule type="expression" dxfId="0" priority="982">
      <formula>C434=0</formula>
    </cfRule>
  </conditionalFormatting>
  <conditionalFormatting sqref="C434">
    <cfRule type="cellIs" dxfId="1" priority="986" operator="equal">
      <formula>0</formula>
    </cfRule>
  </conditionalFormatting>
  <conditionalFormatting sqref="C435">
    <cfRule type="cellIs" dxfId="1" priority="990" operator="equal">
      <formula>0</formula>
    </cfRule>
  </conditionalFormatting>
  <conditionalFormatting sqref="C44">
    <cfRule type="cellIs" dxfId="1" priority="63" operator="equal">
      <formula>0</formula>
    </cfRule>
  </conditionalFormatting>
  <conditionalFormatting sqref="C440">
    <cfRule type="expression" dxfId="0" priority="999">
      <formula>C441=0</formula>
    </cfRule>
  </conditionalFormatting>
  <conditionalFormatting sqref="C441">
    <cfRule type="cellIs" dxfId="1" priority="1004" operator="equal">
      <formula>0</formula>
    </cfRule>
  </conditionalFormatting>
  <conditionalFormatting sqref="C442">
    <cfRule type="cellIs" dxfId="1" priority="1009" operator="equal">
      <formula>0</formula>
    </cfRule>
  </conditionalFormatting>
  <conditionalFormatting sqref="C45">
    <cfRule type="cellIs" dxfId="1" priority="65" operator="equal">
      <formula>0</formula>
    </cfRule>
  </conditionalFormatting>
  <conditionalFormatting sqref="C453">
    <cfRule type="expression" dxfId="0" priority="1015">
      <formula>C454=0</formula>
    </cfRule>
  </conditionalFormatting>
  <conditionalFormatting sqref="C454">
    <cfRule type="cellIs" dxfId="1" priority="1021" operator="equal">
      <formula>0</formula>
    </cfRule>
  </conditionalFormatting>
  <conditionalFormatting sqref="C455">
    <cfRule type="cellIs" dxfId="1" priority="1027" operator="equal">
      <formula>0</formula>
    </cfRule>
  </conditionalFormatting>
  <conditionalFormatting sqref="C456">
    <cfRule type="cellIs" dxfId="1" priority="1033" operator="equal">
      <formula>0</formula>
    </cfRule>
  </conditionalFormatting>
  <conditionalFormatting sqref="C457">
    <cfRule type="cellIs" dxfId="1" priority="1038" operator="equal">
      <formula>0</formula>
    </cfRule>
  </conditionalFormatting>
  <conditionalFormatting sqref="C458">
    <cfRule type="cellIs" dxfId="1" priority="1043" operator="equal">
      <formula>0</formula>
    </cfRule>
  </conditionalFormatting>
  <conditionalFormatting sqref="C46">
    <cfRule type="cellIs" dxfId="1" priority="67" operator="equal">
      <formula>0</formula>
    </cfRule>
  </conditionalFormatting>
  <conditionalFormatting sqref="C460">
    <cfRule type="expression" dxfId="0" priority="1048">
      <formula>C461=0</formula>
    </cfRule>
  </conditionalFormatting>
  <conditionalFormatting sqref="C461">
    <cfRule type="cellIs" dxfId="1" priority="1051" operator="equal">
      <formula>0</formula>
    </cfRule>
  </conditionalFormatting>
  <conditionalFormatting sqref="C462">
    <cfRule type="cellIs" dxfId="1" priority="1054" operator="equal">
      <formula>0</formula>
    </cfRule>
  </conditionalFormatting>
  <conditionalFormatting sqref="C463">
    <cfRule type="cellIs" dxfId="1" priority="1056" operator="equal">
      <formula>0</formula>
    </cfRule>
  </conditionalFormatting>
  <conditionalFormatting sqref="C467">
    <cfRule type="expression" dxfId="0" priority="1062">
      <formula>C468=0</formula>
    </cfRule>
  </conditionalFormatting>
  <conditionalFormatting sqref="C468">
    <cfRule type="cellIs" dxfId="1" priority="1064" operator="equal">
      <formula>0</formula>
    </cfRule>
  </conditionalFormatting>
  <conditionalFormatting sqref="C469">
    <cfRule type="cellIs" dxfId="1" priority="1066" operator="equal">
      <formula>0</formula>
    </cfRule>
  </conditionalFormatting>
  <conditionalFormatting sqref="C47">
    <cfRule type="cellIs" dxfId="1" priority="69" operator="equal">
      <formula>0</formula>
    </cfRule>
  </conditionalFormatting>
  <conditionalFormatting sqref="C470">
    <cfRule type="cellIs" dxfId="1" priority="1068" operator="equal">
      <formula>0</formula>
    </cfRule>
  </conditionalFormatting>
  <conditionalFormatting sqref="C471">
    <cfRule type="cellIs" dxfId="1" priority="1069" operator="equal">
      <formula>0</formula>
    </cfRule>
  </conditionalFormatting>
  <conditionalFormatting sqref="C472">
    <cfRule type="cellIs" dxfId="1" priority="1071" operator="equal">
      <formula>0</formula>
    </cfRule>
  </conditionalFormatting>
  <conditionalFormatting sqref="C474">
    <cfRule type="expression" dxfId="0" priority="1073">
      <formula>C475=0</formula>
    </cfRule>
  </conditionalFormatting>
  <conditionalFormatting sqref="C475">
    <cfRule type="cellIs" dxfId="1" priority="1076" operator="equal">
      <formula>0</formula>
    </cfRule>
  </conditionalFormatting>
  <conditionalFormatting sqref="C476">
    <cfRule type="cellIs" dxfId="1" priority="1079" operator="equal">
      <formula>0</formula>
    </cfRule>
  </conditionalFormatting>
  <conditionalFormatting sqref="C478">
    <cfRule type="cellIs" dxfId="1" priority="1081" operator="equal">
      <formula>0</formula>
    </cfRule>
  </conditionalFormatting>
  <conditionalFormatting sqref="C479">
    <cfRule type="cellIs" dxfId="1" priority="1082" operator="equal">
      <formula>0</formula>
    </cfRule>
  </conditionalFormatting>
  <conditionalFormatting sqref="C48">
    <cfRule type="cellIs" dxfId="1" priority="71" operator="equal">
      <formula>0</formula>
    </cfRule>
  </conditionalFormatting>
  <conditionalFormatting sqref="C487">
    <cfRule type="expression" dxfId="0" priority="1084">
      <formula>C488=0</formula>
    </cfRule>
  </conditionalFormatting>
  <conditionalFormatting sqref="C488">
    <cfRule type="cellIs" dxfId="1" priority="1092" operator="equal">
      <formula>0</formula>
    </cfRule>
  </conditionalFormatting>
  <conditionalFormatting sqref="C489">
    <cfRule type="cellIs" dxfId="1" priority="1100" operator="equal">
      <formula>0</formula>
    </cfRule>
  </conditionalFormatting>
  <conditionalFormatting sqref="C49">
    <cfRule type="cellIs" dxfId="1" priority="73" operator="equal">
      <formula>0</formula>
    </cfRule>
  </conditionalFormatting>
  <conditionalFormatting sqref="C490">
    <cfRule type="cellIs" dxfId="1" priority="1106" operator="equal">
      <formula>0</formula>
    </cfRule>
  </conditionalFormatting>
  <conditionalFormatting sqref="C491">
    <cfRule type="cellIs" dxfId="1" priority="1111" operator="equal">
      <formula>0</formula>
    </cfRule>
  </conditionalFormatting>
  <conditionalFormatting sqref="C492">
    <cfRule type="cellIs" dxfId="1" priority="1117" operator="equal">
      <formula>0</formula>
    </cfRule>
  </conditionalFormatting>
  <conditionalFormatting sqref="C494">
    <cfRule type="expression" dxfId="0" priority="1121">
      <formula>C495=0</formula>
    </cfRule>
  </conditionalFormatting>
  <conditionalFormatting sqref="C495">
    <cfRule type="cellIs" dxfId="1" priority="1126" operator="equal">
      <formula>0</formula>
    </cfRule>
  </conditionalFormatting>
  <conditionalFormatting sqref="C496">
    <cfRule type="cellIs" dxfId="1" priority="1131" operator="equal">
      <formula>0</formula>
    </cfRule>
  </conditionalFormatting>
  <conditionalFormatting sqref="C501">
    <cfRule type="expression" dxfId="0" priority="1140">
      <formula>C502=0</formula>
    </cfRule>
  </conditionalFormatting>
  <conditionalFormatting sqref="C502">
    <cfRule type="cellIs" dxfId="1" priority="1146" operator="equal">
      <formula>0</formula>
    </cfRule>
  </conditionalFormatting>
  <conditionalFormatting sqref="C503">
    <cfRule type="cellIs" dxfId="1" priority="1152" operator="equal">
      <formula>0</formula>
    </cfRule>
  </conditionalFormatting>
  <conditionalFormatting sqref="C508">
    <cfRule type="expression" dxfId="0" priority="1162">
      <formula>C509=0</formula>
    </cfRule>
  </conditionalFormatting>
  <conditionalFormatting sqref="C509">
    <cfRule type="cellIs" dxfId="1" priority="1166" operator="equal">
      <formula>0</formula>
    </cfRule>
  </conditionalFormatting>
  <conditionalFormatting sqref="C51">
    <cfRule type="expression" dxfId="0" priority="75">
      <formula>C52=0</formula>
    </cfRule>
  </conditionalFormatting>
  <conditionalFormatting sqref="C510">
    <cfRule type="cellIs" dxfId="1" priority="1170" operator="equal">
      <formula>0</formula>
    </cfRule>
  </conditionalFormatting>
  <conditionalFormatting sqref="C52">
    <cfRule type="cellIs" dxfId="1" priority="80" operator="equal">
      <formula>0</formula>
    </cfRule>
  </conditionalFormatting>
  <conditionalFormatting sqref="C521">
    <cfRule type="expression" dxfId="0" priority="1176">
      <formula>C522=0</formula>
    </cfRule>
  </conditionalFormatting>
  <conditionalFormatting sqref="C522">
    <cfRule type="cellIs" dxfId="1" priority="1184" operator="equal">
      <formula>0</formula>
    </cfRule>
  </conditionalFormatting>
  <conditionalFormatting sqref="C523">
    <cfRule type="cellIs" dxfId="1" priority="1192" operator="equal">
      <formula>0</formula>
    </cfRule>
  </conditionalFormatting>
  <conditionalFormatting sqref="C524">
    <cfRule type="cellIs" dxfId="1" priority="1197" operator="equal">
      <formula>0</formula>
    </cfRule>
  </conditionalFormatting>
  <conditionalFormatting sqref="C526">
    <cfRule type="cellIs" dxfId="1" priority="1207" operator="equal">
      <formula>0</formula>
    </cfRule>
  </conditionalFormatting>
  <conditionalFormatting sqref="C527">
    <cfRule type="cellIs" dxfId="1" priority="1212" operator="equal">
      <formula>0</formula>
    </cfRule>
  </conditionalFormatting>
  <conditionalFormatting sqref="C528">
    <cfRule type="cellIs" dxfId="1" priority="1217" operator="equal">
      <formula>0</formula>
    </cfRule>
  </conditionalFormatting>
  <conditionalFormatting sqref="C529">
    <cfRule type="cellIs" dxfId="1" priority="1221" operator="equal">
      <formula>0</formula>
    </cfRule>
  </conditionalFormatting>
  <conditionalFormatting sqref="C53">
    <cfRule type="cellIs" dxfId="1" priority="85" operator="equal">
      <formula>0</formula>
    </cfRule>
  </conditionalFormatting>
  <conditionalFormatting sqref="C530">
    <cfRule type="cellIs" dxfId="1" priority="1225" operator="equal">
      <formula>0</formula>
    </cfRule>
  </conditionalFormatting>
  <conditionalFormatting sqref="C531">
    <cfRule type="cellIs" dxfId="1" priority="1231" operator="equal">
      <formula>0</formula>
    </cfRule>
  </conditionalFormatting>
  <conditionalFormatting sqref="C532">
    <cfRule type="cellIs" dxfId="1" priority="1237" operator="equal">
      <formula>0</formula>
    </cfRule>
  </conditionalFormatting>
  <conditionalFormatting sqref="C533">
    <cfRule type="cellIs" dxfId="1" priority="1242" operator="equal">
      <formula>0</formula>
    </cfRule>
  </conditionalFormatting>
  <conditionalFormatting sqref="C534">
    <cfRule type="cellIs" dxfId="1" priority="1246" operator="equal">
      <formula>0</formula>
    </cfRule>
  </conditionalFormatting>
  <conditionalFormatting sqref="C535">
    <cfRule type="cellIs" dxfId="1" priority="1251" operator="equal">
      <formula>0</formula>
    </cfRule>
  </conditionalFormatting>
  <conditionalFormatting sqref="C536">
    <cfRule type="cellIs" dxfId="1" priority="1256" operator="equal">
      <formula>0</formula>
    </cfRule>
  </conditionalFormatting>
  <conditionalFormatting sqref="C537">
    <cfRule type="cellIs" dxfId="1" priority="1261" operator="equal">
      <formula>0</formula>
    </cfRule>
  </conditionalFormatting>
  <conditionalFormatting sqref="C538">
    <cfRule type="cellIs" dxfId="1" priority="1265" operator="equal">
      <formula>0</formula>
    </cfRule>
  </conditionalFormatting>
  <conditionalFormatting sqref="C539">
    <cfRule type="cellIs" dxfId="1" priority="1270" operator="equal">
      <formula>0</formula>
    </cfRule>
  </conditionalFormatting>
  <conditionalFormatting sqref="C54">
    <cfRule type="cellIs" dxfId="1" priority="86" operator="equal">
      <formula>0</formula>
    </cfRule>
  </conditionalFormatting>
  <conditionalFormatting sqref="C540">
    <cfRule type="cellIs" dxfId="1" priority="1275" operator="equal">
      <formula>0</formula>
    </cfRule>
  </conditionalFormatting>
  <conditionalFormatting sqref="C541">
    <cfRule type="cellIs" dxfId="1" priority="1279" operator="equal">
      <formula>0</formula>
    </cfRule>
  </conditionalFormatting>
  <conditionalFormatting sqref="C542">
    <cfRule type="cellIs" dxfId="1" priority="1284" operator="equal">
      <formula>0</formula>
    </cfRule>
  </conditionalFormatting>
  <conditionalFormatting sqref="C543">
    <cfRule type="cellIs" dxfId="1" priority="1289" operator="equal">
      <formula>0</formula>
    </cfRule>
  </conditionalFormatting>
  <conditionalFormatting sqref="C544">
    <cfRule type="cellIs" dxfId="1" priority="1294" operator="equal">
      <formula>0</formula>
    </cfRule>
  </conditionalFormatting>
  <conditionalFormatting sqref="C545">
    <cfRule type="cellIs" dxfId="1" priority="1298" operator="equal">
      <formula>0</formula>
    </cfRule>
  </conditionalFormatting>
  <conditionalFormatting sqref="C546">
    <cfRule type="cellIs" dxfId="1" priority="1303" operator="equal">
      <formula>0</formula>
    </cfRule>
  </conditionalFormatting>
  <conditionalFormatting sqref="C548">
    <cfRule type="expression" dxfId="0" priority="1307">
      <formula>C549=0</formula>
    </cfRule>
  </conditionalFormatting>
  <conditionalFormatting sqref="C549">
    <cfRule type="cellIs" dxfId="1" priority="1312" operator="equal">
      <formula>0</formula>
    </cfRule>
  </conditionalFormatting>
  <conditionalFormatting sqref="C55">
    <cfRule type="cellIs" dxfId="1" priority="88" operator="equal">
      <formula>0</formula>
    </cfRule>
  </conditionalFormatting>
  <conditionalFormatting sqref="C550">
    <cfRule type="cellIs" dxfId="1" priority="1317" operator="equal">
      <formula>0</formula>
    </cfRule>
  </conditionalFormatting>
  <conditionalFormatting sqref="C551">
    <cfRule type="cellIs" dxfId="1" priority="1319" operator="equal">
      <formula>0</formula>
    </cfRule>
  </conditionalFormatting>
  <conditionalFormatting sqref="C553">
    <cfRule type="cellIs" dxfId="1" priority="1323" operator="equal">
      <formula>0</formula>
    </cfRule>
  </conditionalFormatting>
  <conditionalFormatting sqref="C555">
    <cfRule type="cellIs" dxfId="1" priority="1326" operator="equal">
      <formula>0</formula>
    </cfRule>
  </conditionalFormatting>
  <conditionalFormatting sqref="C556">
    <cfRule type="cellIs" dxfId="1" priority="1328" operator="equal">
      <formula>0</formula>
    </cfRule>
  </conditionalFormatting>
  <conditionalFormatting sqref="C558">
    <cfRule type="cellIs" dxfId="1" priority="1332" operator="equal">
      <formula>0</formula>
    </cfRule>
  </conditionalFormatting>
  <conditionalFormatting sqref="C56">
    <cfRule type="cellIs" dxfId="1" priority="89" operator="equal">
      <formula>0</formula>
    </cfRule>
  </conditionalFormatting>
  <conditionalFormatting sqref="C560">
    <cfRule type="cellIs" dxfId="1" priority="1335" operator="equal">
      <formula>0</formula>
    </cfRule>
  </conditionalFormatting>
  <conditionalFormatting sqref="C561">
    <cfRule type="cellIs" dxfId="1" priority="1337" operator="equal">
      <formula>0</formula>
    </cfRule>
  </conditionalFormatting>
  <conditionalFormatting sqref="C562">
    <cfRule type="cellIs" dxfId="1" priority="1340" operator="equal">
      <formula>0</formula>
    </cfRule>
  </conditionalFormatting>
  <conditionalFormatting sqref="C563">
    <cfRule type="cellIs" dxfId="1" priority="1342" operator="equal">
      <formula>0</formula>
    </cfRule>
  </conditionalFormatting>
  <conditionalFormatting sqref="C564">
    <cfRule type="cellIs" dxfId="1" priority="1344" operator="equal">
      <formula>0</formula>
    </cfRule>
  </conditionalFormatting>
  <conditionalFormatting sqref="C565">
    <cfRule type="cellIs" dxfId="1" priority="1346" operator="equal">
      <formula>0</formula>
    </cfRule>
  </conditionalFormatting>
  <conditionalFormatting sqref="C568">
    <cfRule type="cellIs" dxfId="1" priority="1352" operator="equal">
      <formula>0</formula>
    </cfRule>
  </conditionalFormatting>
  <conditionalFormatting sqref="C57">
    <cfRule type="cellIs" dxfId="1" priority="91" operator="equal">
      <formula>0</formula>
    </cfRule>
  </conditionalFormatting>
  <conditionalFormatting sqref="C570">
    <cfRule type="cellIs" dxfId="1" priority="1356" operator="equal">
      <formula>0</formula>
    </cfRule>
  </conditionalFormatting>
  <conditionalFormatting sqref="C571">
    <cfRule type="cellIs" dxfId="1" priority="1358" operator="equal">
      <formula>0</formula>
    </cfRule>
  </conditionalFormatting>
  <conditionalFormatting sqref="C573">
    <cfRule type="cellIs" dxfId="1" priority="1361" operator="equal">
      <formula>0</formula>
    </cfRule>
  </conditionalFormatting>
  <conditionalFormatting sqref="C575">
    <cfRule type="expression" dxfId="0" priority="1363">
      <formula>C576=0</formula>
    </cfRule>
  </conditionalFormatting>
  <conditionalFormatting sqref="C576">
    <cfRule type="cellIs" dxfId="1" priority="1371" operator="equal">
      <formula>0</formula>
    </cfRule>
  </conditionalFormatting>
  <conditionalFormatting sqref="C577">
    <cfRule type="cellIs" dxfId="1" priority="1379" operator="equal">
      <formula>0</formula>
    </cfRule>
  </conditionalFormatting>
  <conditionalFormatting sqref="C578">
    <cfRule type="cellIs" dxfId="1" priority="1380" operator="equal">
      <formula>0</formula>
    </cfRule>
  </conditionalFormatting>
  <conditionalFormatting sqref="C584">
    <cfRule type="cellIs" dxfId="1" priority="1391" operator="equal">
      <formula>0</formula>
    </cfRule>
  </conditionalFormatting>
  <conditionalFormatting sqref="C585">
    <cfRule type="cellIs" dxfId="1" priority="1394" operator="equal">
      <formula>0</formula>
    </cfRule>
  </conditionalFormatting>
  <conditionalFormatting sqref="C59">
    <cfRule type="cellIs" dxfId="1" priority="94" operator="equal">
      <formula>0</formula>
    </cfRule>
  </conditionalFormatting>
  <conditionalFormatting sqref="C595">
    <cfRule type="cellIs" dxfId="1" priority="1414" operator="equal">
      <formula>0</formula>
    </cfRule>
  </conditionalFormatting>
  <conditionalFormatting sqref="C599">
    <cfRule type="cellIs" dxfId="1" priority="1420" operator="equal">
      <formula>0</formula>
    </cfRule>
  </conditionalFormatting>
  <conditionalFormatting sqref="C60">
    <cfRule type="cellIs" dxfId="1" priority="96" operator="equal">
      <formula>0</formula>
    </cfRule>
  </conditionalFormatting>
  <conditionalFormatting sqref="C602">
    <cfRule type="expression" dxfId="0" priority="1425">
      <formula>C603=0</formula>
    </cfRule>
  </conditionalFormatting>
  <conditionalFormatting sqref="C603">
    <cfRule type="cellIs" dxfId="1" priority="1430" operator="equal">
      <formula>0</formula>
    </cfRule>
  </conditionalFormatting>
  <conditionalFormatting sqref="C604">
    <cfRule type="cellIs" dxfId="1" priority="1435" operator="equal">
      <formula>0</formula>
    </cfRule>
  </conditionalFormatting>
  <conditionalFormatting sqref="C614">
    <cfRule type="cellIs" dxfId="1" priority="1449" operator="equal">
      <formula>0</formula>
    </cfRule>
  </conditionalFormatting>
  <conditionalFormatting sqref="C615">
    <cfRule type="cellIs" dxfId="1" priority="1450" operator="equal">
      <formula>0</formula>
    </cfRule>
  </conditionalFormatting>
  <conditionalFormatting sqref="C617">
    <cfRule type="cellIs" dxfId="1" priority="1453" operator="equal">
      <formula>0</formula>
    </cfRule>
  </conditionalFormatting>
  <conditionalFormatting sqref="C62">
    <cfRule type="expression" dxfId="0" priority="98">
      <formula>C63=0</formula>
    </cfRule>
  </conditionalFormatting>
  <conditionalFormatting sqref="C622">
    <cfRule type="cellIs" dxfId="1" priority="1460" operator="equal">
      <formula>0</formula>
    </cfRule>
  </conditionalFormatting>
  <conditionalFormatting sqref="C63">
    <cfRule type="cellIs" dxfId="1" priority="101" operator="equal">
      <formula>0</formula>
    </cfRule>
  </conditionalFormatting>
  <conditionalFormatting sqref="C635">
    <cfRule type="expression" dxfId="0" priority="1469">
      <formula>C636=0</formula>
    </cfRule>
  </conditionalFormatting>
  <conditionalFormatting sqref="C636">
    <cfRule type="cellIs" dxfId="1" priority="1477" operator="equal">
      <formula>0</formula>
    </cfRule>
  </conditionalFormatting>
  <conditionalFormatting sqref="C637">
    <cfRule type="cellIs" dxfId="1" priority="1485" operator="equal">
      <formula>0</formula>
    </cfRule>
  </conditionalFormatting>
  <conditionalFormatting sqref="C638">
    <cfRule type="cellIs" dxfId="1" priority="1490" operator="equal">
      <formula>0</formula>
    </cfRule>
  </conditionalFormatting>
  <conditionalFormatting sqref="C639">
    <cfRule type="cellIs" dxfId="1" priority="1495" operator="equal">
      <formula>0</formula>
    </cfRule>
  </conditionalFormatting>
  <conditionalFormatting sqref="C64">
    <cfRule type="cellIs" dxfId="1" priority="104" operator="equal">
      <formula>0</formula>
    </cfRule>
  </conditionalFormatting>
  <conditionalFormatting sqref="C640">
    <cfRule type="cellIs" dxfId="1" priority="1501" operator="equal">
      <formula>0</formula>
    </cfRule>
  </conditionalFormatting>
  <conditionalFormatting sqref="C641">
    <cfRule type="cellIs" dxfId="1" priority="1506" operator="equal">
      <formula>0</formula>
    </cfRule>
  </conditionalFormatting>
  <conditionalFormatting sqref="C642">
    <cfRule type="cellIs" dxfId="1" priority="1511" operator="equal">
      <formula>0</formula>
    </cfRule>
  </conditionalFormatting>
  <conditionalFormatting sqref="C643">
    <cfRule type="cellIs" dxfId="1" priority="1517" operator="equal">
      <formula>0</formula>
    </cfRule>
  </conditionalFormatting>
  <conditionalFormatting sqref="C646">
    <cfRule type="expression" dxfId="0" priority="1526">
      <formula>C647=0</formula>
    </cfRule>
  </conditionalFormatting>
  <conditionalFormatting sqref="C647">
    <cfRule type="cellIs" dxfId="1" priority="1531" operator="equal">
      <formula>0</formula>
    </cfRule>
  </conditionalFormatting>
  <conditionalFormatting sqref="C648">
    <cfRule type="cellIs" dxfId="1" priority="1536" operator="equal">
      <formula>0</formula>
    </cfRule>
  </conditionalFormatting>
  <conditionalFormatting sqref="C650">
    <cfRule type="cellIs" dxfId="1" priority="1540" operator="equal">
      <formula>0</formula>
    </cfRule>
  </conditionalFormatting>
  <conditionalFormatting sqref="C651">
    <cfRule type="cellIs" dxfId="1" priority="1542" operator="equal">
      <formula>0</formula>
    </cfRule>
  </conditionalFormatting>
  <conditionalFormatting sqref="C652">
    <cfRule type="cellIs" dxfId="1" priority="1544" operator="equal">
      <formula>0</formula>
    </cfRule>
  </conditionalFormatting>
  <conditionalFormatting sqref="C653">
    <cfRule type="cellIs" dxfId="1" priority="1547" operator="equal">
      <formula>0</formula>
    </cfRule>
  </conditionalFormatting>
  <conditionalFormatting sqref="C654">
    <cfRule type="cellIs" dxfId="1" priority="1549" operator="equal">
      <formula>0</formula>
    </cfRule>
  </conditionalFormatting>
  <conditionalFormatting sqref="C657">
    <cfRule type="expression" dxfId="0" priority="1553">
      <formula>C658=0</formula>
    </cfRule>
  </conditionalFormatting>
  <conditionalFormatting sqref="C658">
    <cfRule type="cellIs" dxfId="1" priority="1560" operator="equal">
      <formula>0</formula>
    </cfRule>
  </conditionalFormatting>
  <conditionalFormatting sqref="C659">
    <cfRule type="cellIs" dxfId="1" priority="1567" operator="equal">
      <formula>0</formula>
    </cfRule>
  </conditionalFormatting>
  <conditionalFormatting sqref="C66">
    <cfRule type="cellIs" dxfId="1" priority="107" operator="equal">
      <formula>0</formula>
    </cfRule>
  </conditionalFormatting>
  <conditionalFormatting sqref="C665">
    <cfRule type="cellIs" dxfId="1" priority="1578" operator="equal">
      <formula>0</formula>
    </cfRule>
  </conditionalFormatting>
  <conditionalFormatting sqref="C666">
    <cfRule type="cellIs" dxfId="1" priority="1579" operator="equal">
      <formula>0</formula>
    </cfRule>
  </conditionalFormatting>
  <conditionalFormatting sqref="C668">
    <cfRule type="expression" dxfId="0" priority="1581">
      <formula>C669=0</formula>
    </cfRule>
  </conditionalFormatting>
  <conditionalFormatting sqref="C669">
    <cfRule type="cellIs" dxfId="1" priority="1585" operator="equal">
      <formula>0</formula>
    </cfRule>
  </conditionalFormatting>
  <conditionalFormatting sqref="C670">
    <cfRule type="cellIs" dxfId="1" priority="1589" operator="equal">
      <formula>0</formula>
    </cfRule>
  </conditionalFormatting>
  <conditionalFormatting sqref="C672">
    <cfRule type="cellIs" dxfId="1" priority="1592" operator="equal">
      <formula>0</formula>
    </cfRule>
  </conditionalFormatting>
  <conditionalFormatting sqref="C673">
    <cfRule type="cellIs" dxfId="1" priority="1593" operator="equal">
      <formula>0</formula>
    </cfRule>
  </conditionalFormatting>
  <conditionalFormatting sqref="C674">
    <cfRule type="cellIs" dxfId="1" priority="1594" operator="equal">
      <formula>0</formula>
    </cfRule>
  </conditionalFormatting>
  <conditionalFormatting sqref="C675">
    <cfRule type="cellIs" dxfId="1" priority="1595" operator="equal">
      <formula>0</formula>
    </cfRule>
  </conditionalFormatting>
  <conditionalFormatting sqref="C676">
    <cfRule type="cellIs" dxfId="1" priority="1596" operator="equal">
      <formula>0</formula>
    </cfRule>
  </conditionalFormatting>
  <conditionalFormatting sqref="C68">
    <cfRule type="cellIs" dxfId="1" priority="110" operator="equal">
      <formula>0</formula>
    </cfRule>
  </conditionalFormatting>
  <conditionalFormatting sqref="C685">
    <cfRule type="expression" dxfId="0" priority="1599">
      <formula>C686=0</formula>
    </cfRule>
  </conditionalFormatting>
  <conditionalFormatting sqref="C686">
    <cfRule type="cellIs" dxfId="1" priority="1604" operator="equal">
      <formula>0</formula>
    </cfRule>
  </conditionalFormatting>
  <conditionalFormatting sqref="C687">
    <cfRule type="cellIs" dxfId="1" priority="1609" operator="equal">
      <formula>0</formula>
    </cfRule>
  </conditionalFormatting>
  <conditionalFormatting sqref="C689">
    <cfRule type="expression" dxfId="0" priority="1614">
      <formula>C690=0</formula>
    </cfRule>
  </conditionalFormatting>
  <conditionalFormatting sqref="C69">
    <cfRule type="cellIs" dxfId="1" priority="112" operator="equal">
      <formula>0</formula>
    </cfRule>
  </conditionalFormatting>
  <conditionalFormatting sqref="C690">
    <cfRule type="cellIs" dxfId="1" priority="1616" operator="equal">
      <formula>0</formula>
    </cfRule>
  </conditionalFormatting>
  <conditionalFormatting sqref="C691">
    <cfRule type="cellIs" dxfId="1" priority="1618" operator="equal">
      <formula>0</formula>
    </cfRule>
  </conditionalFormatting>
  <conditionalFormatting sqref="C693">
    <cfRule type="expression" dxfId="0" priority="1620">
      <formula>C694=0</formula>
    </cfRule>
  </conditionalFormatting>
  <conditionalFormatting sqref="C694">
    <cfRule type="cellIs" dxfId="1" priority="1622" operator="equal">
      <formula>0</formula>
    </cfRule>
  </conditionalFormatting>
  <conditionalFormatting sqref="C695">
    <cfRule type="cellIs" dxfId="1" priority="1624" operator="equal">
      <formula>0</formula>
    </cfRule>
  </conditionalFormatting>
  <conditionalFormatting sqref="C697">
    <cfRule type="expression" dxfId="0" priority="1626">
      <formula>C698=0</formula>
    </cfRule>
  </conditionalFormatting>
  <conditionalFormatting sqref="C698">
    <cfRule type="cellIs" dxfId="1" priority="1628" operator="equal">
      <formula>0</formula>
    </cfRule>
  </conditionalFormatting>
  <conditionalFormatting sqref="C699">
    <cfRule type="cellIs" dxfId="1" priority="1630" operator="equal">
      <formula>0</formula>
    </cfRule>
  </conditionalFormatting>
  <conditionalFormatting sqref="C70">
    <cfRule type="cellIs" dxfId="1" priority="114" operator="equal">
      <formula>0</formula>
    </cfRule>
  </conditionalFormatting>
  <conditionalFormatting sqref="C707">
    <cfRule type="expression" dxfId="0" priority="1632">
      <formula>C708=0</formula>
    </cfRule>
  </conditionalFormatting>
  <conditionalFormatting sqref="C708">
    <cfRule type="cellIs" dxfId="1" priority="1640" operator="equal">
      <formula>0</formula>
    </cfRule>
  </conditionalFormatting>
  <conditionalFormatting sqref="C71">
    <cfRule type="cellIs" dxfId="1" priority="116" operator="equal">
      <formula>0</formula>
    </cfRule>
  </conditionalFormatting>
  <conditionalFormatting sqref="C710">
    <cfRule type="cellIs" dxfId="1" priority="1653" operator="equal">
      <formula>0</formula>
    </cfRule>
  </conditionalFormatting>
  <conditionalFormatting sqref="C711">
    <cfRule type="cellIs" dxfId="1" priority="1658" operator="equal">
      <formula>0</formula>
    </cfRule>
  </conditionalFormatting>
  <conditionalFormatting sqref="C712">
    <cfRule type="cellIs" dxfId="1" priority="1664" operator="equal">
      <formula>0</formula>
    </cfRule>
  </conditionalFormatting>
  <conditionalFormatting sqref="C713">
    <cfRule type="cellIs" dxfId="1" priority="1670" operator="equal">
      <formula>0</formula>
    </cfRule>
  </conditionalFormatting>
  <conditionalFormatting sqref="C714">
    <cfRule type="cellIs" dxfId="1" priority="1675" operator="equal">
      <formula>0</formula>
    </cfRule>
  </conditionalFormatting>
  <conditionalFormatting sqref="C715">
    <cfRule type="cellIs" dxfId="1" priority="1681" operator="equal">
      <formula>0</formula>
    </cfRule>
  </conditionalFormatting>
  <conditionalFormatting sqref="C716">
    <cfRule type="cellIs" dxfId="1" priority="1686" operator="equal">
      <formula>0</formula>
    </cfRule>
  </conditionalFormatting>
  <conditionalFormatting sqref="C717">
    <cfRule type="cellIs" dxfId="1" priority="1691" operator="equal">
      <formula>0</formula>
    </cfRule>
  </conditionalFormatting>
  <conditionalFormatting sqref="C718">
    <cfRule type="cellIs" dxfId="1" priority="1695" operator="equal">
      <formula>0</formula>
    </cfRule>
  </conditionalFormatting>
  <conditionalFormatting sqref="C719">
    <cfRule type="cellIs" dxfId="1" priority="1700" operator="equal">
      <formula>0</formula>
    </cfRule>
  </conditionalFormatting>
  <conditionalFormatting sqref="C720">
    <cfRule type="cellIs" dxfId="1" priority="1704" operator="equal">
      <formula>0</formula>
    </cfRule>
  </conditionalFormatting>
  <conditionalFormatting sqref="C721">
    <cfRule type="cellIs" dxfId="1" priority="1708" operator="equal">
      <formula>0</formula>
    </cfRule>
  </conditionalFormatting>
  <conditionalFormatting sqref="C722">
    <cfRule type="cellIs" dxfId="1" priority="1713" operator="equal">
      <formula>0</formula>
    </cfRule>
  </conditionalFormatting>
  <conditionalFormatting sqref="C724">
    <cfRule type="expression" dxfId="0" priority="1717">
      <formula>C725=0</formula>
    </cfRule>
  </conditionalFormatting>
  <conditionalFormatting sqref="C725">
    <cfRule type="cellIs" dxfId="1" priority="1722" operator="equal">
      <formula>0</formula>
    </cfRule>
  </conditionalFormatting>
  <conditionalFormatting sqref="C726">
    <cfRule type="cellIs" dxfId="1" priority="1727" operator="equal">
      <formula>0</formula>
    </cfRule>
  </conditionalFormatting>
  <conditionalFormatting sqref="C730">
    <cfRule type="cellIs" dxfId="1" priority="1733" operator="equal">
      <formula>0</formula>
    </cfRule>
  </conditionalFormatting>
  <conditionalFormatting sqref="C731">
    <cfRule type="cellIs" dxfId="1" priority="1735" operator="equal">
      <formula>0</formula>
    </cfRule>
  </conditionalFormatting>
  <conditionalFormatting sqref="C732">
    <cfRule type="cellIs" dxfId="1" priority="1737" operator="equal">
      <formula>0</formula>
    </cfRule>
  </conditionalFormatting>
  <conditionalFormatting sqref="C733">
    <cfRule type="cellIs" dxfId="1" priority="1740" operator="equal">
      <formula>0</formula>
    </cfRule>
  </conditionalFormatting>
  <conditionalFormatting sqref="C734">
    <cfRule type="cellIs" dxfId="1" priority="1742" operator="equal">
      <formula>0</formula>
    </cfRule>
  </conditionalFormatting>
  <conditionalFormatting sqref="C736">
    <cfRule type="cellIs" dxfId="1" priority="1746" operator="equal">
      <formula>0</formula>
    </cfRule>
  </conditionalFormatting>
  <conditionalFormatting sqref="C739">
    <cfRule type="cellIs" dxfId="1" priority="1752" operator="equal">
      <formula>0</formula>
    </cfRule>
  </conditionalFormatting>
  <conditionalFormatting sqref="C741">
    <cfRule type="expression" dxfId="0" priority="1754">
      <formula>C742=0</formula>
    </cfRule>
  </conditionalFormatting>
  <conditionalFormatting sqref="C742">
    <cfRule type="cellIs" dxfId="1" priority="1762" operator="equal">
      <formula>0</formula>
    </cfRule>
  </conditionalFormatting>
  <conditionalFormatting sqref="C743">
    <cfRule type="cellIs" dxfId="1" priority="1770" operator="equal">
      <formula>0</formula>
    </cfRule>
  </conditionalFormatting>
  <conditionalFormatting sqref="C753">
    <cfRule type="cellIs" dxfId="1" priority="1787" operator="equal">
      <formula>0</formula>
    </cfRule>
  </conditionalFormatting>
  <conditionalFormatting sqref="C755">
    <cfRule type="cellIs" dxfId="1" priority="1789" operator="equal">
      <formula>0</formula>
    </cfRule>
  </conditionalFormatting>
  <conditionalFormatting sqref="C758">
    <cfRule type="expression" dxfId="0" priority="1793">
      <formula>C759=0</formula>
    </cfRule>
  </conditionalFormatting>
  <conditionalFormatting sqref="C759">
    <cfRule type="cellIs" dxfId="1" priority="1798" operator="equal">
      <formula>0</formula>
    </cfRule>
  </conditionalFormatting>
  <conditionalFormatting sqref="C760">
    <cfRule type="cellIs" dxfId="1" priority="1803" operator="equal">
      <formula>0</formula>
    </cfRule>
  </conditionalFormatting>
  <conditionalFormatting sqref="C764">
    <cfRule type="cellIs" dxfId="1" priority="1810" operator="equal">
      <formula>0</formula>
    </cfRule>
  </conditionalFormatting>
  <conditionalFormatting sqref="C765">
    <cfRule type="cellIs" dxfId="1" priority="1811" operator="equal">
      <formula>0</formula>
    </cfRule>
  </conditionalFormatting>
  <conditionalFormatting sqref="C766">
    <cfRule type="cellIs" dxfId="1" priority="1812" operator="equal">
      <formula>0</formula>
    </cfRule>
  </conditionalFormatting>
  <conditionalFormatting sqref="C768">
    <cfRule type="cellIs" dxfId="1" priority="1815" operator="equal">
      <formula>0</formula>
    </cfRule>
  </conditionalFormatting>
  <conditionalFormatting sqref="C770">
    <cfRule type="cellIs" dxfId="1" priority="1818" operator="equal">
      <formula>0</formula>
    </cfRule>
  </conditionalFormatting>
  <conditionalFormatting sqref="C781">
    <cfRule type="expression" dxfId="0" priority="1825">
      <formula>C782=0</formula>
    </cfRule>
  </conditionalFormatting>
  <conditionalFormatting sqref="C782">
    <cfRule type="cellIs" dxfId="1" priority="1831" operator="equal">
      <formula>0</formula>
    </cfRule>
  </conditionalFormatting>
  <conditionalFormatting sqref="C783">
    <cfRule type="cellIs" dxfId="1" priority="1837" operator="equal">
      <formula>0</formula>
    </cfRule>
  </conditionalFormatting>
  <conditionalFormatting sqref="C784">
    <cfRule type="cellIs" dxfId="1" priority="1842" operator="equal">
      <formula>0</formula>
    </cfRule>
  </conditionalFormatting>
  <conditionalFormatting sqref="C785">
    <cfRule type="cellIs" dxfId="1" priority="1846" operator="equal">
      <formula>0</formula>
    </cfRule>
  </conditionalFormatting>
  <conditionalFormatting sqref="C786">
    <cfRule type="cellIs" dxfId="1" priority="1851" operator="equal">
      <formula>0</formula>
    </cfRule>
  </conditionalFormatting>
  <conditionalFormatting sqref="C787">
    <cfRule type="cellIs" dxfId="1" priority="1856" operator="equal">
      <formula>0</formula>
    </cfRule>
  </conditionalFormatting>
  <conditionalFormatting sqref="C788">
    <cfRule type="cellIs" dxfId="1" priority="1860" operator="equal">
      <formula>0</formula>
    </cfRule>
  </conditionalFormatting>
  <conditionalFormatting sqref="C789">
    <cfRule type="cellIs" dxfId="1" priority="1865" operator="equal">
      <formula>0</formula>
    </cfRule>
  </conditionalFormatting>
  <conditionalFormatting sqref="C79">
    <cfRule type="expression" dxfId="0" priority="118">
      <formula>C80=0</formula>
    </cfRule>
  </conditionalFormatting>
  <conditionalFormatting sqref="C790">
    <cfRule type="cellIs" dxfId="1" priority="1870" operator="equal">
      <formula>0</formula>
    </cfRule>
  </conditionalFormatting>
  <conditionalFormatting sqref="C792">
    <cfRule type="expression" dxfId="0" priority="1874">
      <formula>C793=0</formula>
    </cfRule>
  </conditionalFormatting>
  <conditionalFormatting sqref="C793">
    <cfRule type="cellIs" dxfId="1" priority="1878" operator="equal">
      <formula>0</formula>
    </cfRule>
  </conditionalFormatting>
  <conditionalFormatting sqref="C794">
    <cfRule type="cellIs" dxfId="1" priority="1882" operator="equal">
      <formula>0</formula>
    </cfRule>
  </conditionalFormatting>
  <conditionalFormatting sqref="C795">
    <cfRule type="cellIs" dxfId="1" priority="1884" operator="equal">
      <formula>0</formula>
    </cfRule>
  </conditionalFormatting>
  <conditionalFormatting sqref="C797">
    <cfRule type="cellIs" dxfId="1" priority="1888" operator="equal">
      <formula>0</formula>
    </cfRule>
  </conditionalFormatting>
  <conditionalFormatting sqref="C798">
    <cfRule type="cellIs" dxfId="1" priority="1890" operator="equal">
      <formula>0</formula>
    </cfRule>
  </conditionalFormatting>
  <conditionalFormatting sqref="C799">
    <cfRule type="cellIs" dxfId="1" priority="1892" operator="equal">
      <formula>0</formula>
    </cfRule>
  </conditionalFormatting>
  <conditionalFormatting sqref="C80">
    <cfRule type="cellIs" dxfId="1" priority="124" operator="equal">
      <formula>0</formula>
    </cfRule>
  </conditionalFormatting>
  <conditionalFormatting sqref="C803">
    <cfRule type="expression" dxfId="0" priority="1897">
      <formula>C804=0</formula>
    </cfRule>
  </conditionalFormatting>
  <conditionalFormatting sqref="C804">
    <cfRule type="cellIs" dxfId="1" priority="1901" operator="equal">
      <formula>0</formula>
    </cfRule>
  </conditionalFormatting>
  <conditionalFormatting sqref="C805">
    <cfRule type="cellIs" dxfId="1" priority="1905" operator="equal">
      <formula>0</formula>
    </cfRule>
  </conditionalFormatting>
  <conditionalFormatting sqref="C806">
    <cfRule type="cellIs" dxfId="1" priority="1906" operator="equal">
      <formula>0</formula>
    </cfRule>
  </conditionalFormatting>
  <conditionalFormatting sqref="C807">
    <cfRule type="cellIs" dxfId="1" priority="1907" operator="equal">
      <formula>0</formula>
    </cfRule>
  </conditionalFormatting>
  <conditionalFormatting sqref="C808">
    <cfRule type="cellIs" dxfId="1" priority="1910" operator="equal">
      <formula>0</formula>
    </cfRule>
  </conditionalFormatting>
  <conditionalFormatting sqref="C81">
    <cfRule type="cellIs" dxfId="1" priority="130" operator="equal">
      <formula>0</formula>
    </cfRule>
  </conditionalFormatting>
  <conditionalFormatting sqref="C810">
    <cfRule type="cellIs" dxfId="1" priority="1913" operator="equal">
      <formula>0</formula>
    </cfRule>
  </conditionalFormatting>
  <conditionalFormatting sqref="C812">
    <cfRule type="cellIs" dxfId="1" priority="1915" operator="equal">
      <formula>0</formula>
    </cfRule>
  </conditionalFormatting>
  <conditionalFormatting sqref="C814">
    <cfRule type="expression" dxfId="0" priority="1917">
      <formula>C815=0</formula>
    </cfRule>
  </conditionalFormatting>
  <conditionalFormatting sqref="C815">
    <cfRule type="cellIs" dxfId="1" priority="1921" operator="equal">
      <formula>0</formula>
    </cfRule>
  </conditionalFormatting>
  <conditionalFormatting sqref="C816">
    <cfRule type="cellIs" dxfId="1" priority="1925" operator="equal">
      <formula>0</formula>
    </cfRule>
  </conditionalFormatting>
  <conditionalFormatting sqref="C82">
    <cfRule type="cellIs" dxfId="1" priority="136" operator="equal">
      <formula>0</formula>
    </cfRule>
  </conditionalFormatting>
  <conditionalFormatting sqref="C820">
    <cfRule type="cellIs" dxfId="1" priority="1930" operator="equal">
      <formula>0</formula>
    </cfRule>
  </conditionalFormatting>
  <conditionalFormatting sqref="C821">
    <cfRule type="cellIs" dxfId="1" priority="1931" operator="equal">
      <formula>0</formula>
    </cfRule>
  </conditionalFormatting>
  <conditionalFormatting sqref="C831">
    <cfRule type="expression" dxfId="0" priority="1936">
      <formula>C832=0</formula>
    </cfRule>
  </conditionalFormatting>
  <conditionalFormatting sqref="C832">
    <cfRule type="cellIs" dxfId="1" priority="1942" operator="equal">
      <formula>0</formula>
    </cfRule>
  </conditionalFormatting>
  <conditionalFormatting sqref="C833">
    <cfRule type="cellIs" dxfId="1" priority="1948" operator="equal">
      <formula>0</formula>
    </cfRule>
  </conditionalFormatting>
  <conditionalFormatting sqref="C834">
    <cfRule type="cellIs" dxfId="1" priority="1953" operator="equal">
      <formula>0</formula>
    </cfRule>
  </conditionalFormatting>
  <conditionalFormatting sqref="C835">
    <cfRule type="cellIs" dxfId="1" priority="1958" operator="equal">
      <formula>0</formula>
    </cfRule>
  </conditionalFormatting>
  <conditionalFormatting sqref="C836">
    <cfRule type="cellIs" dxfId="1" priority="1963" operator="equal">
      <formula>0</formula>
    </cfRule>
  </conditionalFormatting>
  <conditionalFormatting sqref="C837">
    <cfRule type="cellIs" dxfId="1" priority="1968" operator="equal">
      <formula>0</formula>
    </cfRule>
  </conditionalFormatting>
  <conditionalFormatting sqref="C838">
    <cfRule type="cellIs" dxfId="1" priority="1973" operator="equal">
      <formula>0</formula>
    </cfRule>
  </conditionalFormatting>
  <conditionalFormatting sqref="C839">
    <cfRule type="cellIs" dxfId="1" priority="1978" operator="equal">
      <formula>0</formula>
    </cfRule>
  </conditionalFormatting>
  <conditionalFormatting sqref="C84">
    <cfRule type="expression" dxfId="0" priority="141">
      <formula>C85=0</formula>
    </cfRule>
  </conditionalFormatting>
  <conditionalFormatting sqref="C840">
    <cfRule type="cellIs" dxfId="1" priority="1983" operator="equal">
      <formula>0</formula>
    </cfRule>
  </conditionalFormatting>
  <conditionalFormatting sqref="C841">
    <cfRule type="cellIs" dxfId="1" priority="1988" operator="equal">
      <formula>0</formula>
    </cfRule>
  </conditionalFormatting>
  <conditionalFormatting sqref="C842">
    <cfRule type="cellIs" dxfId="1" priority="1994" operator="equal">
      <formula>0</formula>
    </cfRule>
  </conditionalFormatting>
  <conditionalFormatting sqref="C843">
    <cfRule type="cellIs" dxfId="1" priority="1999" operator="equal">
      <formula>0</formula>
    </cfRule>
  </conditionalFormatting>
  <conditionalFormatting sqref="C845">
    <cfRule type="expression" dxfId="0" priority="2005">
      <formula>C846=0</formula>
    </cfRule>
  </conditionalFormatting>
  <conditionalFormatting sqref="C846">
    <cfRule type="cellIs" dxfId="1" priority="2009" operator="equal">
      <formula>0</formula>
    </cfRule>
  </conditionalFormatting>
  <conditionalFormatting sqref="C847">
    <cfRule type="cellIs" dxfId="1" priority="2013" operator="equal">
      <formula>0</formula>
    </cfRule>
  </conditionalFormatting>
  <conditionalFormatting sqref="C848">
    <cfRule type="cellIs" dxfId="1" priority="2015" operator="equal">
      <formula>0</formula>
    </cfRule>
  </conditionalFormatting>
  <conditionalFormatting sqref="C849">
    <cfRule type="cellIs" dxfId="1" priority="2017" operator="equal">
      <formula>0</formula>
    </cfRule>
  </conditionalFormatting>
  <conditionalFormatting sqref="C85">
    <cfRule type="cellIs" dxfId="1" priority="144" operator="equal">
      <formula>0</formula>
    </cfRule>
  </conditionalFormatting>
  <conditionalFormatting sqref="C850">
    <cfRule type="cellIs" dxfId="1" priority="2019" operator="equal">
      <formula>0</formula>
    </cfRule>
  </conditionalFormatting>
  <conditionalFormatting sqref="C851">
    <cfRule type="cellIs" dxfId="1" priority="2021" operator="equal">
      <formula>0</formula>
    </cfRule>
  </conditionalFormatting>
  <conditionalFormatting sqref="C852">
    <cfRule type="cellIs" dxfId="1" priority="2023" operator="equal">
      <formula>0</formula>
    </cfRule>
  </conditionalFormatting>
  <conditionalFormatting sqref="C853">
    <cfRule type="cellIs" dxfId="1" priority="2026" operator="equal">
      <formula>0</formula>
    </cfRule>
  </conditionalFormatting>
  <conditionalFormatting sqref="C854">
    <cfRule type="cellIs" dxfId="1" priority="2028" operator="equal">
      <formula>0</formula>
    </cfRule>
  </conditionalFormatting>
  <conditionalFormatting sqref="C855">
    <cfRule type="cellIs" dxfId="1" priority="2030" operator="equal">
      <formula>0</formula>
    </cfRule>
  </conditionalFormatting>
  <conditionalFormatting sqref="C856">
    <cfRule type="cellIs" dxfId="1" priority="2032" operator="equal">
      <formula>0</formula>
    </cfRule>
  </conditionalFormatting>
  <conditionalFormatting sqref="C857">
    <cfRule type="cellIs" dxfId="1" priority="2034" operator="equal">
      <formula>0</formula>
    </cfRule>
  </conditionalFormatting>
  <conditionalFormatting sqref="C859">
    <cfRule type="expression" dxfId="0" priority="2036">
      <formula>C860=0</formula>
    </cfRule>
  </conditionalFormatting>
  <conditionalFormatting sqref="C86">
    <cfRule type="cellIs" dxfId="1" priority="147" operator="equal">
      <formula>0</formula>
    </cfRule>
  </conditionalFormatting>
  <conditionalFormatting sqref="C860">
    <cfRule type="cellIs" dxfId="1" priority="2043" operator="equal">
      <formula>0</formula>
    </cfRule>
  </conditionalFormatting>
  <conditionalFormatting sqref="C861">
    <cfRule type="cellIs" dxfId="1" priority="2050" operator="equal">
      <formula>0</formula>
    </cfRule>
  </conditionalFormatting>
  <conditionalFormatting sqref="C865">
    <cfRule type="cellIs" dxfId="1" priority="2057" operator="equal">
      <formula>0</formula>
    </cfRule>
  </conditionalFormatting>
  <conditionalFormatting sqref="C869">
    <cfRule type="cellIs" dxfId="1" priority="2066" operator="equal">
      <formula>0</formula>
    </cfRule>
  </conditionalFormatting>
  <conditionalFormatting sqref="C873">
    <cfRule type="expression" dxfId="0" priority="2072">
      <formula>C874=0</formula>
    </cfRule>
  </conditionalFormatting>
  <conditionalFormatting sqref="C874">
    <cfRule type="cellIs" dxfId="1" priority="2074" operator="equal">
      <formula>0</formula>
    </cfRule>
  </conditionalFormatting>
  <conditionalFormatting sqref="C875">
    <cfRule type="cellIs" dxfId="1" priority="2076" operator="equal">
      <formula>0</formula>
    </cfRule>
  </conditionalFormatting>
  <conditionalFormatting sqref="C876">
    <cfRule type="cellIs" dxfId="1" priority="2077" operator="equal">
      <formula>0</formula>
    </cfRule>
  </conditionalFormatting>
  <conditionalFormatting sqref="C877">
    <cfRule type="cellIs" dxfId="1" priority="2078" operator="equal">
      <formula>0</formula>
    </cfRule>
  </conditionalFormatting>
  <conditionalFormatting sqref="C878">
    <cfRule type="cellIs" dxfId="1" priority="2079" operator="equal">
      <formula>0</formula>
    </cfRule>
  </conditionalFormatting>
  <conditionalFormatting sqref="C879">
    <cfRule type="cellIs" dxfId="1" priority="2080" operator="equal">
      <formula>0</formula>
    </cfRule>
  </conditionalFormatting>
  <conditionalFormatting sqref="C881">
    <cfRule type="cellIs" dxfId="1" priority="2082" operator="equal">
      <formula>0</formula>
    </cfRule>
  </conditionalFormatting>
  <conditionalFormatting sqref="C882">
    <cfRule type="cellIs" dxfId="1" priority="2083" operator="equal">
      <formula>0</formula>
    </cfRule>
  </conditionalFormatting>
  <conditionalFormatting sqref="C884">
    <cfRule type="cellIs" dxfId="1" priority="2085" operator="equal">
      <formula>0</formula>
    </cfRule>
  </conditionalFormatting>
  <conditionalFormatting sqref="C885">
    <cfRule type="cellIs" dxfId="1" priority="2086" operator="equal">
      <formula>0</formula>
    </cfRule>
  </conditionalFormatting>
  <conditionalFormatting sqref="C89">
    <cfRule type="expression" dxfId="0" priority="151">
      <formula>C90=0</formula>
    </cfRule>
  </conditionalFormatting>
  <conditionalFormatting sqref="C90">
    <cfRule type="cellIs" dxfId="1" priority="154" operator="equal">
      <formula>0</formula>
    </cfRule>
  </conditionalFormatting>
  <conditionalFormatting sqref="C91">
    <cfRule type="cellIs" dxfId="1" priority="157" operator="equal">
      <formula>0</formula>
    </cfRule>
  </conditionalFormatting>
  <conditionalFormatting sqref="C94">
    <cfRule type="expression" dxfId="0" priority="161">
      <formula>C95=0</formula>
    </cfRule>
  </conditionalFormatting>
  <conditionalFormatting sqref="C95">
    <cfRule type="cellIs" dxfId="1" priority="162" operator="equal">
      <formula>0</formula>
    </cfRule>
  </conditionalFormatting>
  <conditionalFormatting sqref="C96">
    <cfRule type="cellIs" dxfId="1" priority="163" operator="equal">
      <formula>0</formula>
    </cfRule>
  </conditionalFormatting>
  <conditionalFormatting sqref="C97">
    <cfRule type="cellIs" dxfId="1" priority="164" operator="equal">
      <formula>0</formula>
    </cfRule>
  </conditionalFormatting>
  <conditionalFormatting sqref="D105">
    <cfRule type="expression" dxfId="0" priority="166">
      <formula>D106=0</formula>
    </cfRule>
  </conditionalFormatting>
  <conditionalFormatting sqref="D106">
    <cfRule type="cellIs" dxfId="1" priority="172" operator="equal">
      <formula>0</formula>
    </cfRule>
  </conditionalFormatting>
  <conditionalFormatting sqref="D107">
    <cfRule type="cellIs" dxfId="1" priority="178" operator="equal">
      <formula>0</formula>
    </cfRule>
  </conditionalFormatting>
  <conditionalFormatting sqref="D108">
    <cfRule type="cellIs" dxfId="1" priority="182" operator="equal">
      <formula>0</formula>
    </cfRule>
  </conditionalFormatting>
  <conditionalFormatting sqref="D109">
    <cfRule type="cellIs" dxfId="1" priority="186" operator="equal">
      <formula>0</formula>
    </cfRule>
  </conditionalFormatting>
  <conditionalFormatting sqref="D110">
    <cfRule type="cellIs" dxfId="1" priority="191" operator="equal">
      <formula>0</formula>
    </cfRule>
  </conditionalFormatting>
  <conditionalFormatting sqref="D111">
    <cfRule type="cellIs" dxfId="1" priority="195" operator="equal">
      <formula>0</formula>
    </cfRule>
  </conditionalFormatting>
  <conditionalFormatting sqref="D112">
    <cfRule type="cellIs" dxfId="1" priority="199" operator="equal">
      <formula>0</formula>
    </cfRule>
  </conditionalFormatting>
  <conditionalFormatting sqref="D113">
    <cfRule type="cellIs" dxfId="1" priority="203" operator="equal">
      <formula>0</formula>
    </cfRule>
  </conditionalFormatting>
  <conditionalFormatting sqref="D114">
    <cfRule type="cellIs" dxfId="1" priority="208" operator="equal">
      <formula>0</formula>
    </cfRule>
  </conditionalFormatting>
  <conditionalFormatting sqref="D115">
    <cfRule type="cellIs" dxfId="1" priority="214" operator="equal">
      <formula>0</formula>
    </cfRule>
  </conditionalFormatting>
  <conditionalFormatting sqref="D117">
    <cfRule type="expression" dxfId="0" priority="218">
      <formula>D118=0</formula>
    </cfRule>
  </conditionalFormatting>
  <conditionalFormatting sqref="D118">
    <cfRule type="cellIs" dxfId="1" priority="222" operator="equal">
      <formula>0</formula>
    </cfRule>
  </conditionalFormatting>
  <conditionalFormatting sqref="D120">
    <cfRule type="cellIs" dxfId="1" priority="227" operator="equal">
      <formula>0</formula>
    </cfRule>
  </conditionalFormatting>
  <conditionalFormatting sqref="D122">
    <cfRule type="cellIs" dxfId="1" priority="231" operator="equal">
      <formula>0</formula>
    </cfRule>
  </conditionalFormatting>
  <conditionalFormatting sqref="D123">
    <cfRule type="cellIs" dxfId="1" priority="234" operator="equal">
      <formula>0</formula>
    </cfRule>
  </conditionalFormatting>
  <conditionalFormatting sqref="D124">
    <cfRule type="cellIs" dxfId="1" priority="236" operator="equal">
      <formula>0</formula>
    </cfRule>
  </conditionalFormatting>
  <conditionalFormatting sqref="D125">
    <cfRule type="cellIs" dxfId="1" priority="238" operator="equal">
      <formula>0</formula>
    </cfRule>
  </conditionalFormatting>
  <conditionalFormatting sqref="D126">
    <cfRule type="cellIs" dxfId="1" priority="239" operator="equal">
      <formula>0</formula>
    </cfRule>
  </conditionalFormatting>
  <conditionalFormatting sqref="D129">
    <cfRule type="expression" dxfId="0" priority="243">
      <formula>D130=0</formula>
    </cfRule>
  </conditionalFormatting>
  <conditionalFormatting sqref="D130">
    <cfRule type="cellIs" dxfId="1" priority="249" operator="equal">
      <formula>0</formula>
    </cfRule>
  </conditionalFormatting>
  <conditionalFormatting sqref="D131">
    <cfRule type="cellIs" dxfId="1" priority="255" operator="equal">
      <formula>0</formula>
    </cfRule>
  </conditionalFormatting>
  <conditionalFormatting sqref="D132">
    <cfRule type="cellIs" dxfId="1" priority="256" operator="equal">
      <formula>0</formula>
    </cfRule>
  </conditionalFormatting>
  <conditionalFormatting sqref="D133">
    <cfRule type="cellIs" dxfId="1" priority="260" operator="equal">
      <formula>0</formula>
    </cfRule>
  </conditionalFormatting>
  <conditionalFormatting sqref="D136">
    <cfRule type="cellIs" dxfId="1" priority="265" operator="equal">
      <formula>0</formula>
    </cfRule>
  </conditionalFormatting>
  <conditionalFormatting sqref="D139">
    <cfRule type="cellIs" dxfId="1" priority="270" operator="equal">
      <formula>0</formula>
    </cfRule>
  </conditionalFormatting>
  <conditionalFormatting sqref="D141">
    <cfRule type="expression" dxfId="0" priority="273">
      <formula>D142=0</formula>
    </cfRule>
  </conditionalFormatting>
  <conditionalFormatting sqref="D142">
    <cfRule type="cellIs" dxfId="1" priority="277" operator="equal">
      <formula>0</formula>
    </cfRule>
  </conditionalFormatting>
  <conditionalFormatting sqref="D143">
    <cfRule type="cellIs" dxfId="1" priority="281" operator="equal">
      <formula>0</formula>
    </cfRule>
  </conditionalFormatting>
  <conditionalFormatting sqref="D144">
    <cfRule type="cellIs" dxfId="1" priority="283" operator="equal">
      <formula>0</formula>
    </cfRule>
  </conditionalFormatting>
  <conditionalFormatting sqref="D149">
    <cfRule type="cellIs" dxfId="1" priority="291" operator="equal">
      <formula>0</formula>
    </cfRule>
  </conditionalFormatting>
  <conditionalFormatting sqref="D151">
    <cfRule type="cellIs" dxfId="1" priority="296" operator="equal">
      <formula>0</formula>
    </cfRule>
  </conditionalFormatting>
  <conditionalFormatting sqref="D159">
    <cfRule type="expression" dxfId="0" priority="298">
      <formula>D160=0</formula>
    </cfRule>
  </conditionalFormatting>
  <conditionalFormatting sqref="D160">
    <cfRule type="cellIs" dxfId="1" priority="303" operator="equal">
      <formula>0</formula>
    </cfRule>
  </conditionalFormatting>
  <conditionalFormatting sqref="D161">
    <cfRule type="cellIs" dxfId="1" priority="308" operator="equal">
      <formula>0</formula>
    </cfRule>
  </conditionalFormatting>
  <conditionalFormatting sqref="D163">
    <cfRule type="expression" dxfId="0" priority="313">
      <formula>D164=0</formula>
    </cfRule>
  </conditionalFormatting>
  <conditionalFormatting sqref="D164">
    <cfRule type="cellIs" dxfId="1" priority="315" operator="equal">
      <formula>0</formula>
    </cfRule>
  </conditionalFormatting>
  <conditionalFormatting sqref="D165">
    <cfRule type="cellIs" dxfId="1" priority="317" operator="equal">
      <formula>0</formula>
    </cfRule>
  </conditionalFormatting>
  <conditionalFormatting sqref="D167">
    <cfRule type="expression" dxfId="0" priority="319">
      <formula>D168=0</formula>
    </cfRule>
  </conditionalFormatting>
  <conditionalFormatting sqref="D168">
    <cfRule type="cellIs" dxfId="1" priority="322" operator="equal">
      <formula>0</formula>
    </cfRule>
  </conditionalFormatting>
  <conditionalFormatting sqref="D169">
    <cfRule type="cellIs" dxfId="1" priority="325" operator="equal">
      <formula>0</formula>
    </cfRule>
  </conditionalFormatting>
  <conditionalFormatting sqref="D181">
    <cfRule type="expression" dxfId="0" priority="331">
      <formula>D182=0</formula>
    </cfRule>
  </conditionalFormatting>
  <conditionalFormatting sqref="D182">
    <cfRule type="cellIs" dxfId="1" priority="337" operator="equal">
      <formula>0</formula>
    </cfRule>
  </conditionalFormatting>
  <conditionalFormatting sqref="D183">
    <cfRule type="cellIs" dxfId="1" priority="343" operator="equal">
      <formula>0</formula>
    </cfRule>
  </conditionalFormatting>
  <conditionalFormatting sqref="D184">
    <cfRule type="cellIs" dxfId="1" priority="348" operator="equal">
      <formula>0</formula>
    </cfRule>
  </conditionalFormatting>
  <conditionalFormatting sqref="D185">
    <cfRule type="cellIs" dxfId="1" priority="352" operator="equal">
      <formula>0</formula>
    </cfRule>
  </conditionalFormatting>
  <conditionalFormatting sqref="D186">
    <cfRule type="cellIs" dxfId="1" priority="357" operator="equal">
      <formula>0</formula>
    </cfRule>
  </conditionalFormatting>
  <conditionalFormatting sqref="D187">
    <cfRule type="cellIs" dxfId="1" priority="361" operator="equal">
      <formula>0</formula>
    </cfRule>
  </conditionalFormatting>
  <conditionalFormatting sqref="D189">
    <cfRule type="expression" dxfId="0" priority="366">
      <formula>D190=0</formula>
    </cfRule>
  </conditionalFormatting>
  <conditionalFormatting sqref="D190">
    <cfRule type="cellIs" dxfId="1" priority="370" operator="equal">
      <formula>0</formula>
    </cfRule>
  </conditionalFormatting>
  <conditionalFormatting sqref="D191">
    <cfRule type="cellIs" dxfId="1" priority="374" operator="equal">
      <formula>0</formula>
    </cfRule>
  </conditionalFormatting>
  <conditionalFormatting sqref="D192">
    <cfRule type="cellIs" dxfId="1" priority="376" operator="equal">
      <formula>0</formula>
    </cfRule>
  </conditionalFormatting>
  <conditionalFormatting sqref="D194">
    <cfRule type="cellIs" dxfId="1" priority="379" operator="equal">
      <formula>0</formula>
    </cfRule>
  </conditionalFormatting>
  <conditionalFormatting sqref="D197">
    <cfRule type="expression" dxfId="0" priority="383">
      <formula>D198=0</formula>
    </cfRule>
  </conditionalFormatting>
  <conditionalFormatting sqref="D198">
    <cfRule type="cellIs" dxfId="1" priority="386" operator="equal">
      <formula>0</formula>
    </cfRule>
  </conditionalFormatting>
  <conditionalFormatting sqref="D199">
    <cfRule type="cellIs" dxfId="1" priority="389" operator="equal">
      <formula>0</formula>
    </cfRule>
  </conditionalFormatting>
  <conditionalFormatting sqref="D200">
    <cfRule type="cellIs" dxfId="1" priority="391" operator="equal">
      <formula>0</formula>
    </cfRule>
  </conditionalFormatting>
  <conditionalFormatting sqref="D201">
    <cfRule type="cellIs" dxfId="1" priority="393" operator="equal">
      <formula>0</formula>
    </cfRule>
  </conditionalFormatting>
  <conditionalFormatting sqref="D202">
    <cfRule type="cellIs" dxfId="1" priority="396" operator="equal">
      <formula>0</formula>
    </cfRule>
  </conditionalFormatting>
  <conditionalFormatting sqref="D203">
    <cfRule type="cellIs" dxfId="1" priority="398" operator="equal">
      <formula>0</formula>
    </cfRule>
  </conditionalFormatting>
  <conditionalFormatting sqref="D205">
    <cfRule type="expression" dxfId="0" priority="401">
      <formula>D206=0</formula>
    </cfRule>
  </conditionalFormatting>
  <conditionalFormatting sqref="D206">
    <cfRule type="cellIs" dxfId="1" priority="403" operator="equal">
      <formula>0</formula>
    </cfRule>
  </conditionalFormatting>
  <conditionalFormatting sqref="D209">
    <cfRule type="cellIs" dxfId="1" priority="407" operator="equal">
      <formula>0</formula>
    </cfRule>
  </conditionalFormatting>
  <conditionalFormatting sqref="D211">
    <cfRule type="cellIs" dxfId="1" priority="410" operator="equal">
      <formula>0</formula>
    </cfRule>
  </conditionalFormatting>
  <conditionalFormatting sqref="D219">
    <cfRule type="expression" dxfId="0" priority="412">
      <formula>D220=0</formula>
    </cfRule>
  </conditionalFormatting>
  <conditionalFormatting sqref="D220">
    <cfRule type="cellIs" dxfId="1" priority="420" operator="equal">
      <formula>0</formula>
    </cfRule>
  </conditionalFormatting>
  <conditionalFormatting sqref="D221">
    <cfRule type="cellIs" dxfId="1" priority="428" operator="equal">
      <formula>0</formula>
    </cfRule>
  </conditionalFormatting>
  <conditionalFormatting sqref="D222">
    <cfRule type="cellIs" dxfId="1" priority="432" operator="equal">
      <formula>0</formula>
    </cfRule>
  </conditionalFormatting>
  <conditionalFormatting sqref="D223">
    <cfRule type="cellIs" dxfId="1" priority="436" operator="equal">
      <formula>0</formula>
    </cfRule>
  </conditionalFormatting>
  <conditionalFormatting sqref="D224">
    <cfRule type="cellIs" dxfId="1" priority="440" operator="equal">
      <formula>0</formula>
    </cfRule>
  </conditionalFormatting>
  <conditionalFormatting sqref="D225">
    <cfRule type="cellIs" dxfId="1" priority="444" operator="equal">
      <formula>0</formula>
    </cfRule>
  </conditionalFormatting>
  <conditionalFormatting sqref="D226">
    <cfRule type="cellIs" dxfId="1" priority="449" operator="equal">
      <formula>0</formula>
    </cfRule>
  </conditionalFormatting>
  <conditionalFormatting sqref="D227">
    <cfRule type="cellIs" dxfId="1" priority="453" operator="equal">
      <formula>0</formula>
    </cfRule>
  </conditionalFormatting>
  <conditionalFormatting sqref="D228">
    <cfRule type="cellIs" dxfId="1" priority="458" operator="equal">
      <formula>0</formula>
    </cfRule>
  </conditionalFormatting>
  <conditionalFormatting sqref="D229">
    <cfRule type="cellIs" dxfId="1" priority="463" operator="equal">
      <formula>0</formula>
    </cfRule>
  </conditionalFormatting>
  <conditionalFormatting sqref="D230">
    <cfRule type="cellIs" dxfId="1" priority="468" operator="equal">
      <formula>0</formula>
    </cfRule>
  </conditionalFormatting>
  <conditionalFormatting sqref="D231">
    <cfRule type="cellIs" dxfId="1" priority="472" operator="equal">
      <formula>0</formula>
    </cfRule>
  </conditionalFormatting>
  <conditionalFormatting sqref="D232">
    <cfRule type="cellIs" dxfId="1" priority="476" operator="equal">
      <formula>0</formula>
    </cfRule>
  </conditionalFormatting>
  <conditionalFormatting sqref="D233">
    <cfRule type="cellIs" dxfId="1" priority="480" operator="equal">
      <formula>0</formula>
    </cfRule>
  </conditionalFormatting>
  <conditionalFormatting sqref="D234">
    <cfRule type="cellIs" dxfId="1" priority="485" operator="equal">
      <formula>0</formula>
    </cfRule>
  </conditionalFormatting>
  <conditionalFormatting sqref="D235">
    <cfRule type="cellIs" dxfId="1" priority="491" operator="equal">
      <formula>0</formula>
    </cfRule>
  </conditionalFormatting>
  <conditionalFormatting sqref="D236">
    <cfRule type="cellIs" dxfId="1" priority="496" operator="equal">
      <formula>0</formula>
    </cfRule>
  </conditionalFormatting>
  <conditionalFormatting sqref="D238">
    <cfRule type="expression" dxfId="0" priority="502">
      <formula>D239=0</formula>
    </cfRule>
  </conditionalFormatting>
  <conditionalFormatting sqref="D239">
    <cfRule type="cellIs" dxfId="1" priority="507" operator="equal">
      <formula>0</formula>
    </cfRule>
  </conditionalFormatting>
  <conditionalFormatting sqref="D240">
    <cfRule type="cellIs" dxfId="1" priority="512" operator="equal">
      <formula>0</formula>
    </cfRule>
  </conditionalFormatting>
  <conditionalFormatting sqref="D241">
    <cfRule type="cellIs" dxfId="1" priority="513" operator="equal">
      <formula>0</formula>
    </cfRule>
  </conditionalFormatting>
  <conditionalFormatting sqref="D246">
    <cfRule type="cellIs" dxfId="1" priority="522" operator="equal">
      <formula>0</formula>
    </cfRule>
  </conditionalFormatting>
  <conditionalFormatting sqref="D247">
    <cfRule type="cellIs" dxfId="1" priority="524" operator="equal">
      <formula>0</formula>
    </cfRule>
  </conditionalFormatting>
  <conditionalFormatting sqref="D249">
    <cfRule type="cellIs" dxfId="1" priority="529" operator="equal">
      <formula>0</formula>
    </cfRule>
  </conditionalFormatting>
  <conditionalFormatting sqref="D257">
    <cfRule type="expression" dxfId="0" priority="542">
      <formula>D258=0</formula>
    </cfRule>
  </conditionalFormatting>
  <conditionalFormatting sqref="D258">
    <cfRule type="cellIs" dxfId="1" priority="550" operator="equal">
      <formula>0</formula>
    </cfRule>
  </conditionalFormatting>
  <conditionalFormatting sqref="D260">
    <cfRule type="cellIs" dxfId="1" priority="558" operator="equal">
      <formula>0</formula>
    </cfRule>
  </conditionalFormatting>
  <conditionalFormatting sqref="D276">
    <cfRule type="expression" dxfId="0" priority="590">
      <formula>D277=0</formula>
    </cfRule>
  </conditionalFormatting>
  <conditionalFormatting sqref="D277">
    <cfRule type="cellIs" dxfId="1" priority="595" operator="equal">
      <formula>0</formula>
    </cfRule>
  </conditionalFormatting>
  <conditionalFormatting sqref="D279">
    <cfRule type="cellIs" dxfId="1" priority="600" operator="equal">
      <formula>0</formula>
    </cfRule>
  </conditionalFormatting>
  <conditionalFormatting sqref="D29">
    <cfRule type="expression" dxfId="0" priority="2">
      <formula>D30=0</formula>
    </cfRule>
  </conditionalFormatting>
  <conditionalFormatting sqref="D30">
    <cfRule type="cellIs" dxfId="1" priority="8" operator="equal">
      <formula>0</formula>
    </cfRule>
  </conditionalFormatting>
  <conditionalFormatting sqref="D301">
    <cfRule type="expression" dxfId="0" priority="627">
      <formula>D302=0</formula>
    </cfRule>
  </conditionalFormatting>
  <conditionalFormatting sqref="D302">
    <cfRule type="cellIs" dxfId="1" priority="635" operator="equal">
      <formula>0</formula>
    </cfRule>
  </conditionalFormatting>
  <conditionalFormatting sqref="D303">
    <cfRule type="cellIs" dxfId="1" priority="643" operator="equal">
      <formula>0</formula>
    </cfRule>
  </conditionalFormatting>
  <conditionalFormatting sqref="D304">
    <cfRule type="cellIs" dxfId="1" priority="648" operator="equal">
      <formula>0</formula>
    </cfRule>
  </conditionalFormatting>
  <conditionalFormatting sqref="D305">
    <cfRule type="cellIs" dxfId="1" priority="654" operator="equal">
      <formula>0</formula>
    </cfRule>
  </conditionalFormatting>
  <conditionalFormatting sqref="D306">
    <cfRule type="cellIs" dxfId="1" priority="659" operator="equal">
      <formula>0</formula>
    </cfRule>
  </conditionalFormatting>
  <conditionalFormatting sqref="D307">
    <cfRule type="cellIs" dxfId="1" priority="664" operator="equal">
      <formula>0</formula>
    </cfRule>
  </conditionalFormatting>
  <conditionalFormatting sqref="D308">
    <cfRule type="cellIs" dxfId="1" priority="669" operator="equal">
      <formula>0</formula>
    </cfRule>
  </conditionalFormatting>
  <conditionalFormatting sqref="D309">
    <cfRule type="cellIs" dxfId="1" priority="673" operator="equal">
      <formula>0</formula>
    </cfRule>
  </conditionalFormatting>
  <conditionalFormatting sqref="D31">
    <cfRule type="cellIs" dxfId="1" priority="14" operator="equal">
      <formula>0</formula>
    </cfRule>
  </conditionalFormatting>
  <conditionalFormatting sqref="D310">
    <cfRule type="cellIs" dxfId="1" priority="678" operator="equal">
      <formula>0</formula>
    </cfRule>
  </conditionalFormatting>
  <conditionalFormatting sqref="D311">
    <cfRule type="cellIs" dxfId="1" priority="682" operator="equal">
      <formula>0</formula>
    </cfRule>
  </conditionalFormatting>
  <conditionalFormatting sqref="D312">
    <cfRule type="cellIs" dxfId="1" priority="688" operator="equal">
      <formula>0</formula>
    </cfRule>
  </conditionalFormatting>
  <conditionalFormatting sqref="D313">
    <cfRule type="cellIs" dxfId="1" priority="693" operator="equal">
      <formula>0</formula>
    </cfRule>
  </conditionalFormatting>
  <conditionalFormatting sqref="D314">
    <cfRule type="cellIs" dxfId="1" priority="697" operator="equal">
      <formula>0</formula>
    </cfRule>
  </conditionalFormatting>
  <conditionalFormatting sqref="D315">
    <cfRule type="cellIs" dxfId="1" priority="702" operator="equal">
      <formula>0</formula>
    </cfRule>
  </conditionalFormatting>
  <conditionalFormatting sqref="D316">
    <cfRule type="cellIs" dxfId="1" priority="707" operator="equal">
      <formula>0</formula>
    </cfRule>
  </conditionalFormatting>
  <conditionalFormatting sqref="D317">
    <cfRule type="cellIs" dxfId="1" priority="711" operator="equal">
      <formula>0</formula>
    </cfRule>
  </conditionalFormatting>
  <conditionalFormatting sqref="D318">
    <cfRule type="cellIs" dxfId="1" priority="717" operator="equal">
      <formula>0</formula>
    </cfRule>
  </conditionalFormatting>
  <conditionalFormatting sqref="D319">
    <cfRule type="cellIs" dxfId="1" priority="721" operator="equal">
      <formula>0</formula>
    </cfRule>
  </conditionalFormatting>
  <conditionalFormatting sqref="D32">
    <cfRule type="cellIs" dxfId="1" priority="20" operator="equal">
      <formula>0</formula>
    </cfRule>
  </conditionalFormatting>
  <conditionalFormatting sqref="D320">
    <cfRule type="cellIs" dxfId="1" priority="726" operator="equal">
      <formula>0</formula>
    </cfRule>
  </conditionalFormatting>
  <conditionalFormatting sqref="D321">
    <cfRule type="cellIs" dxfId="1" priority="731" operator="equal">
      <formula>0</formula>
    </cfRule>
  </conditionalFormatting>
  <conditionalFormatting sqref="D322">
    <cfRule type="cellIs" dxfId="1" priority="736" operator="equal">
      <formula>0</formula>
    </cfRule>
  </conditionalFormatting>
  <conditionalFormatting sqref="D323">
    <cfRule type="cellIs" dxfId="1" priority="741" operator="equal">
      <formula>0</formula>
    </cfRule>
  </conditionalFormatting>
  <conditionalFormatting sqref="D324">
    <cfRule type="cellIs" dxfId="1" priority="745" operator="equal">
      <formula>0</formula>
    </cfRule>
  </conditionalFormatting>
  <conditionalFormatting sqref="D325">
    <cfRule type="cellIs" dxfId="1" priority="750" operator="equal">
      <formula>0</formula>
    </cfRule>
  </conditionalFormatting>
  <conditionalFormatting sqref="D326">
    <cfRule type="cellIs" dxfId="1" priority="754" operator="equal">
      <formula>0</formula>
    </cfRule>
  </conditionalFormatting>
  <conditionalFormatting sqref="D327">
    <cfRule type="cellIs" dxfId="1" priority="757" operator="equal">
      <formula>0</formula>
    </cfRule>
  </conditionalFormatting>
  <conditionalFormatting sqref="D329">
    <cfRule type="expression" dxfId="0" priority="763">
      <formula>D330=0</formula>
    </cfRule>
  </conditionalFormatting>
  <conditionalFormatting sqref="D33">
    <cfRule type="cellIs" dxfId="1" priority="25" operator="equal">
      <formula>0</formula>
    </cfRule>
  </conditionalFormatting>
  <conditionalFormatting sqref="D330">
    <cfRule type="cellIs" dxfId="1" priority="768" operator="equal">
      <formula>0</formula>
    </cfRule>
  </conditionalFormatting>
  <conditionalFormatting sqref="D331">
    <cfRule type="cellIs" dxfId="1" priority="773" operator="equal">
      <formula>0</formula>
    </cfRule>
  </conditionalFormatting>
  <conditionalFormatting sqref="D332">
    <cfRule type="cellIs" dxfId="1" priority="775" operator="equal">
      <formula>0</formula>
    </cfRule>
  </conditionalFormatting>
  <conditionalFormatting sqref="D334">
    <cfRule type="cellIs" dxfId="1" priority="777" operator="equal">
      <formula>0</formula>
    </cfRule>
  </conditionalFormatting>
  <conditionalFormatting sqref="D335">
    <cfRule type="cellIs" dxfId="1" priority="780" operator="equal">
      <formula>0</formula>
    </cfRule>
  </conditionalFormatting>
  <conditionalFormatting sqref="D337">
    <cfRule type="cellIs" dxfId="1" priority="783" operator="equal">
      <formula>0</formula>
    </cfRule>
  </conditionalFormatting>
  <conditionalFormatting sqref="D338">
    <cfRule type="cellIs" dxfId="1" priority="785" operator="equal">
      <formula>0</formula>
    </cfRule>
  </conditionalFormatting>
  <conditionalFormatting sqref="D34">
    <cfRule type="cellIs" dxfId="1" priority="29" operator="equal">
      <formula>0</formula>
    </cfRule>
  </conditionalFormatting>
  <conditionalFormatting sqref="D340">
    <cfRule type="cellIs" dxfId="1" priority="789" operator="equal">
      <formula>0</formula>
    </cfRule>
  </conditionalFormatting>
  <conditionalFormatting sqref="D342">
    <cfRule type="cellIs" dxfId="1" priority="792" operator="equal">
      <formula>0</formula>
    </cfRule>
  </conditionalFormatting>
  <conditionalFormatting sqref="D343">
    <cfRule type="cellIs" dxfId="1" priority="794" operator="equal">
      <formula>0</formula>
    </cfRule>
  </conditionalFormatting>
  <conditionalFormatting sqref="D345">
    <cfRule type="cellIs" dxfId="1" priority="799" operator="equal">
      <formula>0</formula>
    </cfRule>
  </conditionalFormatting>
  <conditionalFormatting sqref="D347">
    <cfRule type="cellIs" dxfId="1" priority="803" operator="equal">
      <formula>0</formula>
    </cfRule>
  </conditionalFormatting>
  <conditionalFormatting sqref="D35">
    <cfRule type="cellIs" dxfId="1" priority="33" operator="equal">
      <formula>0</formula>
    </cfRule>
  </conditionalFormatting>
  <conditionalFormatting sqref="D352">
    <cfRule type="cellIs" dxfId="1" priority="813" operator="equal">
      <formula>0</formula>
    </cfRule>
  </conditionalFormatting>
  <conditionalFormatting sqref="D355">
    <cfRule type="cellIs" dxfId="1" priority="818" operator="equal">
      <formula>0</formula>
    </cfRule>
  </conditionalFormatting>
  <conditionalFormatting sqref="D357">
    <cfRule type="expression" dxfId="0" priority="820">
      <formula>D358=0</formula>
    </cfRule>
  </conditionalFormatting>
  <conditionalFormatting sqref="D358">
    <cfRule type="cellIs" dxfId="1" priority="828" operator="equal">
      <formula>0</formula>
    </cfRule>
  </conditionalFormatting>
  <conditionalFormatting sqref="D36">
    <cfRule type="cellIs" dxfId="1" priority="37" operator="equal">
      <formula>0</formula>
    </cfRule>
  </conditionalFormatting>
  <conditionalFormatting sqref="D361">
    <cfRule type="cellIs" dxfId="1" priority="837" operator="equal">
      <formula>0</formula>
    </cfRule>
  </conditionalFormatting>
  <conditionalFormatting sqref="D363">
    <cfRule type="cellIs" dxfId="1" priority="840" operator="equal">
      <formula>0</formula>
    </cfRule>
  </conditionalFormatting>
  <conditionalFormatting sqref="D365">
    <cfRule type="cellIs" dxfId="1" priority="844" operator="equal">
      <formula>0</formula>
    </cfRule>
  </conditionalFormatting>
  <conditionalFormatting sqref="D366">
    <cfRule type="cellIs" dxfId="1" priority="846" operator="equal">
      <formula>0</formula>
    </cfRule>
  </conditionalFormatting>
  <conditionalFormatting sqref="D367">
    <cfRule type="cellIs" dxfId="1" priority="849" operator="equal">
      <formula>0</formula>
    </cfRule>
  </conditionalFormatting>
  <conditionalFormatting sqref="D368">
    <cfRule type="cellIs" dxfId="1" priority="852" operator="equal">
      <formula>0</formula>
    </cfRule>
  </conditionalFormatting>
  <conditionalFormatting sqref="D369">
    <cfRule type="cellIs" dxfId="1" priority="853" operator="equal">
      <formula>0</formula>
    </cfRule>
  </conditionalFormatting>
  <conditionalFormatting sqref="D37">
    <cfRule type="cellIs" dxfId="1" priority="42" operator="equal">
      <formula>0</formula>
    </cfRule>
  </conditionalFormatting>
  <conditionalFormatting sqref="D371">
    <cfRule type="cellIs" dxfId="1" priority="857" operator="equal">
      <formula>0</formula>
    </cfRule>
  </conditionalFormatting>
  <conditionalFormatting sqref="D372">
    <cfRule type="cellIs" dxfId="1" priority="860" operator="equal">
      <formula>0</formula>
    </cfRule>
  </conditionalFormatting>
  <conditionalFormatting sqref="D374">
    <cfRule type="cellIs" dxfId="1" priority="862" operator="equal">
      <formula>0</formula>
    </cfRule>
  </conditionalFormatting>
  <conditionalFormatting sqref="D375">
    <cfRule type="cellIs" dxfId="1" priority="864" operator="equal">
      <formula>0</formula>
    </cfRule>
  </conditionalFormatting>
  <conditionalFormatting sqref="D376">
    <cfRule type="cellIs" dxfId="1" priority="866" operator="equal">
      <formula>0</formula>
    </cfRule>
  </conditionalFormatting>
  <conditionalFormatting sqref="D377">
    <cfRule type="cellIs" dxfId="1" priority="868" operator="equal">
      <formula>0</formula>
    </cfRule>
  </conditionalFormatting>
  <conditionalFormatting sqref="D379">
    <cfRule type="cellIs" dxfId="1" priority="873" operator="equal">
      <formula>0</formula>
    </cfRule>
  </conditionalFormatting>
  <conditionalFormatting sqref="D38">
    <cfRule type="cellIs" dxfId="1" priority="47" operator="equal">
      <formula>0</formula>
    </cfRule>
  </conditionalFormatting>
  <conditionalFormatting sqref="D380">
    <cfRule type="cellIs" dxfId="1" priority="874" operator="equal">
      <formula>0</formula>
    </cfRule>
  </conditionalFormatting>
  <conditionalFormatting sqref="D381">
    <cfRule type="cellIs" dxfId="1" priority="876" operator="equal">
      <formula>0</formula>
    </cfRule>
  </conditionalFormatting>
  <conditionalFormatting sqref="D383">
    <cfRule type="cellIs" dxfId="1" priority="880" operator="equal">
      <formula>0</formula>
    </cfRule>
  </conditionalFormatting>
  <conditionalFormatting sqref="D385">
    <cfRule type="expression" dxfId="0" priority="884">
      <formula>D386=0</formula>
    </cfRule>
  </conditionalFormatting>
  <conditionalFormatting sqref="D386">
    <cfRule type="cellIs" dxfId="1" priority="889" operator="equal">
      <formula>0</formula>
    </cfRule>
  </conditionalFormatting>
  <conditionalFormatting sqref="D388">
    <cfRule type="cellIs" dxfId="1" priority="894" operator="equal">
      <formula>0</formula>
    </cfRule>
  </conditionalFormatting>
  <conditionalFormatting sqref="D389">
    <cfRule type="cellIs" dxfId="1" priority="895" operator="equal">
      <formula>0</formula>
    </cfRule>
  </conditionalFormatting>
  <conditionalFormatting sqref="D391">
    <cfRule type="cellIs" dxfId="1" priority="899" operator="equal">
      <formula>0</formula>
    </cfRule>
  </conditionalFormatting>
  <conditionalFormatting sqref="D392">
    <cfRule type="cellIs" dxfId="1" priority="900" operator="equal">
      <formula>0</formula>
    </cfRule>
  </conditionalFormatting>
  <conditionalFormatting sqref="D393">
    <cfRule type="cellIs" dxfId="1" priority="902" operator="equal">
      <formula>0</formula>
    </cfRule>
  </conditionalFormatting>
  <conditionalFormatting sqref="D394">
    <cfRule type="cellIs" dxfId="1" priority="903" operator="equal">
      <formula>0</formula>
    </cfRule>
  </conditionalFormatting>
  <conditionalFormatting sqref="D395">
    <cfRule type="cellIs" dxfId="1" priority="904" operator="equal">
      <formula>0</formula>
    </cfRule>
  </conditionalFormatting>
  <conditionalFormatting sqref="D396">
    <cfRule type="cellIs" dxfId="1" priority="906" operator="equal">
      <formula>0</formula>
    </cfRule>
  </conditionalFormatting>
  <conditionalFormatting sqref="D397">
    <cfRule type="cellIs" dxfId="1" priority="907" operator="equal">
      <formula>0</formula>
    </cfRule>
  </conditionalFormatting>
  <conditionalFormatting sqref="D40">
    <cfRule type="expression" dxfId="0" priority="53">
      <formula>D41=0</formula>
    </cfRule>
  </conditionalFormatting>
  <conditionalFormatting sqref="D400">
    <cfRule type="cellIs" dxfId="1" priority="911" operator="equal">
      <formula>0</formula>
    </cfRule>
  </conditionalFormatting>
  <conditionalFormatting sqref="D402">
    <cfRule type="cellIs" dxfId="1" priority="914" operator="equal">
      <formula>0</formula>
    </cfRule>
  </conditionalFormatting>
  <conditionalFormatting sqref="D403">
    <cfRule type="cellIs" dxfId="1" priority="915" operator="equal">
      <formula>0</formula>
    </cfRule>
  </conditionalFormatting>
  <conditionalFormatting sqref="D404">
    <cfRule type="cellIs" dxfId="1" priority="916" operator="equal">
      <formula>0</formula>
    </cfRule>
  </conditionalFormatting>
  <conditionalFormatting sqref="D405">
    <cfRule type="cellIs" dxfId="1" priority="918" operator="equal">
      <formula>0</formula>
    </cfRule>
  </conditionalFormatting>
  <conditionalFormatting sqref="D406">
    <cfRule type="cellIs" dxfId="1" priority="920" operator="equal">
      <formula>0</formula>
    </cfRule>
  </conditionalFormatting>
  <conditionalFormatting sqref="D408">
    <cfRule type="cellIs" dxfId="1" priority="924" operator="equal">
      <formula>0</formula>
    </cfRule>
  </conditionalFormatting>
  <conditionalFormatting sqref="D409">
    <cfRule type="cellIs" dxfId="1" priority="925" operator="equal">
      <formula>0</formula>
    </cfRule>
  </conditionalFormatting>
  <conditionalFormatting sqref="D41">
    <cfRule type="cellIs" dxfId="1" priority="57" operator="equal">
      <formula>0</formula>
    </cfRule>
  </conditionalFormatting>
  <conditionalFormatting sqref="D410">
    <cfRule type="cellIs" dxfId="1" priority="927" operator="equal">
      <formula>0</formula>
    </cfRule>
  </conditionalFormatting>
  <conditionalFormatting sqref="D411">
    <cfRule type="cellIs" dxfId="1" priority="929" operator="equal">
      <formula>0</formula>
    </cfRule>
  </conditionalFormatting>
  <conditionalFormatting sqref="D419">
    <cfRule type="expression" dxfId="0" priority="931">
      <formula>D420=0</formula>
    </cfRule>
  </conditionalFormatting>
  <conditionalFormatting sqref="D420">
    <cfRule type="cellIs" dxfId="1" priority="939" operator="equal">
      <formula>0</formula>
    </cfRule>
  </conditionalFormatting>
  <conditionalFormatting sqref="D421">
    <cfRule type="cellIs" dxfId="1" priority="947" operator="equal">
      <formula>0</formula>
    </cfRule>
  </conditionalFormatting>
  <conditionalFormatting sqref="D423">
    <cfRule type="cellIs" dxfId="1" priority="956" operator="equal">
      <formula>0</formula>
    </cfRule>
  </conditionalFormatting>
  <conditionalFormatting sqref="D424">
    <cfRule type="cellIs" dxfId="1" priority="962" operator="equal">
      <formula>0</formula>
    </cfRule>
  </conditionalFormatting>
  <conditionalFormatting sqref="D426">
    <cfRule type="expression" dxfId="0" priority="967">
      <formula>D427=0</formula>
    </cfRule>
  </conditionalFormatting>
  <conditionalFormatting sqref="D427">
    <cfRule type="cellIs" dxfId="1" priority="971" operator="equal">
      <formula>0</formula>
    </cfRule>
  </conditionalFormatting>
  <conditionalFormatting sqref="D428">
    <cfRule type="cellIs" dxfId="1" priority="975" operator="equal">
      <formula>0</formula>
    </cfRule>
  </conditionalFormatting>
  <conditionalFormatting sqref="D43">
    <cfRule type="cellIs" dxfId="1" priority="61" operator="equal">
      <formula>0</formula>
    </cfRule>
  </conditionalFormatting>
  <conditionalFormatting sqref="D430">
    <cfRule type="cellIs" dxfId="1" priority="977" operator="equal">
      <formula>0</formula>
    </cfRule>
  </conditionalFormatting>
  <conditionalFormatting sqref="D431">
    <cfRule type="cellIs" dxfId="1" priority="980" operator="equal">
      <formula>0</formula>
    </cfRule>
  </conditionalFormatting>
  <conditionalFormatting sqref="D433">
    <cfRule type="expression" dxfId="0" priority="983">
      <formula>D434=0</formula>
    </cfRule>
  </conditionalFormatting>
  <conditionalFormatting sqref="D434">
    <cfRule type="cellIs" dxfId="1" priority="987" operator="equal">
      <formula>0</formula>
    </cfRule>
  </conditionalFormatting>
  <conditionalFormatting sqref="D435">
    <cfRule type="cellIs" dxfId="1" priority="991" operator="equal">
      <formula>0</formula>
    </cfRule>
  </conditionalFormatting>
  <conditionalFormatting sqref="D436">
    <cfRule type="cellIs" dxfId="1" priority="992" operator="equal">
      <formula>0</formula>
    </cfRule>
  </conditionalFormatting>
  <conditionalFormatting sqref="D437">
    <cfRule type="cellIs" dxfId="1" priority="994" operator="equal">
      <formula>0</formula>
    </cfRule>
  </conditionalFormatting>
  <conditionalFormatting sqref="D438">
    <cfRule type="cellIs" dxfId="1" priority="997" operator="equal">
      <formula>0</formula>
    </cfRule>
  </conditionalFormatting>
  <conditionalFormatting sqref="D440">
    <cfRule type="expression" dxfId="0" priority="1000">
      <formula>D441=0</formula>
    </cfRule>
  </conditionalFormatting>
  <conditionalFormatting sqref="D441">
    <cfRule type="cellIs" dxfId="1" priority="1005" operator="equal">
      <formula>0</formula>
    </cfRule>
  </conditionalFormatting>
  <conditionalFormatting sqref="D442">
    <cfRule type="cellIs" dxfId="1" priority="1010" operator="equal">
      <formula>0</formula>
    </cfRule>
  </conditionalFormatting>
  <conditionalFormatting sqref="D453">
    <cfRule type="expression" dxfId="0" priority="1016">
      <formula>D454=0</formula>
    </cfRule>
  </conditionalFormatting>
  <conditionalFormatting sqref="D454">
    <cfRule type="cellIs" dxfId="1" priority="1022" operator="equal">
      <formula>0</formula>
    </cfRule>
  </conditionalFormatting>
  <conditionalFormatting sqref="D455">
    <cfRule type="cellIs" dxfId="1" priority="1028" operator="equal">
      <formula>0</formula>
    </cfRule>
  </conditionalFormatting>
  <conditionalFormatting sqref="D456">
    <cfRule type="cellIs" dxfId="1" priority="1034" operator="equal">
      <formula>0</formula>
    </cfRule>
  </conditionalFormatting>
  <conditionalFormatting sqref="D457">
    <cfRule type="cellIs" dxfId="1" priority="1039" operator="equal">
      <formula>0</formula>
    </cfRule>
  </conditionalFormatting>
  <conditionalFormatting sqref="D458">
    <cfRule type="cellIs" dxfId="1" priority="1044" operator="equal">
      <formula>0</formula>
    </cfRule>
  </conditionalFormatting>
  <conditionalFormatting sqref="D460">
    <cfRule type="expression" dxfId="0" priority="1049">
      <formula>D461=0</formula>
    </cfRule>
  </conditionalFormatting>
  <conditionalFormatting sqref="D461">
    <cfRule type="cellIs" dxfId="1" priority="1052" operator="equal">
      <formula>0</formula>
    </cfRule>
  </conditionalFormatting>
  <conditionalFormatting sqref="D462">
    <cfRule type="cellIs" dxfId="1" priority="1055" operator="equal">
      <formula>0</formula>
    </cfRule>
  </conditionalFormatting>
  <conditionalFormatting sqref="D463">
    <cfRule type="cellIs" dxfId="1" priority="1057" operator="equal">
      <formula>0</formula>
    </cfRule>
  </conditionalFormatting>
  <conditionalFormatting sqref="D464">
    <cfRule type="cellIs" dxfId="1" priority="1058" operator="equal">
      <formula>0</formula>
    </cfRule>
  </conditionalFormatting>
  <conditionalFormatting sqref="D465">
    <cfRule type="cellIs" dxfId="1" priority="1060" operator="equal">
      <formula>0</formula>
    </cfRule>
  </conditionalFormatting>
  <conditionalFormatting sqref="D467">
    <cfRule type="expression" dxfId="0" priority="1063">
      <formula>D468=0</formula>
    </cfRule>
  </conditionalFormatting>
  <conditionalFormatting sqref="D468">
    <cfRule type="cellIs" dxfId="1" priority="1065" operator="equal">
      <formula>0</formula>
    </cfRule>
  </conditionalFormatting>
  <conditionalFormatting sqref="D469">
    <cfRule type="cellIs" dxfId="1" priority="1067" operator="equal">
      <formula>0</formula>
    </cfRule>
  </conditionalFormatting>
  <conditionalFormatting sqref="D471">
    <cfRule type="cellIs" dxfId="1" priority="1070" operator="equal">
      <formula>0</formula>
    </cfRule>
  </conditionalFormatting>
  <conditionalFormatting sqref="D472">
    <cfRule type="cellIs" dxfId="1" priority="1072" operator="equal">
      <formula>0</formula>
    </cfRule>
  </conditionalFormatting>
  <conditionalFormatting sqref="D474">
    <cfRule type="expression" dxfId="0" priority="1074">
      <formula>D475=0</formula>
    </cfRule>
  </conditionalFormatting>
  <conditionalFormatting sqref="D475">
    <cfRule type="cellIs" dxfId="1" priority="1077" operator="equal">
      <formula>0</formula>
    </cfRule>
  </conditionalFormatting>
  <conditionalFormatting sqref="D477">
    <cfRule type="cellIs" dxfId="1" priority="1080" operator="equal">
      <formula>0</formula>
    </cfRule>
  </conditionalFormatting>
  <conditionalFormatting sqref="D487">
    <cfRule type="expression" dxfId="0" priority="1085">
      <formula>D488=0</formula>
    </cfRule>
  </conditionalFormatting>
  <conditionalFormatting sqref="D488">
    <cfRule type="cellIs" dxfId="1" priority="1093" operator="equal">
      <formula>0</formula>
    </cfRule>
  </conditionalFormatting>
  <conditionalFormatting sqref="D489">
    <cfRule type="cellIs" dxfId="1" priority="1101" operator="equal">
      <formula>0</formula>
    </cfRule>
  </conditionalFormatting>
  <conditionalFormatting sqref="D490">
    <cfRule type="cellIs" dxfId="1" priority="1107" operator="equal">
      <formula>0</formula>
    </cfRule>
  </conditionalFormatting>
  <conditionalFormatting sqref="D491">
    <cfRule type="cellIs" dxfId="1" priority="1112" operator="equal">
      <formula>0</formula>
    </cfRule>
  </conditionalFormatting>
  <conditionalFormatting sqref="D494">
    <cfRule type="expression" dxfId="0" priority="1122">
      <formula>D495=0</formula>
    </cfRule>
  </conditionalFormatting>
  <conditionalFormatting sqref="D495">
    <cfRule type="cellIs" dxfId="1" priority="1127" operator="equal">
      <formula>0</formula>
    </cfRule>
  </conditionalFormatting>
  <conditionalFormatting sqref="D496">
    <cfRule type="cellIs" dxfId="1" priority="1132" operator="equal">
      <formula>0</formula>
    </cfRule>
  </conditionalFormatting>
  <conditionalFormatting sqref="D498">
    <cfRule type="cellIs" dxfId="1" priority="1135" operator="equal">
      <formula>0</formula>
    </cfRule>
  </conditionalFormatting>
  <conditionalFormatting sqref="D501">
    <cfRule type="expression" dxfId="0" priority="1141">
      <formula>D502=0</formula>
    </cfRule>
  </conditionalFormatting>
  <conditionalFormatting sqref="D502">
    <cfRule type="cellIs" dxfId="1" priority="1147" operator="equal">
      <formula>0</formula>
    </cfRule>
  </conditionalFormatting>
  <conditionalFormatting sqref="D503">
    <cfRule type="cellIs" dxfId="1" priority="1153" operator="equal">
      <formula>0</formula>
    </cfRule>
  </conditionalFormatting>
  <conditionalFormatting sqref="D505">
    <cfRule type="cellIs" dxfId="1" priority="1157" operator="equal">
      <formula>0</formula>
    </cfRule>
  </conditionalFormatting>
  <conditionalFormatting sqref="D508">
    <cfRule type="expression" dxfId="0" priority="1163">
      <formula>D509=0</formula>
    </cfRule>
  </conditionalFormatting>
  <conditionalFormatting sqref="D509">
    <cfRule type="cellIs" dxfId="1" priority="1167" operator="equal">
      <formula>0</formula>
    </cfRule>
  </conditionalFormatting>
  <conditionalFormatting sqref="D51">
    <cfRule type="expression" dxfId="0" priority="76">
      <formula>D52=0</formula>
    </cfRule>
  </conditionalFormatting>
  <conditionalFormatting sqref="D510">
    <cfRule type="cellIs" dxfId="1" priority="1171" operator="equal">
      <formula>0</formula>
    </cfRule>
  </conditionalFormatting>
  <conditionalFormatting sqref="D513">
    <cfRule type="cellIs" dxfId="1" priority="1174" operator="equal">
      <formula>0</formula>
    </cfRule>
  </conditionalFormatting>
  <conditionalFormatting sqref="D52">
    <cfRule type="cellIs" dxfId="1" priority="81" operator="equal">
      <formula>0</formula>
    </cfRule>
  </conditionalFormatting>
  <conditionalFormatting sqref="D521">
    <cfRule type="expression" dxfId="0" priority="1177">
      <formula>D522=0</formula>
    </cfRule>
  </conditionalFormatting>
  <conditionalFormatting sqref="D522">
    <cfRule type="cellIs" dxfId="1" priority="1185" operator="equal">
      <formula>0</formula>
    </cfRule>
  </conditionalFormatting>
  <conditionalFormatting sqref="D523">
    <cfRule type="cellIs" dxfId="1" priority="1193" operator="equal">
      <formula>0</formula>
    </cfRule>
  </conditionalFormatting>
  <conditionalFormatting sqref="D524">
    <cfRule type="cellIs" dxfId="1" priority="1198" operator="equal">
      <formula>0</formula>
    </cfRule>
  </conditionalFormatting>
  <conditionalFormatting sqref="D525">
    <cfRule type="cellIs" dxfId="1" priority="1202" operator="equal">
      <formula>0</formula>
    </cfRule>
  </conditionalFormatting>
  <conditionalFormatting sqref="D526">
    <cfRule type="cellIs" dxfId="1" priority="1208" operator="equal">
      <formula>0</formula>
    </cfRule>
  </conditionalFormatting>
  <conditionalFormatting sqref="D527">
    <cfRule type="cellIs" dxfId="1" priority="1213" operator="equal">
      <formula>0</formula>
    </cfRule>
  </conditionalFormatting>
  <conditionalFormatting sqref="D528">
    <cfRule type="cellIs" dxfId="1" priority="1218" operator="equal">
      <formula>0</formula>
    </cfRule>
  </conditionalFormatting>
  <conditionalFormatting sqref="D529">
    <cfRule type="cellIs" dxfId="1" priority="1222" operator="equal">
      <formula>0</formula>
    </cfRule>
  </conditionalFormatting>
  <conditionalFormatting sqref="D530">
    <cfRule type="cellIs" dxfId="1" priority="1226" operator="equal">
      <formula>0</formula>
    </cfRule>
  </conditionalFormatting>
  <conditionalFormatting sqref="D531">
    <cfRule type="cellIs" dxfId="1" priority="1232" operator="equal">
      <formula>0</formula>
    </cfRule>
  </conditionalFormatting>
  <conditionalFormatting sqref="D532">
    <cfRule type="cellIs" dxfId="1" priority="1238" operator="equal">
      <formula>0</formula>
    </cfRule>
  </conditionalFormatting>
  <conditionalFormatting sqref="D533">
    <cfRule type="cellIs" dxfId="1" priority="1243" operator="equal">
      <formula>0</formula>
    </cfRule>
  </conditionalFormatting>
  <conditionalFormatting sqref="D534">
    <cfRule type="cellIs" dxfId="1" priority="1247" operator="equal">
      <formula>0</formula>
    </cfRule>
  </conditionalFormatting>
  <conditionalFormatting sqref="D535">
    <cfRule type="cellIs" dxfId="1" priority="1252" operator="equal">
      <formula>0</formula>
    </cfRule>
  </conditionalFormatting>
  <conditionalFormatting sqref="D536">
    <cfRule type="cellIs" dxfId="1" priority="1257" operator="equal">
      <formula>0</formula>
    </cfRule>
  </conditionalFormatting>
  <conditionalFormatting sqref="D537">
    <cfRule type="cellIs" dxfId="1" priority="1262" operator="equal">
      <formula>0</formula>
    </cfRule>
  </conditionalFormatting>
  <conditionalFormatting sqref="D538">
    <cfRule type="cellIs" dxfId="1" priority="1266" operator="equal">
      <formula>0</formula>
    </cfRule>
  </conditionalFormatting>
  <conditionalFormatting sqref="D539">
    <cfRule type="cellIs" dxfId="1" priority="1271" operator="equal">
      <formula>0</formula>
    </cfRule>
  </conditionalFormatting>
  <conditionalFormatting sqref="D54">
    <cfRule type="cellIs" dxfId="1" priority="87" operator="equal">
      <formula>0</formula>
    </cfRule>
  </conditionalFormatting>
  <conditionalFormatting sqref="D540">
    <cfRule type="cellIs" dxfId="1" priority="1276" operator="equal">
      <formula>0</formula>
    </cfRule>
  </conditionalFormatting>
  <conditionalFormatting sqref="D541">
    <cfRule type="cellIs" dxfId="1" priority="1280" operator="equal">
      <formula>0</formula>
    </cfRule>
  </conditionalFormatting>
  <conditionalFormatting sqref="D542">
    <cfRule type="cellIs" dxfId="1" priority="1285" operator="equal">
      <formula>0</formula>
    </cfRule>
  </conditionalFormatting>
  <conditionalFormatting sqref="D543">
    <cfRule type="cellIs" dxfId="1" priority="1290" operator="equal">
      <formula>0</formula>
    </cfRule>
  </conditionalFormatting>
  <conditionalFormatting sqref="D544">
    <cfRule type="cellIs" dxfId="1" priority="1295" operator="equal">
      <formula>0</formula>
    </cfRule>
  </conditionalFormatting>
  <conditionalFormatting sqref="D545">
    <cfRule type="cellIs" dxfId="1" priority="1299" operator="equal">
      <formula>0</formula>
    </cfRule>
  </conditionalFormatting>
  <conditionalFormatting sqref="D546">
    <cfRule type="cellIs" dxfId="1" priority="1304" operator="equal">
      <formula>0</formula>
    </cfRule>
  </conditionalFormatting>
  <conditionalFormatting sqref="D548">
    <cfRule type="expression" dxfId="0" priority="1308">
      <formula>D549=0</formula>
    </cfRule>
  </conditionalFormatting>
  <conditionalFormatting sqref="D549">
    <cfRule type="cellIs" dxfId="1" priority="1313" operator="equal">
      <formula>0</formula>
    </cfRule>
  </conditionalFormatting>
  <conditionalFormatting sqref="D550">
    <cfRule type="cellIs" dxfId="1" priority="1318" operator="equal">
      <formula>0</formula>
    </cfRule>
  </conditionalFormatting>
  <conditionalFormatting sqref="D551">
    <cfRule type="cellIs" dxfId="1" priority="1320" operator="equal">
      <formula>0</formula>
    </cfRule>
  </conditionalFormatting>
  <conditionalFormatting sqref="D552">
    <cfRule type="cellIs" dxfId="1" priority="1321" operator="equal">
      <formula>0</formula>
    </cfRule>
  </conditionalFormatting>
  <conditionalFormatting sqref="D553">
    <cfRule type="cellIs" dxfId="1" priority="1324" operator="equal">
      <formula>0</formula>
    </cfRule>
  </conditionalFormatting>
  <conditionalFormatting sqref="D555">
    <cfRule type="cellIs" dxfId="1" priority="1327" operator="equal">
      <formula>0</formula>
    </cfRule>
  </conditionalFormatting>
  <conditionalFormatting sqref="D556">
    <cfRule type="cellIs" dxfId="1" priority="1329" operator="equal">
      <formula>0</formula>
    </cfRule>
  </conditionalFormatting>
  <conditionalFormatting sqref="D558">
    <cfRule type="cellIs" dxfId="1" priority="1333" operator="equal">
      <formula>0</formula>
    </cfRule>
  </conditionalFormatting>
  <conditionalFormatting sqref="D560">
    <cfRule type="cellIs" dxfId="1" priority="1336" operator="equal">
      <formula>0</formula>
    </cfRule>
  </conditionalFormatting>
  <conditionalFormatting sqref="D561">
    <cfRule type="cellIs" dxfId="1" priority="1338" operator="equal">
      <formula>0</formula>
    </cfRule>
  </conditionalFormatting>
  <conditionalFormatting sqref="D563">
    <cfRule type="cellIs" dxfId="1" priority="1343" operator="equal">
      <formula>0</formula>
    </cfRule>
  </conditionalFormatting>
  <conditionalFormatting sqref="D565">
    <cfRule type="cellIs" dxfId="1" priority="1347" operator="equal">
      <formula>0</formula>
    </cfRule>
  </conditionalFormatting>
  <conditionalFormatting sqref="D568">
    <cfRule type="cellIs" dxfId="1" priority="1353" operator="equal">
      <formula>0</formula>
    </cfRule>
  </conditionalFormatting>
  <conditionalFormatting sqref="D570">
    <cfRule type="cellIs" dxfId="1" priority="1357" operator="equal">
      <formula>0</formula>
    </cfRule>
  </conditionalFormatting>
  <conditionalFormatting sqref="D573">
    <cfRule type="cellIs" dxfId="1" priority="1362" operator="equal">
      <formula>0</formula>
    </cfRule>
  </conditionalFormatting>
  <conditionalFormatting sqref="D575">
    <cfRule type="expression" dxfId="0" priority="1364">
      <formula>D576=0</formula>
    </cfRule>
  </conditionalFormatting>
  <conditionalFormatting sqref="D576">
    <cfRule type="cellIs" dxfId="1" priority="1372" operator="equal">
      <formula>0</formula>
    </cfRule>
  </conditionalFormatting>
  <conditionalFormatting sqref="D579">
    <cfRule type="cellIs" dxfId="1" priority="1381" operator="equal">
      <formula>0</formula>
    </cfRule>
  </conditionalFormatting>
  <conditionalFormatting sqref="D59">
    <cfRule type="cellIs" dxfId="1" priority="95" operator="equal">
      <formula>0</formula>
    </cfRule>
  </conditionalFormatting>
  <conditionalFormatting sqref="D602">
    <cfRule type="expression" dxfId="0" priority="1426">
      <formula>D603=0</formula>
    </cfRule>
  </conditionalFormatting>
  <conditionalFormatting sqref="D603">
    <cfRule type="cellIs" dxfId="1" priority="1431" operator="equal">
      <formula>0</formula>
    </cfRule>
  </conditionalFormatting>
  <conditionalFormatting sqref="D605">
    <cfRule type="cellIs" dxfId="1" priority="1436" operator="equal">
      <formula>0</formula>
    </cfRule>
  </conditionalFormatting>
  <conditionalFormatting sqref="D607">
    <cfRule type="cellIs" dxfId="1" priority="1439" operator="equal">
      <formula>0</formula>
    </cfRule>
  </conditionalFormatting>
  <conditionalFormatting sqref="D608">
    <cfRule type="cellIs" dxfId="1" priority="1440" operator="equal">
      <formula>0</formula>
    </cfRule>
  </conditionalFormatting>
  <conditionalFormatting sqref="D609">
    <cfRule type="cellIs" dxfId="1" priority="1442" operator="equal">
      <formula>0</formula>
    </cfRule>
  </conditionalFormatting>
  <conditionalFormatting sqref="D610">
    <cfRule type="cellIs" dxfId="1" priority="1443" operator="equal">
      <formula>0</formula>
    </cfRule>
  </conditionalFormatting>
  <conditionalFormatting sqref="D611">
    <cfRule type="cellIs" dxfId="1" priority="1444" operator="equal">
      <formula>0</formula>
    </cfRule>
  </conditionalFormatting>
  <conditionalFormatting sqref="D612">
    <cfRule type="cellIs" dxfId="1" priority="1446" operator="equal">
      <formula>0</formula>
    </cfRule>
  </conditionalFormatting>
  <conditionalFormatting sqref="D613">
    <cfRule type="cellIs" dxfId="1" priority="1447" operator="equal">
      <formula>0</formula>
    </cfRule>
  </conditionalFormatting>
  <conditionalFormatting sqref="D616">
    <cfRule type="cellIs" dxfId="1" priority="1451" operator="equal">
      <formula>0</formula>
    </cfRule>
  </conditionalFormatting>
  <conditionalFormatting sqref="D618">
    <cfRule type="cellIs" dxfId="1" priority="1454" operator="equal">
      <formula>0</formula>
    </cfRule>
  </conditionalFormatting>
  <conditionalFormatting sqref="D619">
    <cfRule type="cellIs" dxfId="1" priority="1455" operator="equal">
      <formula>0</formula>
    </cfRule>
  </conditionalFormatting>
  <conditionalFormatting sqref="D62">
    <cfRule type="expression" dxfId="0" priority="99">
      <formula>D63=0</formula>
    </cfRule>
  </conditionalFormatting>
  <conditionalFormatting sqref="D620">
    <cfRule type="cellIs" dxfId="1" priority="1456" operator="equal">
      <formula>0</formula>
    </cfRule>
  </conditionalFormatting>
  <conditionalFormatting sqref="D621">
    <cfRule type="cellIs" dxfId="1" priority="1458" operator="equal">
      <formula>0</formula>
    </cfRule>
  </conditionalFormatting>
  <conditionalFormatting sqref="D623">
    <cfRule type="cellIs" dxfId="1" priority="1461" operator="equal">
      <formula>0</formula>
    </cfRule>
  </conditionalFormatting>
  <conditionalFormatting sqref="D624">
    <cfRule type="cellIs" dxfId="1" priority="1463" operator="equal">
      <formula>0</formula>
    </cfRule>
  </conditionalFormatting>
  <conditionalFormatting sqref="D625">
    <cfRule type="cellIs" dxfId="1" priority="1464" operator="equal">
      <formula>0</formula>
    </cfRule>
  </conditionalFormatting>
  <conditionalFormatting sqref="D626">
    <cfRule type="cellIs" dxfId="1" priority="1466" operator="equal">
      <formula>0</formula>
    </cfRule>
  </conditionalFormatting>
  <conditionalFormatting sqref="D627">
    <cfRule type="cellIs" dxfId="1" priority="1468" operator="equal">
      <formula>0</formula>
    </cfRule>
  </conditionalFormatting>
  <conditionalFormatting sqref="D63">
    <cfRule type="cellIs" dxfId="1" priority="102" operator="equal">
      <formula>0</formula>
    </cfRule>
  </conditionalFormatting>
  <conditionalFormatting sqref="D635">
    <cfRule type="expression" dxfId="0" priority="1470">
      <formula>D636=0</formula>
    </cfRule>
  </conditionalFormatting>
  <conditionalFormatting sqref="D636">
    <cfRule type="cellIs" dxfId="1" priority="1478" operator="equal">
      <formula>0</formula>
    </cfRule>
  </conditionalFormatting>
  <conditionalFormatting sqref="D637">
    <cfRule type="cellIs" dxfId="1" priority="1486" operator="equal">
      <formula>0</formula>
    </cfRule>
  </conditionalFormatting>
  <conditionalFormatting sqref="D638">
    <cfRule type="cellIs" dxfId="1" priority="1491" operator="equal">
      <formula>0</formula>
    </cfRule>
  </conditionalFormatting>
  <conditionalFormatting sqref="D639">
    <cfRule type="cellIs" dxfId="1" priority="1496" operator="equal">
      <formula>0</formula>
    </cfRule>
  </conditionalFormatting>
  <conditionalFormatting sqref="D64">
    <cfRule type="cellIs" dxfId="1" priority="105" operator="equal">
      <formula>0</formula>
    </cfRule>
  </conditionalFormatting>
  <conditionalFormatting sqref="D640">
    <cfRule type="cellIs" dxfId="1" priority="1502" operator="equal">
      <formula>0</formula>
    </cfRule>
  </conditionalFormatting>
  <conditionalFormatting sqref="D641">
    <cfRule type="cellIs" dxfId="1" priority="1507" operator="equal">
      <formula>0</formula>
    </cfRule>
  </conditionalFormatting>
  <conditionalFormatting sqref="D642">
    <cfRule type="cellIs" dxfId="1" priority="1512" operator="equal">
      <formula>0</formula>
    </cfRule>
  </conditionalFormatting>
  <conditionalFormatting sqref="D643">
    <cfRule type="cellIs" dxfId="1" priority="1518" operator="equal">
      <formula>0</formula>
    </cfRule>
  </conditionalFormatting>
  <conditionalFormatting sqref="D646">
    <cfRule type="expression" dxfId="0" priority="1527">
      <formula>D647=0</formula>
    </cfRule>
  </conditionalFormatting>
  <conditionalFormatting sqref="D647">
    <cfRule type="cellIs" dxfId="1" priority="1532" operator="equal">
      <formula>0</formula>
    </cfRule>
  </conditionalFormatting>
  <conditionalFormatting sqref="D648">
    <cfRule type="cellIs" dxfId="1" priority="1537" operator="equal">
      <formula>0</formula>
    </cfRule>
  </conditionalFormatting>
  <conditionalFormatting sqref="D649">
    <cfRule type="cellIs" dxfId="1" priority="1538" operator="equal">
      <formula>0</formula>
    </cfRule>
  </conditionalFormatting>
  <conditionalFormatting sqref="D65">
    <cfRule type="cellIs" dxfId="1" priority="106" operator="equal">
      <formula>0</formula>
    </cfRule>
  </conditionalFormatting>
  <conditionalFormatting sqref="D651">
    <cfRule type="cellIs" dxfId="1" priority="1543" operator="equal">
      <formula>0</formula>
    </cfRule>
  </conditionalFormatting>
  <conditionalFormatting sqref="D652">
    <cfRule type="cellIs" dxfId="1" priority="1545" operator="equal">
      <formula>0</formula>
    </cfRule>
  </conditionalFormatting>
  <conditionalFormatting sqref="D653">
    <cfRule type="cellIs" dxfId="1" priority="1548" operator="equal">
      <formula>0</formula>
    </cfRule>
  </conditionalFormatting>
  <conditionalFormatting sqref="D654">
    <cfRule type="cellIs" dxfId="1" priority="1550" operator="equal">
      <formula>0</formula>
    </cfRule>
  </conditionalFormatting>
  <conditionalFormatting sqref="D657">
    <cfRule type="expression" dxfId="0" priority="1554">
      <formula>D658=0</formula>
    </cfRule>
  </conditionalFormatting>
  <conditionalFormatting sqref="D658">
    <cfRule type="cellIs" dxfId="1" priority="1561" operator="equal">
      <formula>0</formula>
    </cfRule>
  </conditionalFormatting>
  <conditionalFormatting sqref="D66">
    <cfRule type="cellIs" dxfId="1" priority="108" operator="equal">
      <formula>0</formula>
    </cfRule>
  </conditionalFormatting>
  <conditionalFormatting sqref="D660">
    <cfRule type="cellIs" dxfId="1" priority="1568" operator="equal">
      <formula>0</formula>
    </cfRule>
  </conditionalFormatting>
  <conditionalFormatting sqref="D668">
    <cfRule type="expression" dxfId="0" priority="1582">
      <formula>D669=0</formula>
    </cfRule>
  </conditionalFormatting>
  <conditionalFormatting sqref="D669">
    <cfRule type="cellIs" dxfId="1" priority="1586" operator="equal">
      <formula>0</formula>
    </cfRule>
  </conditionalFormatting>
  <conditionalFormatting sqref="D67">
    <cfRule type="cellIs" dxfId="1" priority="109" operator="equal">
      <formula>0</formula>
    </cfRule>
  </conditionalFormatting>
  <conditionalFormatting sqref="D671">
    <cfRule type="cellIs" dxfId="1" priority="1590" operator="equal">
      <formula>0</formula>
    </cfRule>
  </conditionalFormatting>
  <conditionalFormatting sqref="D68">
    <cfRule type="cellIs" dxfId="1" priority="111" operator="equal">
      <formula>0</formula>
    </cfRule>
  </conditionalFormatting>
  <conditionalFormatting sqref="D685">
    <cfRule type="expression" dxfId="0" priority="1600">
      <formula>D686=0</formula>
    </cfRule>
  </conditionalFormatting>
  <conditionalFormatting sqref="D686">
    <cfRule type="cellIs" dxfId="1" priority="1605" operator="equal">
      <formula>0</formula>
    </cfRule>
  </conditionalFormatting>
  <conditionalFormatting sqref="D687">
    <cfRule type="cellIs" dxfId="1" priority="1610" operator="equal">
      <formula>0</formula>
    </cfRule>
  </conditionalFormatting>
  <conditionalFormatting sqref="D689">
    <cfRule type="expression" dxfId="0" priority="1615">
      <formula>D690=0</formula>
    </cfRule>
  </conditionalFormatting>
  <conditionalFormatting sqref="D69">
    <cfRule type="cellIs" dxfId="1" priority="113" operator="equal">
      <formula>0</formula>
    </cfRule>
  </conditionalFormatting>
  <conditionalFormatting sqref="D690">
    <cfRule type="cellIs" dxfId="1" priority="1617" operator="equal">
      <formula>0</formula>
    </cfRule>
  </conditionalFormatting>
  <conditionalFormatting sqref="D691">
    <cfRule type="cellIs" dxfId="1" priority="1619" operator="equal">
      <formula>0</formula>
    </cfRule>
  </conditionalFormatting>
  <conditionalFormatting sqref="D693">
    <cfRule type="expression" dxfId="0" priority="1621">
      <formula>D694=0</formula>
    </cfRule>
  </conditionalFormatting>
  <conditionalFormatting sqref="D694">
    <cfRule type="cellIs" dxfId="1" priority="1623" operator="equal">
      <formula>0</formula>
    </cfRule>
  </conditionalFormatting>
  <conditionalFormatting sqref="D695">
    <cfRule type="cellIs" dxfId="1" priority="1625" operator="equal">
      <formula>0</formula>
    </cfRule>
  </conditionalFormatting>
  <conditionalFormatting sqref="D697">
    <cfRule type="expression" dxfId="0" priority="1627">
      <formula>D698=0</formula>
    </cfRule>
  </conditionalFormatting>
  <conditionalFormatting sqref="D698">
    <cfRule type="cellIs" dxfId="1" priority="1629" operator="equal">
      <formula>0</formula>
    </cfRule>
  </conditionalFormatting>
  <conditionalFormatting sqref="D699">
    <cfRule type="cellIs" dxfId="1" priority="1631" operator="equal">
      <formula>0</formula>
    </cfRule>
  </conditionalFormatting>
  <conditionalFormatting sqref="D707">
    <cfRule type="expression" dxfId="0" priority="1633">
      <formula>D708=0</formula>
    </cfRule>
  </conditionalFormatting>
  <conditionalFormatting sqref="D708">
    <cfRule type="cellIs" dxfId="1" priority="1641" operator="equal">
      <formula>0</formula>
    </cfRule>
  </conditionalFormatting>
  <conditionalFormatting sqref="D709">
    <cfRule type="cellIs" dxfId="1" priority="1648" operator="equal">
      <formula>0</formula>
    </cfRule>
  </conditionalFormatting>
  <conditionalFormatting sqref="D71">
    <cfRule type="cellIs" dxfId="1" priority="117" operator="equal">
      <formula>0</formula>
    </cfRule>
  </conditionalFormatting>
  <conditionalFormatting sqref="D710">
    <cfRule type="cellIs" dxfId="1" priority="1654" operator="equal">
      <formula>0</formula>
    </cfRule>
  </conditionalFormatting>
  <conditionalFormatting sqref="D711">
    <cfRule type="cellIs" dxfId="1" priority="1659" operator="equal">
      <formula>0</formula>
    </cfRule>
  </conditionalFormatting>
  <conditionalFormatting sqref="D712">
    <cfRule type="cellIs" dxfId="1" priority="1665" operator="equal">
      <formula>0</formula>
    </cfRule>
  </conditionalFormatting>
  <conditionalFormatting sqref="D713">
    <cfRule type="cellIs" dxfId="1" priority="1671" operator="equal">
      <formula>0</formula>
    </cfRule>
  </conditionalFormatting>
  <conditionalFormatting sqref="D714">
    <cfRule type="cellIs" dxfId="1" priority="1676" operator="equal">
      <formula>0</formula>
    </cfRule>
  </conditionalFormatting>
  <conditionalFormatting sqref="D715">
    <cfRule type="cellIs" dxfId="1" priority="1682" operator="equal">
      <formula>0</formula>
    </cfRule>
  </conditionalFormatting>
  <conditionalFormatting sqref="D716">
    <cfRule type="cellIs" dxfId="1" priority="1687" operator="equal">
      <formula>0</formula>
    </cfRule>
  </conditionalFormatting>
  <conditionalFormatting sqref="D717">
    <cfRule type="cellIs" dxfId="1" priority="1692" operator="equal">
      <formula>0</formula>
    </cfRule>
  </conditionalFormatting>
  <conditionalFormatting sqref="D718">
    <cfRule type="cellIs" dxfId="1" priority="1696" operator="equal">
      <formula>0</formula>
    </cfRule>
  </conditionalFormatting>
  <conditionalFormatting sqref="D719">
    <cfRule type="cellIs" dxfId="1" priority="1701" operator="equal">
      <formula>0</formula>
    </cfRule>
  </conditionalFormatting>
  <conditionalFormatting sqref="D720">
    <cfRule type="cellIs" dxfId="1" priority="1705" operator="equal">
      <formula>0</formula>
    </cfRule>
  </conditionalFormatting>
  <conditionalFormatting sqref="D721">
    <cfRule type="cellIs" dxfId="1" priority="1709" operator="equal">
      <formula>0</formula>
    </cfRule>
  </conditionalFormatting>
  <conditionalFormatting sqref="D722">
    <cfRule type="cellIs" dxfId="1" priority="1714" operator="equal">
      <formula>0</formula>
    </cfRule>
  </conditionalFormatting>
  <conditionalFormatting sqref="D724">
    <cfRule type="expression" dxfId="0" priority="1718">
      <formula>D725=0</formula>
    </cfRule>
  </conditionalFormatting>
  <conditionalFormatting sqref="D725">
    <cfRule type="cellIs" dxfId="1" priority="1723" operator="equal">
      <formula>0</formula>
    </cfRule>
  </conditionalFormatting>
  <conditionalFormatting sqref="D726">
    <cfRule type="cellIs" dxfId="1" priority="1728" operator="equal">
      <formula>0</formula>
    </cfRule>
  </conditionalFormatting>
  <conditionalFormatting sqref="D728">
    <cfRule type="cellIs" dxfId="1" priority="1730" operator="equal">
      <formula>0</formula>
    </cfRule>
  </conditionalFormatting>
  <conditionalFormatting sqref="D731">
    <cfRule type="cellIs" dxfId="1" priority="1736" operator="equal">
      <formula>0</formula>
    </cfRule>
  </conditionalFormatting>
  <conditionalFormatting sqref="D732">
    <cfRule type="cellIs" dxfId="1" priority="1738" operator="equal">
      <formula>0</formula>
    </cfRule>
  </conditionalFormatting>
  <conditionalFormatting sqref="D734">
    <cfRule type="cellIs" dxfId="1" priority="1743" operator="equal">
      <formula>0</formula>
    </cfRule>
  </conditionalFormatting>
  <conditionalFormatting sqref="D736">
    <cfRule type="cellIs" dxfId="1" priority="1747" operator="equal">
      <formula>0</formula>
    </cfRule>
  </conditionalFormatting>
  <conditionalFormatting sqref="D741">
    <cfRule type="expression" dxfId="0" priority="1755">
      <formula>D742=0</formula>
    </cfRule>
  </conditionalFormatting>
  <conditionalFormatting sqref="D742">
    <cfRule type="cellIs" dxfId="1" priority="1763" operator="equal">
      <formula>0</formula>
    </cfRule>
  </conditionalFormatting>
  <conditionalFormatting sqref="D744">
    <cfRule type="cellIs" dxfId="1" priority="1771" operator="equal">
      <formula>0</formula>
    </cfRule>
  </conditionalFormatting>
  <conditionalFormatting sqref="D747">
    <cfRule type="cellIs" dxfId="1" priority="1776" operator="equal">
      <formula>0</formula>
    </cfRule>
  </conditionalFormatting>
  <conditionalFormatting sqref="D749">
    <cfRule type="cellIs" dxfId="1" priority="1780" operator="equal">
      <formula>0</formula>
    </cfRule>
  </conditionalFormatting>
  <conditionalFormatting sqref="D750">
    <cfRule type="cellIs" dxfId="1" priority="1783" operator="equal">
      <formula>0</formula>
    </cfRule>
  </conditionalFormatting>
  <conditionalFormatting sqref="D752">
    <cfRule type="cellIs" dxfId="1" priority="1785" operator="equal">
      <formula>0</formula>
    </cfRule>
  </conditionalFormatting>
  <conditionalFormatting sqref="D755">
    <cfRule type="cellIs" dxfId="1" priority="1790" operator="equal">
      <formula>0</formula>
    </cfRule>
  </conditionalFormatting>
  <conditionalFormatting sqref="D756">
    <cfRule type="cellIs" dxfId="1" priority="1791" operator="equal">
      <formula>0</formula>
    </cfRule>
  </conditionalFormatting>
  <conditionalFormatting sqref="D758">
    <cfRule type="expression" dxfId="0" priority="1794">
      <formula>D759=0</formula>
    </cfRule>
  </conditionalFormatting>
  <conditionalFormatting sqref="D759">
    <cfRule type="cellIs" dxfId="1" priority="1799" operator="equal">
      <formula>0</formula>
    </cfRule>
  </conditionalFormatting>
  <conditionalFormatting sqref="D761">
    <cfRule type="cellIs" dxfId="1" priority="1804" operator="equal">
      <formula>0</formula>
    </cfRule>
  </conditionalFormatting>
  <conditionalFormatting sqref="D762">
    <cfRule type="cellIs" dxfId="1" priority="1806" operator="equal">
      <formula>0</formula>
    </cfRule>
  </conditionalFormatting>
  <conditionalFormatting sqref="D767">
    <cfRule type="cellIs" dxfId="1" priority="1813" operator="equal">
      <formula>0</formula>
    </cfRule>
  </conditionalFormatting>
  <conditionalFormatting sqref="D769">
    <cfRule type="cellIs" dxfId="1" priority="1816" operator="equal">
      <formula>0</formula>
    </cfRule>
  </conditionalFormatting>
  <conditionalFormatting sqref="D771">
    <cfRule type="cellIs" dxfId="1" priority="1819" operator="equal">
      <formula>0</formula>
    </cfRule>
  </conditionalFormatting>
  <conditionalFormatting sqref="D772">
    <cfRule type="cellIs" dxfId="1" priority="1821" operator="equal">
      <formula>0</formula>
    </cfRule>
  </conditionalFormatting>
  <conditionalFormatting sqref="D773">
    <cfRule type="cellIs" dxfId="1" priority="1823" operator="equal">
      <formula>0</formula>
    </cfRule>
  </conditionalFormatting>
  <conditionalFormatting sqref="D781">
    <cfRule type="expression" dxfId="0" priority="1826">
      <formula>D782=0</formula>
    </cfRule>
  </conditionalFormatting>
  <conditionalFormatting sqref="D782">
    <cfRule type="cellIs" dxfId="1" priority="1832" operator="equal">
      <formula>0</formula>
    </cfRule>
  </conditionalFormatting>
  <conditionalFormatting sqref="D783">
    <cfRule type="cellIs" dxfId="1" priority="1838" operator="equal">
      <formula>0</formula>
    </cfRule>
  </conditionalFormatting>
  <conditionalFormatting sqref="D784">
    <cfRule type="cellIs" dxfId="1" priority="1843" operator="equal">
      <formula>0</formula>
    </cfRule>
  </conditionalFormatting>
  <conditionalFormatting sqref="D785">
    <cfRule type="cellIs" dxfId="1" priority="1847" operator="equal">
      <formula>0</formula>
    </cfRule>
  </conditionalFormatting>
  <conditionalFormatting sqref="D786">
    <cfRule type="cellIs" dxfId="1" priority="1852" operator="equal">
      <formula>0</formula>
    </cfRule>
  </conditionalFormatting>
  <conditionalFormatting sqref="D787">
    <cfRule type="cellIs" dxfId="1" priority="1857" operator="equal">
      <formula>0</formula>
    </cfRule>
  </conditionalFormatting>
  <conditionalFormatting sqref="D788">
    <cfRule type="cellIs" dxfId="1" priority="1861" operator="equal">
      <formula>0</formula>
    </cfRule>
  </conditionalFormatting>
  <conditionalFormatting sqref="D789">
    <cfRule type="cellIs" dxfId="1" priority="1866" operator="equal">
      <formula>0</formula>
    </cfRule>
  </conditionalFormatting>
  <conditionalFormatting sqref="D79">
    <cfRule type="expression" dxfId="0" priority="119">
      <formula>D80=0</formula>
    </cfRule>
  </conditionalFormatting>
  <conditionalFormatting sqref="D790">
    <cfRule type="cellIs" dxfId="1" priority="1871" operator="equal">
      <formula>0</formula>
    </cfRule>
  </conditionalFormatting>
  <conditionalFormatting sqref="D792">
    <cfRule type="expression" dxfId="0" priority="1875">
      <formula>D793=0</formula>
    </cfRule>
  </conditionalFormatting>
  <conditionalFormatting sqref="D793">
    <cfRule type="cellIs" dxfId="1" priority="1879" operator="equal">
      <formula>0</formula>
    </cfRule>
  </conditionalFormatting>
  <conditionalFormatting sqref="D794">
    <cfRule type="cellIs" dxfId="1" priority="1883" operator="equal">
      <formula>0</formula>
    </cfRule>
  </conditionalFormatting>
  <conditionalFormatting sqref="D795">
    <cfRule type="cellIs" dxfId="1" priority="1885" operator="equal">
      <formula>0</formula>
    </cfRule>
  </conditionalFormatting>
  <conditionalFormatting sqref="D797">
    <cfRule type="cellIs" dxfId="1" priority="1889" operator="equal">
      <formula>0</formula>
    </cfRule>
  </conditionalFormatting>
  <conditionalFormatting sqref="D798">
    <cfRule type="cellIs" dxfId="1" priority="1891" operator="equal">
      <formula>0</formula>
    </cfRule>
  </conditionalFormatting>
  <conditionalFormatting sqref="D799">
    <cfRule type="cellIs" dxfId="1" priority="1893" operator="equal">
      <formula>0</formula>
    </cfRule>
  </conditionalFormatting>
  <conditionalFormatting sqref="D80">
    <cfRule type="cellIs" dxfId="1" priority="125" operator="equal">
      <formula>0</formula>
    </cfRule>
  </conditionalFormatting>
  <conditionalFormatting sqref="D803">
    <cfRule type="expression" dxfId="0" priority="1898">
      <formula>D804=0</formula>
    </cfRule>
  </conditionalFormatting>
  <conditionalFormatting sqref="D804">
    <cfRule type="cellIs" dxfId="1" priority="1902" operator="equal">
      <formula>0</formula>
    </cfRule>
  </conditionalFormatting>
  <conditionalFormatting sqref="D807">
    <cfRule type="cellIs" dxfId="1" priority="1908" operator="equal">
      <formula>0</formula>
    </cfRule>
  </conditionalFormatting>
  <conditionalFormatting sqref="D81">
    <cfRule type="cellIs" dxfId="1" priority="131" operator="equal">
      <formula>0</formula>
    </cfRule>
  </conditionalFormatting>
  <conditionalFormatting sqref="D811">
    <cfRule type="cellIs" dxfId="1" priority="1914" operator="equal">
      <formula>0</formula>
    </cfRule>
  </conditionalFormatting>
  <conditionalFormatting sqref="D812">
    <cfRule type="cellIs" dxfId="1" priority="1916" operator="equal">
      <formula>0</formula>
    </cfRule>
  </conditionalFormatting>
  <conditionalFormatting sqref="D814">
    <cfRule type="expression" dxfId="0" priority="1918">
      <formula>D815=0</formula>
    </cfRule>
  </conditionalFormatting>
  <conditionalFormatting sqref="D815">
    <cfRule type="cellIs" dxfId="1" priority="1922" operator="equal">
      <formula>0</formula>
    </cfRule>
  </conditionalFormatting>
  <conditionalFormatting sqref="D817">
    <cfRule type="cellIs" dxfId="1" priority="1926" operator="equal">
      <formula>0</formula>
    </cfRule>
  </conditionalFormatting>
  <conditionalFormatting sqref="D818">
    <cfRule type="cellIs" dxfId="1" priority="1927" operator="equal">
      <formula>0</formula>
    </cfRule>
  </conditionalFormatting>
  <conditionalFormatting sqref="D819">
    <cfRule type="cellIs" dxfId="1" priority="1929" operator="equal">
      <formula>0</formula>
    </cfRule>
  </conditionalFormatting>
  <conditionalFormatting sqref="D82">
    <cfRule type="cellIs" dxfId="1" priority="137" operator="equal">
      <formula>0</formula>
    </cfRule>
  </conditionalFormatting>
  <conditionalFormatting sqref="D822">
    <cfRule type="cellIs" dxfId="1" priority="1932" operator="equal">
      <formula>0</formula>
    </cfRule>
  </conditionalFormatting>
  <conditionalFormatting sqref="D823">
    <cfRule type="cellIs" dxfId="1" priority="1934" operator="equal">
      <formula>0</formula>
    </cfRule>
  </conditionalFormatting>
  <conditionalFormatting sqref="D831">
    <cfRule type="expression" dxfId="0" priority="1937">
      <formula>D832=0</formula>
    </cfRule>
  </conditionalFormatting>
  <conditionalFormatting sqref="D832">
    <cfRule type="cellIs" dxfId="1" priority="1943" operator="equal">
      <formula>0</formula>
    </cfRule>
  </conditionalFormatting>
  <conditionalFormatting sqref="D833">
    <cfRule type="cellIs" dxfId="1" priority="1949" operator="equal">
      <formula>0</formula>
    </cfRule>
  </conditionalFormatting>
  <conditionalFormatting sqref="D834">
    <cfRule type="cellIs" dxfId="1" priority="1954" operator="equal">
      <formula>0</formula>
    </cfRule>
  </conditionalFormatting>
  <conditionalFormatting sqref="D835">
    <cfRule type="cellIs" dxfId="1" priority="1959" operator="equal">
      <formula>0</formula>
    </cfRule>
  </conditionalFormatting>
  <conditionalFormatting sqref="D836">
    <cfRule type="cellIs" dxfId="1" priority="1964" operator="equal">
      <formula>0</formula>
    </cfRule>
  </conditionalFormatting>
  <conditionalFormatting sqref="D837">
    <cfRule type="cellIs" dxfId="1" priority="1969" operator="equal">
      <formula>0</formula>
    </cfRule>
  </conditionalFormatting>
  <conditionalFormatting sqref="D838">
    <cfRule type="cellIs" dxfId="1" priority="1974" operator="equal">
      <formula>0</formula>
    </cfRule>
  </conditionalFormatting>
  <conditionalFormatting sqref="D839">
    <cfRule type="cellIs" dxfId="1" priority="1979" operator="equal">
      <formula>0</formula>
    </cfRule>
  </conditionalFormatting>
  <conditionalFormatting sqref="D84">
    <cfRule type="expression" dxfId="0" priority="142">
      <formula>D85=0</formula>
    </cfRule>
  </conditionalFormatting>
  <conditionalFormatting sqref="D840">
    <cfRule type="cellIs" dxfId="1" priority="1984" operator="equal">
      <formula>0</formula>
    </cfRule>
  </conditionalFormatting>
  <conditionalFormatting sqref="D841">
    <cfRule type="cellIs" dxfId="1" priority="1989" operator="equal">
      <formula>0</formula>
    </cfRule>
  </conditionalFormatting>
  <conditionalFormatting sqref="D842">
    <cfRule type="cellIs" dxfId="1" priority="1995" operator="equal">
      <formula>0</formula>
    </cfRule>
  </conditionalFormatting>
  <conditionalFormatting sqref="D843">
    <cfRule type="cellIs" dxfId="1" priority="2000" operator="equal">
      <formula>0</formula>
    </cfRule>
  </conditionalFormatting>
  <conditionalFormatting sqref="D845">
    <cfRule type="expression" dxfId="0" priority="2006">
      <formula>D846=0</formula>
    </cfRule>
  </conditionalFormatting>
  <conditionalFormatting sqref="D846">
    <cfRule type="cellIs" dxfId="1" priority="2010" operator="equal">
      <formula>0</formula>
    </cfRule>
  </conditionalFormatting>
  <conditionalFormatting sqref="D847">
    <cfRule type="cellIs" dxfId="1" priority="2014" operator="equal">
      <formula>0</formula>
    </cfRule>
  </conditionalFormatting>
  <conditionalFormatting sqref="D848">
    <cfRule type="cellIs" dxfId="1" priority="2016" operator="equal">
      <formula>0</formula>
    </cfRule>
  </conditionalFormatting>
  <conditionalFormatting sqref="D849">
    <cfRule type="cellIs" dxfId="1" priority="2018" operator="equal">
      <formula>0</formula>
    </cfRule>
  </conditionalFormatting>
  <conditionalFormatting sqref="D85">
    <cfRule type="cellIs" dxfId="1" priority="145" operator="equal">
      <formula>0</formula>
    </cfRule>
  </conditionalFormatting>
  <conditionalFormatting sqref="D850">
    <cfRule type="cellIs" dxfId="1" priority="2020" operator="equal">
      <formula>0</formula>
    </cfRule>
  </conditionalFormatting>
  <conditionalFormatting sqref="D851">
    <cfRule type="cellIs" dxfId="1" priority="2022" operator="equal">
      <formula>0</formula>
    </cfRule>
  </conditionalFormatting>
  <conditionalFormatting sqref="D852">
    <cfRule type="cellIs" dxfId="1" priority="2024" operator="equal">
      <formula>0</formula>
    </cfRule>
  </conditionalFormatting>
  <conditionalFormatting sqref="D854">
    <cfRule type="cellIs" dxfId="1" priority="2029" operator="equal">
      <formula>0</formula>
    </cfRule>
  </conditionalFormatting>
  <conditionalFormatting sqref="D855">
    <cfRule type="cellIs" dxfId="1" priority="2031" operator="equal">
      <formula>0</formula>
    </cfRule>
  </conditionalFormatting>
  <conditionalFormatting sqref="D856">
    <cfRule type="cellIs" dxfId="1" priority="2033" operator="equal">
      <formula>0</formula>
    </cfRule>
  </conditionalFormatting>
  <conditionalFormatting sqref="D857">
    <cfRule type="cellIs" dxfId="1" priority="2035" operator="equal">
      <formula>0</formula>
    </cfRule>
  </conditionalFormatting>
  <conditionalFormatting sqref="D859">
    <cfRule type="expression" dxfId="0" priority="2037">
      <formula>D860=0</formula>
    </cfRule>
  </conditionalFormatting>
  <conditionalFormatting sqref="D86">
    <cfRule type="cellIs" dxfId="1" priority="148" operator="equal">
      <formula>0</formula>
    </cfRule>
  </conditionalFormatting>
  <conditionalFormatting sqref="D860">
    <cfRule type="cellIs" dxfId="1" priority="2044" operator="equal">
      <formula>0</formula>
    </cfRule>
  </conditionalFormatting>
  <conditionalFormatting sqref="D862">
    <cfRule type="cellIs" dxfId="1" priority="2051" operator="equal">
      <formula>0</formula>
    </cfRule>
  </conditionalFormatting>
  <conditionalFormatting sqref="D863">
    <cfRule type="cellIs" dxfId="1" priority="2053" operator="equal">
      <formula>0</formula>
    </cfRule>
  </conditionalFormatting>
  <conditionalFormatting sqref="D868">
    <cfRule type="cellIs" dxfId="1" priority="2064" operator="equal">
      <formula>0</formula>
    </cfRule>
  </conditionalFormatting>
  <conditionalFormatting sqref="D87">
    <cfRule type="cellIs" dxfId="1" priority="149" operator="equal">
      <formula>0</formula>
    </cfRule>
  </conditionalFormatting>
  <conditionalFormatting sqref="D873">
    <cfRule type="expression" dxfId="0" priority="2073">
      <formula>D874=0</formula>
    </cfRule>
  </conditionalFormatting>
  <conditionalFormatting sqref="D874">
    <cfRule type="cellIs" dxfId="1" priority="2075" operator="equal">
      <formula>0</formula>
    </cfRule>
  </conditionalFormatting>
  <conditionalFormatting sqref="D880">
    <cfRule type="cellIs" dxfId="1" priority="2081" operator="equal">
      <formula>0</formula>
    </cfRule>
  </conditionalFormatting>
  <conditionalFormatting sqref="D883">
    <cfRule type="cellIs" dxfId="1" priority="2084" operator="equal">
      <formula>0</formula>
    </cfRule>
  </conditionalFormatting>
  <conditionalFormatting sqref="D89">
    <cfRule type="expression" dxfId="0" priority="152">
      <formula>D90=0</formula>
    </cfRule>
  </conditionalFormatting>
  <conditionalFormatting sqref="D90">
    <cfRule type="cellIs" dxfId="1" priority="155" operator="equal">
      <formula>0</formula>
    </cfRule>
  </conditionalFormatting>
  <conditionalFormatting sqref="D91">
    <cfRule type="cellIs" dxfId="1" priority="158" operator="equal">
      <formula>0</formula>
    </cfRule>
  </conditionalFormatting>
  <conditionalFormatting sqref="D92">
    <cfRule type="cellIs" dxfId="1" priority="159" operator="equal">
      <formula>0</formula>
    </cfRule>
  </conditionalFormatting>
  <conditionalFormatting sqref="E105">
    <cfRule type="expression" dxfId="0" priority="167">
      <formula>E106=0</formula>
    </cfRule>
  </conditionalFormatting>
  <conditionalFormatting sqref="E106">
    <cfRule type="cellIs" dxfId="1" priority="173" operator="equal">
      <formula>0</formula>
    </cfRule>
  </conditionalFormatting>
  <conditionalFormatting sqref="E107">
    <cfRule type="cellIs" dxfId="1" priority="179" operator="equal">
      <formula>0</formula>
    </cfRule>
  </conditionalFormatting>
  <conditionalFormatting sqref="E108">
    <cfRule type="cellIs" dxfId="1" priority="183" operator="equal">
      <formula>0</formula>
    </cfRule>
  </conditionalFormatting>
  <conditionalFormatting sqref="E109">
    <cfRule type="cellIs" dxfId="1" priority="187" operator="equal">
      <formula>0</formula>
    </cfRule>
  </conditionalFormatting>
  <conditionalFormatting sqref="E110">
    <cfRule type="cellIs" dxfId="1" priority="192" operator="equal">
      <formula>0</formula>
    </cfRule>
  </conditionalFormatting>
  <conditionalFormatting sqref="E111">
    <cfRule type="cellIs" dxfId="1" priority="196" operator="equal">
      <formula>0</formula>
    </cfRule>
  </conditionalFormatting>
  <conditionalFormatting sqref="E112">
    <cfRule type="cellIs" dxfId="1" priority="200" operator="equal">
      <formula>0</formula>
    </cfRule>
  </conditionalFormatting>
  <conditionalFormatting sqref="E113">
    <cfRule type="cellIs" dxfId="1" priority="204" operator="equal">
      <formula>0</formula>
    </cfRule>
  </conditionalFormatting>
  <conditionalFormatting sqref="E114">
    <cfRule type="cellIs" dxfId="1" priority="209" operator="equal">
      <formula>0</formula>
    </cfRule>
  </conditionalFormatting>
  <conditionalFormatting sqref="E115">
    <cfRule type="cellIs" dxfId="1" priority="215" operator="equal">
      <formula>0</formula>
    </cfRule>
  </conditionalFormatting>
  <conditionalFormatting sqref="E117">
    <cfRule type="expression" dxfId="0" priority="219">
      <formula>E118=0</formula>
    </cfRule>
  </conditionalFormatting>
  <conditionalFormatting sqref="E118">
    <cfRule type="cellIs" dxfId="1" priority="223" operator="equal">
      <formula>0</formula>
    </cfRule>
  </conditionalFormatting>
  <conditionalFormatting sqref="E121">
    <cfRule type="cellIs" dxfId="1" priority="229" operator="equal">
      <formula>0</formula>
    </cfRule>
  </conditionalFormatting>
  <conditionalFormatting sqref="E122">
    <cfRule type="cellIs" dxfId="1" priority="232" operator="equal">
      <formula>0</formula>
    </cfRule>
  </conditionalFormatting>
  <conditionalFormatting sqref="E126">
    <cfRule type="cellIs" dxfId="1" priority="240" operator="equal">
      <formula>0</formula>
    </cfRule>
  </conditionalFormatting>
  <conditionalFormatting sqref="E129">
    <cfRule type="expression" dxfId="0" priority="244">
      <formula>E130=0</formula>
    </cfRule>
  </conditionalFormatting>
  <conditionalFormatting sqref="E130">
    <cfRule type="cellIs" dxfId="1" priority="250" operator="equal">
      <formula>0</formula>
    </cfRule>
  </conditionalFormatting>
  <conditionalFormatting sqref="E132">
    <cfRule type="cellIs" dxfId="1" priority="257" operator="equal">
      <formula>0</formula>
    </cfRule>
  </conditionalFormatting>
  <conditionalFormatting sqref="E137">
    <cfRule type="cellIs" dxfId="1" priority="266" operator="equal">
      <formula>0</formula>
    </cfRule>
  </conditionalFormatting>
  <conditionalFormatting sqref="E139">
    <cfRule type="cellIs" dxfId="1" priority="271" operator="equal">
      <formula>0</formula>
    </cfRule>
  </conditionalFormatting>
  <conditionalFormatting sqref="E141">
    <cfRule type="expression" dxfId="0" priority="274">
      <formula>E142=0</formula>
    </cfRule>
  </conditionalFormatting>
  <conditionalFormatting sqref="E142">
    <cfRule type="cellIs" dxfId="1" priority="278" operator="equal">
      <formula>0</formula>
    </cfRule>
  </conditionalFormatting>
  <conditionalFormatting sqref="E145">
    <cfRule type="cellIs" dxfId="1" priority="284" operator="equal">
      <formula>0</formula>
    </cfRule>
  </conditionalFormatting>
  <conditionalFormatting sqref="E159">
    <cfRule type="expression" dxfId="0" priority="299">
      <formula>E160=0</formula>
    </cfRule>
  </conditionalFormatting>
  <conditionalFormatting sqref="E160">
    <cfRule type="cellIs" dxfId="1" priority="304" operator="equal">
      <formula>0</formula>
    </cfRule>
  </conditionalFormatting>
  <conditionalFormatting sqref="E161">
    <cfRule type="cellIs" dxfId="1" priority="309" operator="equal">
      <formula>0</formula>
    </cfRule>
  </conditionalFormatting>
  <conditionalFormatting sqref="E167">
    <cfRule type="expression" dxfId="0" priority="320">
      <formula>E168=0</formula>
    </cfRule>
  </conditionalFormatting>
  <conditionalFormatting sqref="E168">
    <cfRule type="cellIs" dxfId="1" priority="323" operator="equal">
      <formula>0</formula>
    </cfRule>
  </conditionalFormatting>
  <conditionalFormatting sqref="E169">
    <cfRule type="cellIs" dxfId="1" priority="326" operator="equal">
      <formula>0</formula>
    </cfRule>
  </conditionalFormatting>
  <conditionalFormatting sqref="E181">
    <cfRule type="expression" dxfId="0" priority="332">
      <formula>E182=0</formula>
    </cfRule>
  </conditionalFormatting>
  <conditionalFormatting sqref="E182">
    <cfRule type="cellIs" dxfId="1" priority="338" operator="equal">
      <formula>0</formula>
    </cfRule>
  </conditionalFormatting>
  <conditionalFormatting sqref="E183">
    <cfRule type="cellIs" dxfId="1" priority="344" operator="equal">
      <formula>0</formula>
    </cfRule>
  </conditionalFormatting>
  <conditionalFormatting sqref="E184">
    <cfRule type="cellIs" dxfId="1" priority="349" operator="equal">
      <formula>0</formula>
    </cfRule>
  </conditionalFormatting>
  <conditionalFormatting sqref="E185">
    <cfRule type="cellIs" dxfId="1" priority="353" operator="equal">
      <formula>0</formula>
    </cfRule>
  </conditionalFormatting>
  <conditionalFormatting sqref="E186">
    <cfRule type="cellIs" dxfId="1" priority="358" operator="equal">
      <formula>0</formula>
    </cfRule>
  </conditionalFormatting>
  <conditionalFormatting sqref="E187">
    <cfRule type="cellIs" dxfId="1" priority="362" operator="equal">
      <formula>0</formula>
    </cfRule>
  </conditionalFormatting>
  <conditionalFormatting sqref="E189">
    <cfRule type="expression" dxfId="0" priority="367">
      <formula>E190=0</formula>
    </cfRule>
  </conditionalFormatting>
  <conditionalFormatting sqref="E190">
    <cfRule type="cellIs" dxfId="1" priority="371" operator="equal">
      <formula>0</formula>
    </cfRule>
  </conditionalFormatting>
  <conditionalFormatting sqref="E193">
    <cfRule type="cellIs" dxfId="1" priority="377" operator="equal">
      <formula>0</formula>
    </cfRule>
  </conditionalFormatting>
  <conditionalFormatting sqref="E195">
    <cfRule type="cellIs" dxfId="1" priority="380" operator="equal">
      <formula>0</formula>
    </cfRule>
  </conditionalFormatting>
  <conditionalFormatting sqref="E197">
    <cfRule type="expression" dxfId="0" priority="384">
      <formula>E198=0</formula>
    </cfRule>
  </conditionalFormatting>
  <conditionalFormatting sqref="E198">
    <cfRule type="cellIs" dxfId="1" priority="387" operator="equal">
      <formula>0</formula>
    </cfRule>
  </conditionalFormatting>
  <conditionalFormatting sqref="E201">
    <cfRule type="cellIs" dxfId="1" priority="394" operator="equal">
      <formula>0</formula>
    </cfRule>
  </conditionalFormatting>
  <conditionalFormatting sqref="E203">
    <cfRule type="cellIs" dxfId="1" priority="399" operator="equal">
      <formula>0</formula>
    </cfRule>
  </conditionalFormatting>
  <conditionalFormatting sqref="E219">
    <cfRule type="expression" dxfId="0" priority="413">
      <formula>E220=0</formula>
    </cfRule>
  </conditionalFormatting>
  <conditionalFormatting sqref="E220">
    <cfRule type="cellIs" dxfId="1" priority="421" operator="equal">
      <formula>0</formula>
    </cfRule>
  </conditionalFormatting>
  <conditionalFormatting sqref="E221">
    <cfRule type="cellIs" dxfId="1" priority="429" operator="equal">
      <formula>0</formula>
    </cfRule>
  </conditionalFormatting>
  <conditionalFormatting sqref="E222">
    <cfRule type="cellIs" dxfId="1" priority="433" operator="equal">
      <formula>0</formula>
    </cfRule>
  </conditionalFormatting>
  <conditionalFormatting sqref="E223">
    <cfRule type="cellIs" dxfId="1" priority="437" operator="equal">
      <formula>0</formula>
    </cfRule>
  </conditionalFormatting>
  <conditionalFormatting sqref="E224">
    <cfRule type="cellIs" dxfId="1" priority="441" operator="equal">
      <formula>0</formula>
    </cfRule>
  </conditionalFormatting>
  <conditionalFormatting sqref="E225">
    <cfRule type="cellIs" dxfId="1" priority="445" operator="equal">
      <formula>0</formula>
    </cfRule>
  </conditionalFormatting>
  <conditionalFormatting sqref="E226">
    <cfRule type="cellIs" dxfId="1" priority="450" operator="equal">
      <formula>0</formula>
    </cfRule>
  </conditionalFormatting>
  <conditionalFormatting sqref="E227">
    <cfRule type="cellIs" dxfId="1" priority="454" operator="equal">
      <formula>0</formula>
    </cfRule>
  </conditionalFormatting>
  <conditionalFormatting sqref="E228">
    <cfRule type="cellIs" dxfId="1" priority="459" operator="equal">
      <formula>0</formula>
    </cfRule>
  </conditionalFormatting>
  <conditionalFormatting sqref="E229">
    <cfRule type="cellIs" dxfId="1" priority="464" operator="equal">
      <formula>0</formula>
    </cfRule>
  </conditionalFormatting>
  <conditionalFormatting sqref="E230">
    <cfRule type="cellIs" dxfId="1" priority="469" operator="equal">
      <formula>0</formula>
    </cfRule>
  </conditionalFormatting>
  <conditionalFormatting sqref="E231">
    <cfRule type="cellIs" dxfId="1" priority="473" operator="equal">
      <formula>0</formula>
    </cfRule>
  </conditionalFormatting>
  <conditionalFormatting sqref="E232">
    <cfRule type="cellIs" dxfId="1" priority="477" operator="equal">
      <formula>0</formula>
    </cfRule>
  </conditionalFormatting>
  <conditionalFormatting sqref="E233">
    <cfRule type="cellIs" dxfId="1" priority="481" operator="equal">
      <formula>0</formula>
    </cfRule>
  </conditionalFormatting>
  <conditionalFormatting sqref="E234">
    <cfRule type="cellIs" dxfId="1" priority="486" operator="equal">
      <formula>0</formula>
    </cfRule>
  </conditionalFormatting>
  <conditionalFormatting sqref="E235">
    <cfRule type="cellIs" dxfId="1" priority="492" operator="equal">
      <formula>0</formula>
    </cfRule>
  </conditionalFormatting>
  <conditionalFormatting sqref="E238">
    <cfRule type="expression" dxfId="0" priority="503">
      <formula>E239=0</formula>
    </cfRule>
  </conditionalFormatting>
  <conditionalFormatting sqref="E239">
    <cfRule type="cellIs" dxfId="1" priority="508" operator="equal">
      <formula>0</formula>
    </cfRule>
  </conditionalFormatting>
  <conditionalFormatting sqref="E241">
    <cfRule type="cellIs" dxfId="1" priority="514" operator="equal">
      <formula>0</formula>
    </cfRule>
  </conditionalFormatting>
  <conditionalFormatting sqref="E257">
    <cfRule type="expression" dxfId="0" priority="543">
      <formula>E258=0</formula>
    </cfRule>
  </conditionalFormatting>
  <conditionalFormatting sqref="E258">
    <cfRule type="cellIs" dxfId="1" priority="551" operator="equal">
      <formula>0</formula>
    </cfRule>
  </conditionalFormatting>
  <conditionalFormatting sqref="E260">
    <cfRule type="cellIs" dxfId="1" priority="559" operator="equal">
      <formula>0</formula>
    </cfRule>
  </conditionalFormatting>
  <conditionalFormatting sqref="E261">
    <cfRule type="cellIs" dxfId="1" priority="560" operator="equal">
      <formula>0</formula>
    </cfRule>
  </conditionalFormatting>
  <conditionalFormatting sqref="E265">
    <cfRule type="cellIs" dxfId="1" priority="571" operator="equal">
      <formula>0</formula>
    </cfRule>
  </conditionalFormatting>
  <conditionalFormatting sqref="E266">
    <cfRule type="cellIs" dxfId="1" priority="572" operator="equal">
      <formula>0</formula>
    </cfRule>
  </conditionalFormatting>
  <conditionalFormatting sqref="E276">
    <cfRule type="expression" dxfId="0" priority="591">
      <formula>E277=0</formula>
    </cfRule>
  </conditionalFormatting>
  <conditionalFormatting sqref="E277">
    <cfRule type="cellIs" dxfId="1" priority="596" operator="equal">
      <formula>0</formula>
    </cfRule>
  </conditionalFormatting>
  <conditionalFormatting sqref="E279">
    <cfRule type="cellIs" dxfId="1" priority="601" operator="equal">
      <formula>0</formula>
    </cfRule>
  </conditionalFormatting>
  <conditionalFormatting sqref="E286">
    <cfRule type="cellIs" dxfId="1" priority="611" operator="equal">
      <formula>0</formula>
    </cfRule>
  </conditionalFormatting>
  <conditionalFormatting sqref="E288">
    <cfRule type="cellIs" dxfId="1" priority="614" operator="equal">
      <formula>0</formula>
    </cfRule>
  </conditionalFormatting>
  <conditionalFormatting sqref="E29">
    <cfRule type="expression" dxfId="0" priority="3">
      <formula>E30=0</formula>
    </cfRule>
  </conditionalFormatting>
  <conditionalFormatting sqref="E290">
    <cfRule type="cellIs" dxfId="1" priority="618" operator="equal">
      <formula>0</formula>
    </cfRule>
  </conditionalFormatting>
  <conditionalFormatting sqref="E291">
    <cfRule type="cellIs" dxfId="1" priority="620" operator="equal">
      <formula>0</formula>
    </cfRule>
  </conditionalFormatting>
  <conditionalFormatting sqref="E292">
    <cfRule type="cellIs" dxfId="1" priority="622" operator="equal">
      <formula>0</formula>
    </cfRule>
  </conditionalFormatting>
  <conditionalFormatting sqref="E30">
    <cfRule type="cellIs" dxfId="1" priority="9" operator="equal">
      <formula>0</formula>
    </cfRule>
  </conditionalFormatting>
  <conditionalFormatting sqref="E301">
    <cfRule type="expression" dxfId="0" priority="628">
      <formula>E302=0</formula>
    </cfRule>
  </conditionalFormatting>
  <conditionalFormatting sqref="E302">
    <cfRule type="cellIs" dxfId="1" priority="636" operator="equal">
      <formula>0</formula>
    </cfRule>
  </conditionalFormatting>
  <conditionalFormatting sqref="E303">
    <cfRule type="cellIs" dxfId="1" priority="644" operator="equal">
      <formula>0</formula>
    </cfRule>
  </conditionalFormatting>
  <conditionalFormatting sqref="E304">
    <cfRule type="cellIs" dxfId="1" priority="649" operator="equal">
      <formula>0</formula>
    </cfRule>
  </conditionalFormatting>
  <conditionalFormatting sqref="E305">
    <cfRule type="cellIs" dxfId="1" priority="655" operator="equal">
      <formula>0</formula>
    </cfRule>
  </conditionalFormatting>
  <conditionalFormatting sqref="E306">
    <cfRule type="cellIs" dxfId="1" priority="660" operator="equal">
      <formula>0</formula>
    </cfRule>
  </conditionalFormatting>
  <conditionalFormatting sqref="E307">
    <cfRule type="cellIs" dxfId="1" priority="665" operator="equal">
      <formula>0</formula>
    </cfRule>
  </conditionalFormatting>
  <conditionalFormatting sqref="E308">
    <cfRule type="cellIs" dxfId="1" priority="670" operator="equal">
      <formula>0</formula>
    </cfRule>
  </conditionalFormatting>
  <conditionalFormatting sqref="E309">
    <cfRule type="cellIs" dxfId="1" priority="674" operator="equal">
      <formula>0</formula>
    </cfRule>
  </conditionalFormatting>
  <conditionalFormatting sqref="E31">
    <cfRule type="cellIs" dxfId="1" priority="15" operator="equal">
      <formula>0</formula>
    </cfRule>
  </conditionalFormatting>
  <conditionalFormatting sqref="E310">
    <cfRule type="cellIs" dxfId="1" priority="679" operator="equal">
      <formula>0</formula>
    </cfRule>
  </conditionalFormatting>
  <conditionalFormatting sqref="E311">
    <cfRule type="cellIs" dxfId="1" priority="683" operator="equal">
      <formula>0</formula>
    </cfRule>
  </conditionalFormatting>
  <conditionalFormatting sqref="E312">
    <cfRule type="cellIs" dxfId="1" priority="689" operator="equal">
      <formula>0</formula>
    </cfRule>
  </conditionalFormatting>
  <conditionalFormatting sqref="E313">
    <cfRule type="cellIs" dxfId="1" priority="694" operator="equal">
      <formula>0</formula>
    </cfRule>
  </conditionalFormatting>
  <conditionalFormatting sqref="E314">
    <cfRule type="cellIs" dxfId="1" priority="698" operator="equal">
      <formula>0</formula>
    </cfRule>
  </conditionalFormatting>
  <conditionalFormatting sqref="E315">
    <cfRule type="cellIs" dxfId="1" priority="703" operator="equal">
      <formula>0</formula>
    </cfRule>
  </conditionalFormatting>
  <conditionalFormatting sqref="E316">
    <cfRule type="cellIs" dxfId="1" priority="708" operator="equal">
      <formula>0</formula>
    </cfRule>
  </conditionalFormatting>
  <conditionalFormatting sqref="E317">
    <cfRule type="cellIs" dxfId="1" priority="712" operator="equal">
      <formula>0</formula>
    </cfRule>
  </conditionalFormatting>
  <conditionalFormatting sqref="E318">
    <cfRule type="cellIs" dxfId="1" priority="718" operator="equal">
      <formula>0</formula>
    </cfRule>
  </conditionalFormatting>
  <conditionalFormatting sqref="E319">
    <cfRule type="cellIs" dxfId="1" priority="722" operator="equal">
      <formula>0</formula>
    </cfRule>
  </conditionalFormatting>
  <conditionalFormatting sqref="E32">
    <cfRule type="cellIs" dxfId="1" priority="21" operator="equal">
      <formula>0</formula>
    </cfRule>
  </conditionalFormatting>
  <conditionalFormatting sqref="E320">
    <cfRule type="cellIs" dxfId="1" priority="727" operator="equal">
      <formula>0</formula>
    </cfRule>
  </conditionalFormatting>
  <conditionalFormatting sqref="E321">
    <cfRule type="cellIs" dxfId="1" priority="732" operator="equal">
      <formula>0</formula>
    </cfRule>
  </conditionalFormatting>
  <conditionalFormatting sqref="E322">
    <cfRule type="cellIs" dxfId="1" priority="737" operator="equal">
      <formula>0</formula>
    </cfRule>
  </conditionalFormatting>
  <conditionalFormatting sqref="E323">
    <cfRule type="cellIs" dxfId="1" priority="742" operator="equal">
      <formula>0</formula>
    </cfRule>
  </conditionalFormatting>
  <conditionalFormatting sqref="E324">
    <cfRule type="cellIs" dxfId="1" priority="746" operator="equal">
      <formula>0</formula>
    </cfRule>
  </conditionalFormatting>
  <conditionalFormatting sqref="E325">
    <cfRule type="cellIs" dxfId="1" priority="751" operator="equal">
      <formula>0</formula>
    </cfRule>
  </conditionalFormatting>
  <conditionalFormatting sqref="E326">
    <cfRule type="cellIs" dxfId="1" priority="755" operator="equal">
      <formula>0</formula>
    </cfRule>
  </conditionalFormatting>
  <conditionalFormatting sqref="E329">
    <cfRule type="expression" dxfId="0" priority="764">
      <formula>E330=0</formula>
    </cfRule>
  </conditionalFormatting>
  <conditionalFormatting sqref="E33">
    <cfRule type="cellIs" dxfId="1" priority="26" operator="equal">
      <formula>0</formula>
    </cfRule>
  </conditionalFormatting>
  <conditionalFormatting sqref="E330">
    <cfRule type="cellIs" dxfId="1" priority="769" operator="equal">
      <formula>0</formula>
    </cfRule>
  </conditionalFormatting>
  <conditionalFormatting sqref="E333">
    <cfRule type="cellIs" dxfId="1" priority="776" operator="equal">
      <formula>0</formula>
    </cfRule>
  </conditionalFormatting>
  <conditionalFormatting sqref="E339">
    <cfRule type="cellIs" dxfId="1" priority="786" operator="equal">
      <formula>0</formula>
    </cfRule>
  </conditionalFormatting>
  <conditionalFormatting sqref="E34">
    <cfRule type="cellIs" dxfId="1" priority="30" operator="equal">
      <formula>0</formula>
    </cfRule>
  </conditionalFormatting>
  <conditionalFormatting sqref="E344">
    <cfRule type="cellIs" dxfId="1" priority="797" operator="equal">
      <formula>0</formula>
    </cfRule>
  </conditionalFormatting>
  <conditionalFormatting sqref="E346">
    <cfRule type="cellIs" dxfId="1" priority="801" operator="equal">
      <formula>0</formula>
    </cfRule>
  </conditionalFormatting>
  <conditionalFormatting sqref="E348">
    <cfRule type="cellIs" dxfId="1" priority="804" operator="equal">
      <formula>0</formula>
    </cfRule>
  </conditionalFormatting>
  <conditionalFormatting sqref="E349">
    <cfRule type="cellIs" dxfId="1" priority="806" operator="equal">
      <formula>0</formula>
    </cfRule>
  </conditionalFormatting>
  <conditionalFormatting sqref="E35">
    <cfRule type="cellIs" dxfId="1" priority="34" operator="equal">
      <formula>0</formula>
    </cfRule>
  </conditionalFormatting>
  <conditionalFormatting sqref="E350">
    <cfRule type="cellIs" dxfId="1" priority="808" operator="equal">
      <formula>0</formula>
    </cfRule>
  </conditionalFormatting>
  <conditionalFormatting sqref="E351">
    <cfRule type="cellIs" dxfId="1" priority="810" operator="equal">
      <formula>0</formula>
    </cfRule>
  </conditionalFormatting>
  <conditionalFormatting sqref="E353">
    <cfRule type="cellIs" dxfId="1" priority="815" operator="equal">
      <formula>0</formula>
    </cfRule>
  </conditionalFormatting>
  <conditionalFormatting sqref="E357">
    <cfRule type="expression" dxfId="0" priority="821">
      <formula>E358=0</formula>
    </cfRule>
  </conditionalFormatting>
  <conditionalFormatting sqref="E358">
    <cfRule type="cellIs" dxfId="1" priority="829" operator="equal">
      <formula>0</formula>
    </cfRule>
  </conditionalFormatting>
  <conditionalFormatting sqref="E36">
    <cfRule type="cellIs" dxfId="1" priority="38" operator="equal">
      <formula>0</formula>
    </cfRule>
  </conditionalFormatting>
  <conditionalFormatting sqref="E362">
    <cfRule type="cellIs" dxfId="1" priority="838" operator="equal">
      <formula>0</formula>
    </cfRule>
  </conditionalFormatting>
  <conditionalFormatting sqref="E37">
    <cfRule type="cellIs" dxfId="1" priority="43" operator="equal">
      <formula>0</formula>
    </cfRule>
  </conditionalFormatting>
  <conditionalFormatting sqref="E38">
    <cfRule type="cellIs" dxfId="1" priority="48" operator="equal">
      <formula>0</formula>
    </cfRule>
  </conditionalFormatting>
  <conditionalFormatting sqref="E385">
    <cfRule type="expression" dxfId="0" priority="885">
      <formula>E386=0</formula>
    </cfRule>
  </conditionalFormatting>
  <conditionalFormatting sqref="E386">
    <cfRule type="cellIs" dxfId="1" priority="890" operator="equal">
      <formula>0</formula>
    </cfRule>
  </conditionalFormatting>
  <conditionalFormatting sqref="E389">
    <cfRule type="cellIs" dxfId="1" priority="896" operator="equal">
      <formula>0</formula>
    </cfRule>
  </conditionalFormatting>
  <conditionalFormatting sqref="E390">
    <cfRule type="cellIs" dxfId="1" priority="897" operator="equal">
      <formula>0</formula>
    </cfRule>
  </conditionalFormatting>
  <conditionalFormatting sqref="E40">
    <cfRule type="expression" dxfId="0" priority="54">
      <formula>E41=0</formula>
    </cfRule>
  </conditionalFormatting>
  <conditionalFormatting sqref="E400">
    <cfRule type="cellIs" dxfId="1" priority="912" operator="equal">
      <formula>0</formula>
    </cfRule>
  </conditionalFormatting>
  <conditionalFormatting sqref="E404">
    <cfRule type="cellIs" dxfId="1" priority="917" operator="equal">
      <formula>0</formula>
    </cfRule>
  </conditionalFormatting>
  <conditionalFormatting sqref="E406">
    <cfRule type="cellIs" dxfId="1" priority="921" operator="equal">
      <formula>0</formula>
    </cfRule>
  </conditionalFormatting>
  <conditionalFormatting sqref="E407">
    <cfRule type="cellIs" dxfId="1" priority="922" operator="equal">
      <formula>0</formula>
    </cfRule>
  </conditionalFormatting>
  <conditionalFormatting sqref="E409">
    <cfRule type="cellIs" dxfId="1" priority="926" operator="equal">
      <formula>0</formula>
    </cfRule>
  </conditionalFormatting>
  <conditionalFormatting sqref="E41">
    <cfRule type="cellIs" dxfId="1" priority="58" operator="equal">
      <formula>0</formula>
    </cfRule>
  </conditionalFormatting>
  <conditionalFormatting sqref="E419">
    <cfRule type="expression" dxfId="0" priority="932">
      <formula>E420=0</formula>
    </cfRule>
  </conditionalFormatting>
  <conditionalFormatting sqref="E420">
    <cfRule type="cellIs" dxfId="1" priority="940" operator="equal">
      <formula>0</formula>
    </cfRule>
  </conditionalFormatting>
  <conditionalFormatting sqref="E421">
    <cfRule type="cellIs" dxfId="1" priority="948" operator="equal">
      <formula>0</formula>
    </cfRule>
  </conditionalFormatting>
  <conditionalFormatting sqref="E423">
    <cfRule type="cellIs" dxfId="1" priority="957" operator="equal">
      <formula>0</formula>
    </cfRule>
  </conditionalFormatting>
  <conditionalFormatting sqref="E424">
    <cfRule type="cellIs" dxfId="1" priority="963" operator="equal">
      <formula>0</formula>
    </cfRule>
  </conditionalFormatting>
  <conditionalFormatting sqref="E426">
    <cfRule type="expression" dxfId="0" priority="968">
      <formula>E427=0</formula>
    </cfRule>
  </conditionalFormatting>
  <conditionalFormatting sqref="E427">
    <cfRule type="cellIs" dxfId="1" priority="972" operator="equal">
      <formula>0</formula>
    </cfRule>
  </conditionalFormatting>
  <conditionalFormatting sqref="E429">
    <cfRule type="cellIs" dxfId="1" priority="976" operator="equal">
      <formula>0</formula>
    </cfRule>
  </conditionalFormatting>
  <conditionalFormatting sqref="E43">
    <cfRule type="cellIs" dxfId="1" priority="62" operator="equal">
      <formula>0</formula>
    </cfRule>
  </conditionalFormatting>
  <conditionalFormatting sqref="E430">
    <cfRule type="cellIs" dxfId="1" priority="978" operator="equal">
      <formula>0</formula>
    </cfRule>
  </conditionalFormatting>
  <conditionalFormatting sqref="E433">
    <cfRule type="expression" dxfId="0" priority="984">
      <formula>E434=0</formula>
    </cfRule>
  </conditionalFormatting>
  <conditionalFormatting sqref="E434">
    <cfRule type="cellIs" dxfId="1" priority="988" operator="equal">
      <formula>0</formula>
    </cfRule>
  </conditionalFormatting>
  <conditionalFormatting sqref="E436">
    <cfRule type="cellIs" dxfId="1" priority="993" operator="equal">
      <formula>0</formula>
    </cfRule>
  </conditionalFormatting>
  <conditionalFormatting sqref="E437">
    <cfRule type="cellIs" dxfId="1" priority="995" operator="equal">
      <formula>0</formula>
    </cfRule>
  </conditionalFormatting>
  <conditionalFormatting sqref="E44">
    <cfRule type="cellIs" dxfId="1" priority="64" operator="equal">
      <formula>0</formula>
    </cfRule>
  </conditionalFormatting>
  <conditionalFormatting sqref="E440">
    <cfRule type="expression" dxfId="0" priority="1001">
      <formula>E441=0</formula>
    </cfRule>
  </conditionalFormatting>
  <conditionalFormatting sqref="E441">
    <cfRule type="cellIs" dxfId="1" priority="1006" operator="equal">
      <formula>0</formula>
    </cfRule>
  </conditionalFormatting>
  <conditionalFormatting sqref="E443">
    <cfRule type="cellIs" dxfId="1" priority="1011" operator="equal">
      <formula>0</formula>
    </cfRule>
  </conditionalFormatting>
  <conditionalFormatting sqref="E445">
    <cfRule type="cellIs" dxfId="1" priority="1014" operator="equal">
      <formula>0</formula>
    </cfRule>
  </conditionalFormatting>
  <conditionalFormatting sqref="E45">
    <cfRule type="cellIs" dxfId="1" priority="66" operator="equal">
      <formula>0</formula>
    </cfRule>
  </conditionalFormatting>
  <conditionalFormatting sqref="E453">
    <cfRule type="expression" dxfId="0" priority="1017">
      <formula>E454=0</formula>
    </cfRule>
  </conditionalFormatting>
  <conditionalFormatting sqref="E454">
    <cfRule type="cellIs" dxfId="1" priority="1023" operator="equal">
      <formula>0</formula>
    </cfRule>
  </conditionalFormatting>
  <conditionalFormatting sqref="E455">
    <cfRule type="cellIs" dxfId="1" priority="1029" operator="equal">
      <formula>0</formula>
    </cfRule>
  </conditionalFormatting>
  <conditionalFormatting sqref="E456">
    <cfRule type="cellIs" dxfId="1" priority="1035" operator="equal">
      <formula>0</formula>
    </cfRule>
  </conditionalFormatting>
  <conditionalFormatting sqref="E457">
    <cfRule type="cellIs" dxfId="1" priority="1040" operator="equal">
      <formula>0</formula>
    </cfRule>
  </conditionalFormatting>
  <conditionalFormatting sqref="E458">
    <cfRule type="cellIs" dxfId="1" priority="1045" operator="equal">
      <formula>0</formula>
    </cfRule>
  </conditionalFormatting>
  <conditionalFormatting sqref="E460">
    <cfRule type="expression" dxfId="0" priority="1050">
      <formula>E461=0</formula>
    </cfRule>
  </conditionalFormatting>
  <conditionalFormatting sqref="E461">
    <cfRule type="cellIs" dxfId="1" priority="1053" operator="equal">
      <formula>0</formula>
    </cfRule>
  </conditionalFormatting>
  <conditionalFormatting sqref="E464">
    <cfRule type="cellIs" dxfId="1" priority="1059" operator="equal">
      <formula>0</formula>
    </cfRule>
  </conditionalFormatting>
  <conditionalFormatting sqref="E465">
    <cfRule type="cellIs" dxfId="1" priority="1061" operator="equal">
      <formula>0</formula>
    </cfRule>
  </conditionalFormatting>
  <conditionalFormatting sqref="E474">
    <cfRule type="expression" dxfId="0" priority="1075">
      <formula>E475=0</formula>
    </cfRule>
  </conditionalFormatting>
  <conditionalFormatting sqref="E475">
    <cfRule type="cellIs" dxfId="1" priority="1078" operator="equal">
      <formula>0</formula>
    </cfRule>
  </conditionalFormatting>
  <conditionalFormatting sqref="E479">
    <cfRule type="cellIs" dxfId="1" priority="1083" operator="equal">
      <formula>0</formula>
    </cfRule>
  </conditionalFormatting>
  <conditionalFormatting sqref="E487">
    <cfRule type="expression" dxfId="0" priority="1086">
      <formula>E488=0</formula>
    </cfRule>
  </conditionalFormatting>
  <conditionalFormatting sqref="E488">
    <cfRule type="cellIs" dxfId="1" priority="1094" operator="equal">
      <formula>0</formula>
    </cfRule>
  </conditionalFormatting>
  <conditionalFormatting sqref="E489">
    <cfRule type="cellIs" dxfId="1" priority="1102" operator="equal">
      <formula>0</formula>
    </cfRule>
  </conditionalFormatting>
  <conditionalFormatting sqref="E49">
    <cfRule type="cellIs" dxfId="1" priority="74" operator="equal">
      <formula>0</formula>
    </cfRule>
  </conditionalFormatting>
  <conditionalFormatting sqref="E490">
    <cfRule type="cellIs" dxfId="1" priority="1108" operator="equal">
      <formula>0</formula>
    </cfRule>
  </conditionalFormatting>
  <conditionalFormatting sqref="E491">
    <cfRule type="cellIs" dxfId="1" priority="1113" operator="equal">
      <formula>0</formula>
    </cfRule>
  </conditionalFormatting>
  <conditionalFormatting sqref="E494">
    <cfRule type="expression" dxfId="0" priority="1123">
      <formula>E495=0</formula>
    </cfRule>
  </conditionalFormatting>
  <conditionalFormatting sqref="E495">
    <cfRule type="cellIs" dxfId="1" priority="1128" operator="equal">
      <formula>0</formula>
    </cfRule>
  </conditionalFormatting>
  <conditionalFormatting sqref="E497">
    <cfRule type="cellIs" dxfId="1" priority="1133" operator="equal">
      <formula>0</formula>
    </cfRule>
  </conditionalFormatting>
  <conditionalFormatting sqref="E498">
    <cfRule type="cellIs" dxfId="1" priority="1136" operator="equal">
      <formula>0</formula>
    </cfRule>
  </conditionalFormatting>
  <conditionalFormatting sqref="E501">
    <cfRule type="expression" dxfId="0" priority="1142">
      <formula>E502=0</formula>
    </cfRule>
  </conditionalFormatting>
  <conditionalFormatting sqref="E502">
    <cfRule type="cellIs" dxfId="1" priority="1148" operator="equal">
      <formula>0</formula>
    </cfRule>
  </conditionalFormatting>
  <conditionalFormatting sqref="E504">
    <cfRule type="cellIs" dxfId="1" priority="1154" operator="equal">
      <formula>0</formula>
    </cfRule>
  </conditionalFormatting>
  <conditionalFormatting sqref="E508">
    <cfRule type="expression" dxfId="0" priority="1164">
      <formula>E509=0</formula>
    </cfRule>
  </conditionalFormatting>
  <conditionalFormatting sqref="E509">
    <cfRule type="cellIs" dxfId="1" priority="1168" operator="equal">
      <formula>0</formula>
    </cfRule>
  </conditionalFormatting>
  <conditionalFormatting sqref="E51">
    <cfRule type="expression" dxfId="0" priority="77">
      <formula>E52=0</formula>
    </cfRule>
  </conditionalFormatting>
  <conditionalFormatting sqref="E511">
    <cfRule type="cellIs" dxfId="1" priority="1172" operator="equal">
      <formula>0</formula>
    </cfRule>
  </conditionalFormatting>
  <conditionalFormatting sqref="E512">
    <cfRule type="cellIs" dxfId="1" priority="1173" operator="equal">
      <formula>0</formula>
    </cfRule>
  </conditionalFormatting>
  <conditionalFormatting sqref="E52">
    <cfRule type="cellIs" dxfId="1" priority="82" operator="equal">
      <formula>0</formula>
    </cfRule>
  </conditionalFormatting>
  <conditionalFormatting sqref="E521">
    <cfRule type="expression" dxfId="0" priority="1178">
      <formula>E522=0</formula>
    </cfRule>
  </conditionalFormatting>
  <conditionalFormatting sqref="E522">
    <cfRule type="cellIs" dxfId="1" priority="1186" operator="equal">
      <formula>0</formula>
    </cfRule>
  </conditionalFormatting>
  <conditionalFormatting sqref="E523">
    <cfRule type="cellIs" dxfId="1" priority="1194" operator="equal">
      <formula>0</formula>
    </cfRule>
  </conditionalFormatting>
  <conditionalFormatting sqref="E524">
    <cfRule type="cellIs" dxfId="1" priority="1199" operator="equal">
      <formula>0</formula>
    </cfRule>
  </conditionalFormatting>
  <conditionalFormatting sqref="E526">
    <cfRule type="cellIs" dxfId="1" priority="1209" operator="equal">
      <formula>0</formula>
    </cfRule>
  </conditionalFormatting>
  <conditionalFormatting sqref="E527">
    <cfRule type="cellIs" dxfId="1" priority="1214" operator="equal">
      <formula>0</formula>
    </cfRule>
  </conditionalFormatting>
  <conditionalFormatting sqref="E528">
    <cfRule type="cellIs" dxfId="1" priority="1219" operator="equal">
      <formula>0</formula>
    </cfRule>
  </conditionalFormatting>
  <conditionalFormatting sqref="E529">
    <cfRule type="cellIs" dxfId="1" priority="1223" operator="equal">
      <formula>0</formula>
    </cfRule>
  </conditionalFormatting>
  <conditionalFormatting sqref="E530">
    <cfRule type="cellIs" dxfId="1" priority="1227" operator="equal">
      <formula>0</formula>
    </cfRule>
  </conditionalFormatting>
  <conditionalFormatting sqref="E531">
    <cfRule type="cellIs" dxfId="1" priority="1233" operator="equal">
      <formula>0</formula>
    </cfRule>
  </conditionalFormatting>
  <conditionalFormatting sqref="E532">
    <cfRule type="cellIs" dxfId="1" priority="1239" operator="equal">
      <formula>0</formula>
    </cfRule>
  </conditionalFormatting>
  <conditionalFormatting sqref="E533">
    <cfRule type="cellIs" dxfId="1" priority="1244" operator="equal">
      <formula>0</formula>
    </cfRule>
  </conditionalFormatting>
  <conditionalFormatting sqref="E534">
    <cfRule type="cellIs" dxfId="1" priority="1248" operator="equal">
      <formula>0</formula>
    </cfRule>
  </conditionalFormatting>
  <conditionalFormatting sqref="E535">
    <cfRule type="cellIs" dxfId="1" priority="1253" operator="equal">
      <formula>0</formula>
    </cfRule>
  </conditionalFormatting>
  <conditionalFormatting sqref="E536">
    <cfRule type="cellIs" dxfId="1" priority="1258" operator="equal">
      <formula>0</formula>
    </cfRule>
  </conditionalFormatting>
  <conditionalFormatting sqref="E537">
    <cfRule type="cellIs" dxfId="1" priority="1263" operator="equal">
      <formula>0</formula>
    </cfRule>
  </conditionalFormatting>
  <conditionalFormatting sqref="E538">
    <cfRule type="cellIs" dxfId="1" priority="1267" operator="equal">
      <formula>0</formula>
    </cfRule>
  </conditionalFormatting>
  <conditionalFormatting sqref="E539">
    <cfRule type="cellIs" dxfId="1" priority="1272" operator="equal">
      <formula>0</formula>
    </cfRule>
  </conditionalFormatting>
  <conditionalFormatting sqref="E540">
    <cfRule type="cellIs" dxfId="1" priority="1277" operator="equal">
      <formula>0</formula>
    </cfRule>
  </conditionalFormatting>
  <conditionalFormatting sqref="E541">
    <cfRule type="cellIs" dxfId="1" priority="1281" operator="equal">
      <formula>0</formula>
    </cfRule>
  </conditionalFormatting>
  <conditionalFormatting sqref="E542">
    <cfRule type="cellIs" dxfId="1" priority="1286" operator="equal">
      <formula>0</formula>
    </cfRule>
  </conditionalFormatting>
  <conditionalFormatting sqref="E543">
    <cfRule type="cellIs" dxfId="1" priority="1291" operator="equal">
      <formula>0</formula>
    </cfRule>
  </conditionalFormatting>
  <conditionalFormatting sqref="E544">
    <cfRule type="cellIs" dxfId="1" priority="1296" operator="equal">
      <formula>0</formula>
    </cfRule>
  </conditionalFormatting>
  <conditionalFormatting sqref="E545">
    <cfRule type="cellIs" dxfId="1" priority="1300" operator="equal">
      <formula>0</formula>
    </cfRule>
  </conditionalFormatting>
  <conditionalFormatting sqref="E546">
    <cfRule type="cellIs" dxfId="1" priority="1305" operator="equal">
      <formula>0</formula>
    </cfRule>
  </conditionalFormatting>
  <conditionalFormatting sqref="E548">
    <cfRule type="expression" dxfId="0" priority="1309">
      <formula>E549=0</formula>
    </cfRule>
  </conditionalFormatting>
  <conditionalFormatting sqref="E549">
    <cfRule type="cellIs" dxfId="1" priority="1314" operator="equal">
      <formula>0</formula>
    </cfRule>
  </conditionalFormatting>
  <conditionalFormatting sqref="E552">
    <cfRule type="cellIs" dxfId="1" priority="1322" operator="equal">
      <formula>0</formula>
    </cfRule>
  </conditionalFormatting>
  <conditionalFormatting sqref="E56">
    <cfRule type="cellIs" dxfId="1" priority="90" operator="equal">
      <formula>0</formula>
    </cfRule>
  </conditionalFormatting>
  <conditionalFormatting sqref="E575">
    <cfRule type="expression" dxfId="0" priority="1365">
      <formula>E576=0</formula>
    </cfRule>
  </conditionalFormatting>
  <conditionalFormatting sqref="E576">
    <cfRule type="cellIs" dxfId="1" priority="1373" operator="equal">
      <formula>0</formula>
    </cfRule>
  </conditionalFormatting>
  <conditionalFormatting sqref="E579">
    <cfRule type="cellIs" dxfId="1" priority="1382" operator="equal">
      <formula>0</formula>
    </cfRule>
  </conditionalFormatting>
  <conditionalFormatting sqref="E581">
    <cfRule type="cellIs" dxfId="1" priority="1385" operator="equal">
      <formula>0</formula>
    </cfRule>
  </conditionalFormatting>
  <conditionalFormatting sqref="E587">
    <cfRule type="cellIs" dxfId="1" priority="1399" operator="equal">
      <formula>0</formula>
    </cfRule>
  </conditionalFormatting>
  <conditionalFormatting sqref="E588">
    <cfRule type="cellIs" dxfId="1" priority="1400" operator="equal">
      <formula>0</formula>
    </cfRule>
  </conditionalFormatting>
  <conditionalFormatting sqref="E597">
    <cfRule type="cellIs" dxfId="1" priority="1416" operator="equal">
      <formula>0</formula>
    </cfRule>
  </conditionalFormatting>
  <conditionalFormatting sqref="E60">
    <cfRule type="cellIs" dxfId="1" priority="97" operator="equal">
      <formula>0</formula>
    </cfRule>
  </conditionalFormatting>
  <conditionalFormatting sqref="E602">
    <cfRule type="expression" dxfId="0" priority="1427">
      <formula>E603=0</formula>
    </cfRule>
  </conditionalFormatting>
  <conditionalFormatting sqref="E603">
    <cfRule type="cellIs" dxfId="1" priority="1432" operator="equal">
      <formula>0</formula>
    </cfRule>
  </conditionalFormatting>
  <conditionalFormatting sqref="E606">
    <cfRule type="cellIs" dxfId="1" priority="1437" operator="equal">
      <formula>0</formula>
    </cfRule>
  </conditionalFormatting>
  <conditionalFormatting sqref="E62">
    <cfRule type="expression" dxfId="0" priority="100">
      <formula>E63=0</formula>
    </cfRule>
  </conditionalFormatting>
  <conditionalFormatting sqref="E63">
    <cfRule type="cellIs" dxfId="1" priority="103" operator="equal">
      <formula>0</formula>
    </cfRule>
  </conditionalFormatting>
  <conditionalFormatting sqref="E635">
    <cfRule type="expression" dxfId="0" priority="1471">
      <formula>E636=0</formula>
    </cfRule>
  </conditionalFormatting>
  <conditionalFormatting sqref="E636">
    <cfRule type="cellIs" dxfId="1" priority="1479" operator="equal">
      <formula>0</formula>
    </cfRule>
  </conditionalFormatting>
  <conditionalFormatting sqref="E637">
    <cfRule type="cellIs" dxfId="1" priority="1487" operator="equal">
      <formula>0</formula>
    </cfRule>
  </conditionalFormatting>
  <conditionalFormatting sqref="E638">
    <cfRule type="cellIs" dxfId="1" priority="1492" operator="equal">
      <formula>0</formula>
    </cfRule>
  </conditionalFormatting>
  <conditionalFormatting sqref="E639">
    <cfRule type="cellIs" dxfId="1" priority="1497" operator="equal">
      <formula>0</formula>
    </cfRule>
  </conditionalFormatting>
  <conditionalFormatting sqref="E640">
    <cfRule type="cellIs" dxfId="1" priority="1503" operator="equal">
      <formula>0</formula>
    </cfRule>
  </conditionalFormatting>
  <conditionalFormatting sqref="E641">
    <cfRule type="cellIs" dxfId="1" priority="1508" operator="equal">
      <formula>0</formula>
    </cfRule>
  </conditionalFormatting>
  <conditionalFormatting sqref="E642">
    <cfRule type="cellIs" dxfId="1" priority="1513" operator="equal">
      <formula>0</formula>
    </cfRule>
  </conditionalFormatting>
  <conditionalFormatting sqref="E644">
    <cfRule type="cellIs" dxfId="1" priority="1522" operator="equal">
      <formula>0</formula>
    </cfRule>
  </conditionalFormatting>
  <conditionalFormatting sqref="E646">
    <cfRule type="expression" dxfId="0" priority="1528">
      <formula>E647=0</formula>
    </cfRule>
  </conditionalFormatting>
  <conditionalFormatting sqref="E647">
    <cfRule type="cellIs" dxfId="1" priority="1533" operator="equal">
      <formula>0</formula>
    </cfRule>
  </conditionalFormatting>
  <conditionalFormatting sqref="E649">
    <cfRule type="cellIs" dxfId="1" priority="1539" operator="equal">
      <formula>0</formula>
    </cfRule>
  </conditionalFormatting>
  <conditionalFormatting sqref="E657">
    <cfRule type="expression" dxfId="0" priority="1555">
      <formula>E658=0</formula>
    </cfRule>
  </conditionalFormatting>
  <conditionalFormatting sqref="E658">
    <cfRule type="cellIs" dxfId="1" priority="1562" operator="equal">
      <formula>0</formula>
    </cfRule>
  </conditionalFormatting>
  <conditionalFormatting sqref="E660">
    <cfRule type="cellIs" dxfId="1" priority="1569" operator="equal">
      <formula>0</formula>
    </cfRule>
  </conditionalFormatting>
  <conditionalFormatting sqref="E662">
    <cfRule type="cellIs" dxfId="1" priority="1573" operator="equal">
      <formula>0</formula>
    </cfRule>
  </conditionalFormatting>
  <conditionalFormatting sqref="E663">
    <cfRule type="cellIs" dxfId="1" priority="1574" operator="equal">
      <formula>0</formula>
    </cfRule>
  </conditionalFormatting>
  <conditionalFormatting sqref="E668">
    <cfRule type="expression" dxfId="0" priority="1583">
      <formula>E669=0</formula>
    </cfRule>
  </conditionalFormatting>
  <conditionalFormatting sqref="E669">
    <cfRule type="cellIs" dxfId="1" priority="1587" operator="equal">
      <formula>0</formula>
    </cfRule>
  </conditionalFormatting>
  <conditionalFormatting sqref="E671">
    <cfRule type="cellIs" dxfId="1" priority="1591" operator="equal">
      <formula>0</formula>
    </cfRule>
  </conditionalFormatting>
  <conditionalFormatting sqref="E677">
    <cfRule type="cellIs" dxfId="1" priority="1597" operator="equal">
      <formula>0</formula>
    </cfRule>
  </conditionalFormatting>
  <conditionalFormatting sqref="E685">
    <cfRule type="expression" dxfId="0" priority="1601">
      <formula>E686=0</formula>
    </cfRule>
  </conditionalFormatting>
  <conditionalFormatting sqref="E686">
    <cfRule type="cellIs" dxfId="1" priority="1606" operator="equal">
      <formula>0</formula>
    </cfRule>
  </conditionalFormatting>
  <conditionalFormatting sqref="E687">
    <cfRule type="cellIs" dxfId="1" priority="1611" operator="equal">
      <formula>0</formula>
    </cfRule>
  </conditionalFormatting>
  <conditionalFormatting sqref="E70">
    <cfRule type="cellIs" dxfId="1" priority="115" operator="equal">
      <formula>0</formula>
    </cfRule>
  </conditionalFormatting>
  <conditionalFormatting sqref="E707">
    <cfRule type="expression" dxfId="0" priority="1634">
      <formula>E708=0</formula>
    </cfRule>
  </conditionalFormatting>
  <conditionalFormatting sqref="E708">
    <cfRule type="cellIs" dxfId="1" priority="1642" operator="equal">
      <formula>0</formula>
    </cfRule>
  </conditionalFormatting>
  <conditionalFormatting sqref="E710">
    <cfRule type="cellIs" dxfId="1" priority="1655" operator="equal">
      <formula>0</formula>
    </cfRule>
  </conditionalFormatting>
  <conditionalFormatting sqref="E711">
    <cfRule type="cellIs" dxfId="1" priority="1660" operator="equal">
      <formula>0</formula>
    </cfRule>
  </conditionalFormatting>
  <conditionalFormatting sqref="E712">
    <cfRule type="cellIs" dxfId="1" priority="1666" operator="equal">
      <formula>0</formula>
    </cfRule>
  </conditionalFormatting>
  <conditionalFormatting sqref="E713">
    <cfRule type="cellIs" dxfId="1" priority="1672" operator="equal">
      <formula>0</formula>
    </cfRule>
  </conditionalFormatting>
  <conditionalFormatting sqref="E714">
    <cfRule type="cellIs" dxfId="1" priority="1677" operator="equal">
      <formula>0</formula>
    </cfRule>
  </conditionalFormatting>
  <conditionalFormatting sqref="E715">
    <cfRule type="cellIs" dxfId="1" priority="1683" operator="equal">
      <formula>0</formula>
    </cfRule>
  </conditionalFormatting>
  <conditionalFormatting sqref="E716">
    <cfRule type="cellIs" dxfId="1" priority="1688" operator="equal">
      <formula>0</formula>
    </cfRule>
  </conditionalFormatting>
  <conditionalFormatting sqref="E717">
    <cfRule type="cellIs" dxfId="1" priority="1693" operator="equal">
      <formula>0</formula>
    </cfRule>
  </conditionalFormatting>
  <conditionalFormatting sqref="E718">
    <cfRule type="cellIs" dxfId="1" priority="1697" operator="equal">
      <formula>0</formula>
    </cfRule>
  </conditionalFormatting>
  <conditionalFormatting sqref="E719">
    <cfRule type="cellIs" dxfId="1" priority="1702" operator="equal">
      <formula>0</formula>
    </cfRule>
  </conditionalFormatting>
  <conditionalFormatting sqref="E720">
    <cfRule type="cellIs" dxfId="1" priority="1706" operator="equal">
      <formula>0</formula>
    </cfRule>
  </conditionalFormatting>
  <conditionalFormatting sqref="E721">
    <cfRule type="cellIs" dxfId="1" priority="1710" operator="equal">
      <formula>0</formula>
    </cfRule>
  </conditionalFormatting>
  <conditionalFormatting sqref="E722">
    <cfRule type="cellIs" dxfId="1" priority="1715" operator="equal">
      <formula>0</formula>
    </cfRule>
  </conditionalFormatting>
  <conditionalFormatting sqref="E724">
    <cfRule type="expression" dxfId="0" priority="1719">
      <formula>E725=0</formula>
    </cfRule>
  </conditionalFormatting>
  <conditionalFormatting sqref="E725">
    <cfRule type="cellIs" dxfId="1" priority="1724" operator="equal">
      <formula>0</formula>
    </cfRule>
  </conditionalFormatting>
  <conditionalFormatting sqref="E727">
    <cfRule type="cellIs" dxfId="1" priority="1729" operator="equal">
      <formula>0</formula>
    </cfRule>
  </conditionalFormatting>
  <conditionalFormatting sqref="E733">
    <cfRule type="cellIs" dxfId="1" priority="1741" operator="equal">
      <formula>0</formula>
    </cfRule>
  </conditionalFormatting>
  <conditionalFormatting sqref="E735">
    <cfRule type="cellIs" dxfId="1" priority="1744" operator="equal">
      <formula>0</formula>
    </cfRule>
  </conditionalFormatting>
  <conditionalFormatting sqref="E737">
    <cfRule type="cellIs" dxfId="1" priority="1748" operator="equal">
      <formula>0</formula>
    </cfRule>
  </conditionalFormatting>
  <conditionalFormatting sqref="E738">
    <cfRule type="cellIs" dxfId="1" priority="1750" operator="equal">
      <formula>0</formula>
    </cfRule>
  </conditionalFormatting>
  <conditionalFormatting sqref="E739">
    <cfRule type="cellIs" dxfId="1" priority="1753" operator="equal">
      <formula>0</formula>
    </cfRule>
  </conditionalFormatting>
  <conditionalFormatting sqref="E741">
    <cfRule type="expression" dxfId="0" priority="1756">
      <formula>E742=0</formula>
    </cfRule>
  </conditionalFormatting>
  <conditionalFormatting sqref="E742">
    <cfRule type="cellIs" dxfId="1" priority="1764" operator="equal">
      <formula>0</formula>
    </cfRule>
  </conditionalFormatting>
  <conditionalFormatting sqref="E745">
    <cfRule type="cellIs" dxfId="1" priority="1772" operator="equal">
      <formula>0</formula>
    </cfRule>
  </conditionalFormatting>
  <conditionalFormatting sqref="E758">
    <cfRule type="expression" dxfId="0" priority="1795">
      <formula>E759=0</formula>
    </cfRule>
  </conditionalFormatting>
  <conditionalFormatting sqref="E759">
    <cfRule type="cellIs" dxfId="1" priority="1800" operator="equal">
      <formula>0</formula>
    </cfRule>
  </conditionalFormatting>
  <conditionalFormatting sqref="E761">
    <cfRule type="cellIs" dxfId="1" priority="1805" operator="equal">
      <formula>0</formula>
    </cfRule>
  </conditionalFormatting>
  <conditionalFormatting sqref="E763">
    <cfRule type="cellIs" dxfId="1" priority="1808" operator="equal">
      <formula>0</formula>
    </cfRule>
  </conditionalFormatting>
  <conditionalFormatting sqref="E767">
    <cfRule type="cellIs" dxfId="1" priority="1814" operator="equal">
      <formula>0</formula>
    </cfRule>
  </conditionalFormatting>
  <conditionalFormatting sqref="E769">
    <cfRule type="cellIs" dxfId="1" priority="1817" operator="equal">
      <formula>0</formula>
    </cfRule>
  </conditionalFormatting>
  <conditionalFormatting sqref="E771">
    <cfRule type="cellIs" dxfId="1" priority="1820" operator="equal">
      <formula>0</formula>
    </cfRule>
  </conditionalFormatting>
  <conditionalFormatting sqref="E773">
    <cfRule type="cellIs" dxfId="1" priority="1824" operator="equal">
      <formula>0</formula>
    </cfRule>
  </conditionalFormatting>
  <conditionalFormatting sqref="E781">
    <cfRule type="expression" dxfId="0" priority="1827">
      <formula>E782=0</formula>
    </cfRule>
  </conditionalFormatting>
  <conditionalFormatting sqref="E782">
    <cfRule type="cellIs" dxfId="1" priority="1833" operator="equal">
      <formula>0</formula>
    </cfRule>
  </conditionalFormatting>
  <conditionalFormatting sqref="E783">
    <cfRule type="cellIs" dxfId="1" priority="1839" operator="equal">
      <formula>0</formula>
    </cfRule>
  </conditionalFormatting>
  <conditionalFormatting sqref="E784">
    <cfRule type="cellIs" dxfId="1" priority="1844" operator="equal">
      <formula>0</formula>
    </cfRule>
  </conditionalFormatting>
  <conditionalFormatting sqref="E785">
    <cfRule type="cellIs" dxfId="1" priority="1848" operator="equal">
      <formula>0</formula>
    </cfRule>
  </conditionalFormatting>
  <conditionalFormatting sqref="E786">
    <cfRule type="cellIs" dxfId="1" priority="1853" operator="equal">
      <formula>0</formula>
    </cfRule>
  </conditionalFormatting>
  <conditionalFormatting sqref="E787">
    <cfRule type="cellIs" dxfId="1" priority="1858" operator="equal">
      <formula>0</formula>
    </cfRule>
  </conditionalFormatting>
  <conditionalFormatting sqref="E788">
    <cfRule type="cellIs" dxfId="1" priority="1862" operator="equal">
      <formula>0</formula>
    </cfRule>
  </conditionalFormatting>
  <conditionalFormatting sqref="E789">
    <cfRule type="cellIs" dxfId="1" priority="1867" operator="equal">
      <formula>0</formula>
    </cfRule>
  </conditionalFormatting>
  <conditionalFormatting sqref="E79">
    <cfRule type="expression" dxfId="0" priority="120">
      <formula>E80=0</formula>
    </cfRule>
  </conditionalFormatting>
  <conditionalFormatting sqref="E790">
    <cfRule type="cellIs" dxfId="1" priority="1872" operator="equal">
      <formula>0</formula>
    </cfRule>
  </conditionalFormatting>
  <conditionalFormatting sqref="E792">
    <cfRule type="expression" dxfId="0" priority="1876">
      <formula>E793=0</formula>
    </cfRule>
  </conditionalFormatting>
  <conditionalFormatting sqref="E793">
    <cfRule type="cellIs" dxfId="1" priority="1880" operator="equal">
      <formula>0</formula>
    </cfRule>
  </conditionalFormatting>
  <conditionalFormatting sqref="E796">
    <cfRule type="cellIs" dxfId="1" priority="1886" operator="equal">
      <formula>0</formula>
    </cfRule>
  </conditionalFormatting>
  <conditionalFormatting sqref="E80">
    <cfRule type="cellIs" dxfId="1" priority="126" operator="equal">
      <formula>0</formula>
    </cfRule>
  </conditionalFormatting>
  <conditionalFormatting sqref="E800">
    <cfRule type="cellIs" dxfId="1" priority="1894" operator="equal">
      <formula>0</formula>
    </cfRule>
  </conditionalFormatting>
  <conditionalFormatting sqref="E801">
    <cfRule type="cellIs" dxfId="1" priority="1896" operator="equal">
      <formula>0</formula>
    </cfRule>
  </conditionalFormatting>
  <conditionalFormatting sqref="E803">
    <cfRule type="expression" dxfId="0" priority="1899">
      <formula>E804=0</formula>
    </cfRule>
  </conditionalFormatting>
  <conditionalFormatting sqref="E804">
    <cfRule type="cellIs" dxfId="1" priority="1903" operator="equal">
      <formula>0</formula>
    </cfRule>
  </conditionalFormatting>
  <conditionalFormatting sqref="E807">
    <cfRule type="cellIs" dxfId="1" priority="1909" operator="equal">
      <formula>0</formula>
    </cfRule>
  </conditionalFormatting>
  <conditionalFormatting sqref="E808">
    <cfRule type="cellIs" dxfId="1" priority="1911" operator="equal">
      <formula>0</formula>
    </cfRule>
  </conditionalFormatting>
  <conditionalFormatting sqref="E81">
    <cfRule type="cellIs" dxfId="1" priority="132" operator="equal">
      <formula>0</formula>
    </cfRule>
  </conditionalFormatting>
  <conditionalFormatting sqref="E814">
    <cfRule type="expression" dxfId="0" priority="1919">
      <formula>E815=0</formula>
    </cfRule>
  </conditionalFormatting>
  <conditionalFormatting sqref="E815">
    <cfRule type="cellIs" dxfId="1" priority="1923" operator="equal">
      <formula>0</formula>
    </cfRule>
  </conditionalFormatting>
  <conditionalFormatting sqref="E818">
    <cfRule type="cellIs" dxfId="1" priority="1928" operator="equal">
      <formula>0</formula>
    </cfRule>
  </conditionalFormatting>
  <conditionalFormatting sqref="E82">
    <cfRule type="cellIs" dxfId="1" priority="138" operator="equal">
      <formula>0</formula>
    </cfRule>
  </conditionalFormatting>
  <conditionalFormatting sqref="E823">
    <cfRule type="cellIs" dxfId="1" priority="1935" operator="equal">
      <formula>0</formula>
    </cfRule>
  </conditionalFormatting>
  <conditionalFormatting sqref="E831">
    <cfRule type="expression" dxfId="0" priority="1938">
      <formula>E832=0</formula>
    </cfRule>
  </conditionalFormatting>
  <conditionalFormatting sqref="E832">
    <cfRule type="cellIs" dxfId="1" priority="1944" operator="equal">
      <formula>0</formula>
    </cfRule>
  </conditionalFormatting>
  <conditionalFormatting sqref="E833">
    <cfRule type="cellIs" dxfId="1" priority="1950" operator="equal">
      <formula>0</formula>
    </cfRule>
  </conditionalFormatting>
  <conditionalFormatting sqref="E834">
    <cfRule type="cellIs" dxfId="1" priority="1955" operator="equal">
      <formula>0</formula>
    </cfRule>
  </conditionalFormatting>
  <conditionalFormatting sqref="E835">
    <cfRule type="cellIs" dxfId="1" priority="1960" operator="equal">
      <formula>0</formula>
    </cfRule>
  </conditionalFormatting>
  <conditionalFormatting sqref="E836">
    <cfRule type="cellIs" dxfId="1" priority="1965" operator="equal">
      <formula>0</formula>
    </cfRule>
  </conditionalFormatting>
  <conditionalFormatting sqref="E837">
    <cfRule type="cellIs" dxfId="1" priority="1970" operator="equal">
      <formula>0</formula>
    </cfRule>
  </conditionalFormatting>
  <conditionalFormatting sqref="E838">
    <cfRule type="cellIs" dxfId="1" priority="1975" operator="equal">
      <formula>0</formula>
    </cfRule>
  </conditionalFormatting>
  <conditionalFormatting sqref="E839">
    <cfRule type="cellIs" dxfId="1" priority="1980" operator="equal">
      <formula>0</formula>
    </cfRule>
  </conditionalFormatting>
  <conditionalFormatting sqref="E84">
    <cfRule type="expression" dxfId="0" priority="143">
      <formula>E85=0</formula>
    </cfRule>
  </conditionalFormatting>
  <conditionalFormatting sqref="E840">
    <cfRule type="cellIs" dxfId="1" priority="1985" operator="equal">
      <formula>0</formula>
    </cfRule>
  </conditionalFormatting>
  <conditionalFormatting sqref="E841">
    <cfRule type="cellIs" dxfId="1" priority="1990" operator="equal">
      <formula>0</formula>
    </cfRule>
  </conditionalFormatting>
  <conditionalFormatting sqref="E842">
    <cfRule type="cellIs" dxfId="1" priority="1996" operator="equal">
      <formula>0</formula>
    </cfRule>
  </conditionalFormatting>
  <conditionalFormatting sqref="E843">
    <cfRule type="cellIs" dxfId="1" priority="2001" operator="equal">
      <formula>0</formula>
    </cfRule>
  </conditionalFormatting>
  <conditionalFormatting sqref="E845">
    <cfRule type="expression" dxfId="0" priority="2007">
      <formula>E846=0</formula>
    </cfRule>
  </conditionalFormatting>
  <conditionalFormatting sqref="E846">
    <cfRule type="cellIs" dxfId="1" priority="2011" operator="equal">
      <formula>0</formula>
    </cfRule>
  </conditionalFormatting>
  <conditionalFormatting sqref="E85">
    <cfRule type="cellIs" dxfId="1" priority="146" operator="equal">
      <formula>0</formula>
    </cfRule>
  </conditionalFormatting>
  <conditionalFormatting sqref="E852">
    <cfRule type="cellIs" dxfId="1" priority="2025" operator="equal">
      <formula>0</formula>
    </cfRule>
  </conditionalFormatting>
  <conditionalFormatting sqref="E859">
    <cfRule type="expression" dxfId="0" priority="2038">
      <formula>E860=0</formula>
    </cfRule>
  </conditionalFormatting>
  <conditionalFormatting sqref="E860">
    <cfRule type="cellIs" dxfId="1" priority="2045" operator="equal">
      <formula>0</formula>
    </cfRule>
  </conditionalFormatting>
  <conditionalFormatting sqref="E862">
    <cfRule type="cellIs" dxfId="1" priority="2052" operator="equal">
      <formula>0</formula>
    </cfRule>
  </conditionalFormatting>
  <conditionalFormatting sqref="E863">
    <cfRule type="cellIs" dxfId="1" priority="2054" operator="equal">
      <formula>0</formula>
    </cfRule>
  </conditionalFormatting>
  <conditionalFormatting sqref="E864">
    <cfRule type="cellIs" dxfId="1" priority="2055" operator="equal">
      <formula>0</formula>
    </cfRule>
  </conditionalFormatting>
  <conditionalFormatting sqref="E865">
    <cfRule type="cellIs" dxfId="1" priority="2058" operator="equal">
      <formula>0</formula>
    </cfRule>
  </conditionalFormatting>
  <conditionalFormatting sqref="E866">
    <cfRule type="cellIs" dxfId="1" priority="2059" operator="equal">
      <formula>0</formula>
    </cfRule>
  </conditionalFormatting>
  <conditionalFormatting sqref="E867">
    <cfRule type="cellIs" dxfId="1" priority="2062" operator="equal">
      <formula>0</formula>
    </cfRule>
  </conditionalFormatting>
  <conditionalFormatting sqref="E868">
    <cfRule type="cellIs" dxfId="1" priority="2065" operator="equal">
      <formula>0</formula>
    </cfRule>
  </conditionalFormatting>
  <conditionalFormatting sqref="E87">
    <cfRule type="cellIs" dxfId="1" priority="150" operator="equal">
      <formula>0</formula>
    </cfRule>
  </conditionalFormatting>
  <conditionalFormatting sqref="E870">
    <cfRule type="cellIs" dxfId="1" priority="2067" operator="equal">
      <formula>0</formula>
    </cfRule>
  </conditionalFormatting>
  <conditionalFormatting sqref="E871">
    <cfRule type="cellIs" dxfId="1" priority="2069" operator="equal">
      <formula>0</formula>
    </cfRule>
  </conditionalFormatting>
  <conditionalFormatting sqref="E89">
    <cfRule type="expression" dxfId="0" priority="153">
      <formula>E90=0</formula>
    </cfRule>
  </conditionalFormatting>
  <conditionalFormatting sqref="E90">
    <cfRule type="cellIs" dxfId="1" priority="156" operator="equal">
      <formula>0</formula>
    </cfRule>
  </conditionalFormatting>
  <conditionalFormatting sqref="E92">
    <cfRule type="cellIs" dxfId="1" priority="160" operator="equal">
      <formula>0</formula>
    </cfRule>
  </conditionalFormatting>
  <conditionalFormatting sqref="F105">
    <cfRule type="expression" dxfId="0" priority="168">
      <formula>F106=0</formula>
    </cfRule>
  </conditionalFormatting>
  <conditionalFormatting sqref="F106">
    <cfRule type="cellIs" dxfId="1" priority="174" operator="equal">
      <formula>0</formula>
    </cfRule>
  </conditionalFormatting>
  <conditionalFormatting sqref="F107">
    <cfRule type="cellIs" dxfId="1" priority="180" operator="equal">
      <formula>0</formula>
    </cfRule>
  </conditionalFormatting>
  <conditionalFormatting sqref="F108">
    <cfRule type="cellIs" dxfId="1" priority="184" operator="equal">
      <formula>0</formula>
    </cfRule>
  </conditionalFormatting>
  <conditionalFormatting sqref="F110">
    <cfRule type="cellIs" dxfId="1" priority="193" operator="equal">
      <formula>0</formula>
    </cfRule>
  </conditionalFormatting>
  <conditionalFormatting sqref="F111">
    <cfRule type="cellIs" dxfId="1" priority="197" operator="equal">
      <formula>0</formula>
    </cfRule>
  </conditionalFormatting>
  <conditionalFormatting sqref="F112">
    <cfRule type="cellIs" dxfId="1" priority="201" operator="equal">
      <formula>0</formula>
    </cfRule>
  </conditionalFormatting>
  <conditionalFormatting sqref="F114">
    <cfRule type="cellIs" dxfId="1" priority="210" operator="equal">
      <formula>0</formula>
    </cfRule>
  </conditionalFormatting>
  <conditionalFormatting sqref="F115">
    <cfRule type="cellIs" dxfId="1" priority="216" operator="equal">
      <formula>0</formula>
    </cfRule>
  </conditionalFormatting>
  <conditionalFormatting sqref="F117">
    <cfRule type="expression" dxfId="0" priority="220">
      <formula>F118=0</formula>
    </cfRule>
  </conditionalFormatting>
  <conditionalFormatting sqref="F118">
    <cfRule type="cellIs" dxfId="1" priority="224" operator="equal">
      <formula>0</formula>
    </cfRule>
  </conditionalFormatting>
  <conditionalFormatting sqref="F121">
    <cfRule type="cellIs" dxfId="1" priority="230" operator="equal">
      <formula>0</formula>
    </cfRule>
  </conditionalFormatting>
  <conditionalFormatting sqref="F129">
    <cfRule type="expression" dxfId="0" priority="245">
      <formula>F130=0</formula>
    </cfRule>
  </conditionalFormatting>
  <conditionalFormatting sqref="F130">
    <cfRule type="cellIs" dxfId="1" priority="251" operator="equal">
      <formula>0</formula>
    </cfRule>
  </conditionalFormatting>
  <conditionalFormatting sqref="F132">
    <cfRule type="cellIs" dxfId="1" priority="258" operator="equal">
      <formula>0</formula>
    </cfRule>
  </conditionalFormatting>
  <conditionalFormatting sqref="F133">
    <cfRule type="cellIs" dxfId="1" priority="261" operator="equal">
      <formula>0</formula>
    </cfRule>
  </conditionalFormatting>
  <conditionalFormatting sqref="F134">
    <cfRule type="cellIs" dxfId="1" priority="262" operator="equal">
      <formula>0</formula>
    </cfRule>
  </conditionalFormatting>
  <conditionalFormatting sqref="F135">
    <cfRule type="cellIs" dxfId="1" priority="263" operator="equal">
      <formula>0</formula>
    </cfRule>
  </conditionalFormatting>
  <conditionalFormatting sqref="F137">
    <cfRule type="cellIs" dxfId="1" priority="267" operator="equal">
      <formula>0</formula>
    </cfRule>
  </conditionalFormatting>
  <conditionalFormatting sqref="F138">
    <cfRule type="cellIs" dxfId="1" priority="268" operator="equal">
      <formula>0</formula>
    </cfRule>
  </conditionalFormatting>
  <conditionalFormatting sqref="F141">
    <cfRule type="expression" dxfId="0" priority="275">
      <formula>F142=0</formula>
    </cfRule>
  </conditionalFormatting>
  <conditionalFormatting sqref="F142">
    <cfRule type="cellIs" dxfId="1" priority="279" operator="equal">
      <formula>0</formula>
    </cfRule>
  </conditionalFormatting>
  <conditionalFormatting sqref="F146">
    <cfRule type="cellIs" dxfId="1" priority="286" operator="equal">
      <formula>0</formula>
    </cfRule>
  </conditionalFormatting>
  <conditionalFormatting sqref="F147">
    <cfRule type="cellIs" dxfId="1" priority="288" operator="equal">
      <formula>0</formula>
    </cfRule>
  </conditionalFormatting>
  <conditionalFormatting sqref="F148">
    <cfRule type="cellIs" dxfId="1" priority="290" operator="equal">
      <formula>0</formula>
    </cfRule>
  </conditionalFormatting>
  <conditionalFormatting sqref="F149">
    <cfRule type="cellIs" dxfId="1" priority="292" operator="equal">
      <formula>0</formula>
    </cfRule>
  </conditionalFormatting>
  <conditionalFormatting sqref="F150">
    <cfRule type="cellIs" dxfId="1" priority="294" operator="equal">
      <formula>0</formula>
    </cfRule>
  </conditionalFormatting>
  <conditionalFormatting sqref="F159">
    <cfRule type="expression" dxfId="0" priority="300">
      <formula>F160=0</formula>
    </cfRule>
  </conditionalFormatting>
  <conditionalFormatting sqref="F160">
    <cfRule type="cellIs" dxfId="1" priority="305" operator="equal">
      <formula>0</formula>
    </cfRule>
  </conditionalFormatting>
  <conditionalFormatting sqref="F161">
    <cfRule type="cellIs" dxfId="1" priority="310" operator="equal">
      <formula>0</formula>
    </cfRule>
  </conditionalFormatting>
  <conditionalFormatting sqref="F181">
    <cfRule type="expression" dxfId="0" priority="333">
      <formula>F182=0</formula>
    </cfRule>
  </conditionalFormatting>
  <conditionalFormatting sqref="F182">
    <cfRule type="cellIs" dxfId="1" priority="339" operator="equal">
      <formula>0</formula>
    </cfRule>
  </conditionalFormatting>
  <conditionalFormatting sqref="F183">
    <cfRule type="cellIs" dxfId="1" priority="345" operator="equal">
      <formula>0</formula>
    </cfRule>
  </conditionalFormatting>
  <conditionalFormatting sqref="F185">
    <cfRule type="cellIs" dxfId="1" priority="354" operator="equal">
      <formula>0</formula>
    </cfRule>
  </conditionalFormatting>
  <conditionalFormatting sqref="F187">
    <cfRule type="cellIs" dxfId="1" priority="363" operator="equal">
      <formula>0</formula>
    </cfRule>
  </conditionalFormatting>
  <conditionalFormatting sqref="F189">
    <cfRule type="expression" dxfId="0" priority="368">
      <formula>F190=0</formula>
    </cfRule>
  </conditionalFormatting>
  <conditionalFormatting sqref="F190">
    <cfRule type="cellIs" dxfId="1" priority="372" operator="equal">
      <formula>0</formula>
    </cfRule>
  </conditionalFormatting>
  <conditionalFormatting sqref="F195">
    <cfRule type="cellIs" dxfId="1" priority="381" operator="equal">
      <formula>0</formula>
    </cfRule>
  </conditionalFormatting>
  <conditionalFormatting sqref="F219">
    <cfRule type="expression" dxfId="0" priority="414">
      <formula>F220=0</formula>
    </cfRule>
  </conditionalFormatting>
  <conditionalFormatting sqref="F220">
    <cfRule type="cellIs" dxfId="1" priority="422" operator="equal">
      <formula>0</formula>
    </cfRule>
  </conditionalFormatting>
  <conditionalFormatting sqref="F221">
    <cfRule type="cellIs" dxfId="1" priority="430" operator="equal">
      <formula>0</formula>
    </cfRule>
  </conditionalFormatting>
  <conditionalFormatting sqref="F222">
    <cfRule type="cellIs" dxfId="1" priority="434" operator="equal">
      <formula>0</formula>
    </cfRule>
  </conditionalFormatting>
  <conditionalFormatting sqref="F223">
    <cfRule type="cellIs" dxfId="1" priority="438" operator="equal">
      <formula>0</formula>
    </cfRule>
  </conditionalFormatting>
  <conditionalFormatting sqref="F224">
    <cfRule type="cellIs" dxfId="1" priority="442" operator="equal">
      <formula>0</formula>
    </cfRule>
  </conditionalFormatting>
  <conditionalFormatting sqref="F226">
    <cfRule type="cellIs" dxfId="1" priority="451" operator="equal">
      <formula>0</formula>
    </cfRule>
  </conditionalFormatting>
  <conditionalFormatting sqref="F230">
    <cfRule type="cellIs" dxfId="1" priority="470" operator="equal">
      <formula>0</formula>
    </cfRule>
  </conditionalFormatting>
  <conditionalFormatting sqref="F231">
    <cfRule type="cellIs" dxfId="1" priority="474" operator="equal">
      <formula>0</formula>
    </cfRule>
  </conditionalFormatting>
  <conditionalFormatting sqref="F232">
    <cfRule type="cellIs" dxfId="1" priority="478" operator="equal">
      <formula>0</formula>
    </cfRule>
  </conditionalFormatting>
  <conditionalFormatting sqref="F234">
    <cfRule type="cellIs" dxfId="1" priority="487" operator="equal">
      <formula>0</formula>
    </cfRule>
  </conditionalFormatting>
  <conditionalFormatting sqref="F235">
    <cfRule type="cellIs" dxfId="1" priority="493" operator="equal">
      <formula>0</formula>
    </cfRule>
  </conditionalFormatting>
  <conditionalFormatting sqref="F238">
    <cfRule type="expression" dxfId="0" priority="504">
      <formula>F239=0</formula>
    </cfRule>
  </conditionalFormatting>
  <conditionalFormatting sqref="F239">
    <cfRule type="cellIs" dxfId="1" priority="509" operator="equal">
      <formula>0</formula>
    </cfRule>
  </conditionalFormatting>
  <conditionalFormatting sqref="F242">
    <cfRule type="cellIs" dxfId="1" priority="515" operator="equal">
      <formula>0</formula>
    </cfRule>
  </conditionalFormatting>
  <conditionalFormatting sqref="F243">
    <cfRule type="cellIs" dxfId="1" priority="517" operator="equal">
      <formula>0</formula>
    </cfRule>
  </conditionalFormatting>
  <conditionalFormatting sqref="F244">
    <cfRule type="cellIs" dxfId="1" priority="518" operator="equal">
      <formula>0</formula>
    </cfRule>
  </conditionalFormatting>
  <conditionalFormatting sqref="F245">
    <cfRule type="cellIs" dxfId="1" priority="520" operator="equal">
      <formula>0</formula>
    </cfRule>
  </conditionalFormatting>
  <conditionalFormatting sqref="F247">
    <cfRule type="cellIs" dxfId="1" priority="525" operator="equal">
      <formula>0</formula>
    </cfRule>
  </conditionalFormatting>
  <conditionalFormatting sqref="F250">
    <cfRule type="cellIs" dxfId="1" priority="530" operator="equal">
      <formula>0</formula>
    </cfRule>
  </conditionalFormatting>
  <conditionalFormatting sqref="F251">
    <cfRule type="cellIs" dxfId="1" priority="532" operator="equal">
      <formula>0</formula>
    </cfRule>
  </conditionalFormatting>
  <conditionalFormatting sqref="F252">
    <cfRule type="cellIs" dxfId="1" priority="534" operator="equal">
      <formula>0</formula>
    </cfRule>
  </conditionalFormatting>
  <conditionalFormatting sqref="F253">
    <cfRule type="cellIs" dxfId="1" priority="536" operator="equal">
      <formula>0</formula>
    </cfRule>
  </conditionalFormatting>
  <conditionalFormatting sqref="F255">
    <cfRule type="cellIs" dxfId="1" priority="540" operator="equal">
      <formula>0</formula>
    </cfRule>
  </conditionalFormatting>
  <conditionalFormatting sqref="F257">
    <cfRule type="expression" dxfId="0" priority="544">
      <formula>F258=0</formula>
    </cfRule>
  </conditionalFormatting>
  <conditionalFormatting sqref="F258">
    <cfRule type="cellIs" dxfId="1" priority="552" operator="equal">
      <formula>0</formula>
    </cfRule>
  </conditionalFormatting>
  <conditionalFormatting sqref="F261">
    <cfRule type="cellIs" dxfId="1" priority="561" operator="equal">
      <formula>0</formula>
    </cfRule>
  </conditionalFormatting>
  <conditionalFormatting sqref="F262">
    <cfRule type="cellIs" dxfId="1" priority="562" operator="equal">
      <formula>0</formula>
    </cfRule>
  </conditionalFormatting>
  <conditionalFormatting sqref="F263">
    <cfRule type="cellIs" dxfId="1" priority="566" operator="equal">
      <formula>0</formula>
    </cfRule>
  </conditionalFormatting>
  <conditionalFormatting sqref="F264">
    <cfRule type="cellIs" dxfId="1" priority="568" operator="equal">
      <formula>0</formula>
    </cfRule>
  </conditionalFormatting>
  <conditionalFormatting sqref="F266">
    <cfRule type="cellIs" dxfId="1" priority="573" operator="equal">
      <formula>0</formula>
    </cfRule>
  </conditionalFormatting>
  <conditionalFormatting sqref="F270">
    <cfRule type="cellIs" dxfId="1" priority="579" operator="equal">
      <formula>0</formula>
    </cfRule>
  </conditionalFormatting>
  <conditionalFormatting sqref="F271">
    <cfRule type="cellIs" dxfId="1" priority="582" operator="equal">
      <formula>0</formula>
    </cfRule>
  </conditionalFormatting>
  <conditionalFormatting sqref="F274">
    <cfRule type="cellIs" dxfId="1" priority="588" operator="equal">
      <formula>0</formula>
    </cfRule>
  </conditionalFormatting>
  <conditionalFormatting sqref="F276">
    <cfRule type="expression" dxfId="0" priority="592">
      <formula>F277=0</formula>
    </cfRule>
  </conditionalFormatting>
  <conditionalFormatting sqref="F277">
    <cfRule type="cellIs" dxfId="1" priority="597" operator="equal">
      <formula>0</formula>
    </cfRule>
  </conditionalFormatting>
  <conditionalFormatting sqref="F280">
    <cfRule type="cellIs" dxfId="1" priority="602" operator="equal">
      <formula>0</formula>
    </cfRule>
  </conditionalFormatting>
  <conditionalFormatting sqref="F282">
    <cfRule type="cellIs" dxfId="1" priority="605" operator="equal">
      <formula>0</formula>
    </cfRule>
  </conditionalFormatting>
  <conditionalFormatting sqref="F283">
    <cfRule type="cellIs" dxfId="1" priority="607" operator="equal">
      <formula>0</formula>
    </cfRule>
  </conditionalFormatting>
  <conditionalFormatting sqref="F286">
    <cfRule type="cellIs" dxfId="1" priority="612" operator="equal">
      <formula>0</formula>
    </cfRule>
  </conditionalFormatting>
  <conditionalFormatting sqref="F288">
    <cfRule type="cellIs" dxfId="1" priority="615" operator="equal">
      <formula>0</formula>
    </cfRule>
  </conditionalFormatting>
  <conditionalFormatting sqref="F289">
    <cfRule type="cellIs" dxfId="1" priority="616" operator="equal">
      <formula>0</formula>
    </cfRule>
  </conditionalFormatting>
  <conditionalFormatting sqref="F29">
    <cfRule type="expression" dxfId="0" priority="4">
      <formula>F30=0</formula>
    </cfRule>
  </conditionalFormatting>
  <conditionalFormatting sqref="F290">
    <cfRule type="cellIs" dxfId="1" priority="619" operator="equal">
      <formula>0</formula>
    </cfRule>
  </conditionalFormatting>
  <conditionalFormatting sqref="F292">
    <cfRule type="cellIs" dxfId="1" priority="623" operator="equal">
      <formula>0</formula>
    </cfRule>
  </conditionalFormatting>
  <conditionalFormatting sqref="F293">
    <cfRule type="cellIs" dxfId="1" priority="624" operator="equal">
      <formula>0</formula>
    </cfRule>
  </conditionalFormatting>
  <conditionalFormatting sqref="F30">
    <cfRule type="cellIs" dxfId="1" priority="10" operator="equal">
      <formula>0</formula>
    </cfRule>
  </conditionalFormatting>
  <conditionalFormatting sqref="F301">
    <cfRule type="expression" dxfId="0" priority="629">
      <formula>F302=0</formula>
    </cfRule>
  </conditionalFormatting>
  <conditionalFormatting sqref="F302">
    <cfRule type="cellIs" dxfId="1" priority="637" operator="equal">
      <formula>0</formula>
    </cfRule>
  </conditionalFormatting>
  <conditionalFormatting sqref="F303">
    <cfRule type="cellIs" dxfId="1" priority="645" operator="equal">
      <formula>0</formula>
    </cfRule>
  </conditionalFormatting>
  <conditionalFormatting sqref="F304">
    <cfRule type="cellIs" dxfId="1" priority="650" operator="equal">
      <formula>0</formula>
    </cfRule>
  </conditionalFormatting>
  <conditionalFormatting sqref="F305">
    <cfRule type="cellIs" dxfId="1" priority="656" operator="equal">
      <formula>0</formula>
    </cfRule>
  </conditionalFormatting>
  <conditionalFormatting sqref="F306">
    <cfRule type="cellIs" dxfId="1" priority="661" operator="equal">
      <formula>0</formula>
    </cfRule>
  </conditionalFormatting>
  <conditionalFormatting sqref="F307">
    <cfRule type="cellIs" dxfId="1" priority="666" operator="equal">
      <formula>0</formula>
    </cfRule>
  </conditionalFormatting>
  <conditionalFormatting sqref="F309">
    <cfRule type="cellIs" dxfId="1" priority="675" operator="equal">
      <formula>0</formula>
    </cfRule>
  </conditionalFormatting>
  <conditionalFormatting sqref="F31">
    <cfRule type="cellIs" dxfId="1" priority="16" operator="equal">
      <formula>0</formula>
    </cfRule>
  </conditionalFormatting>
  <conditionalFormatting sqref="F311">
    <cfRule type="cellIs" dxfId="1" priority="684" operator="equal">
      <formula>0</formula>
    </cfRule>
  </conditionalFormatting>
  <conditionalFormatting sqref="F312">
    <cfRule type="cellIs" dxfId="1" priority="690" operator="equal">
      <formula>0</formula>
    </cfRule>
  </conditionalFormatting>
  <conditionalFormatting sqref="F314">
    <cfRule type="cellIs" dxfId="1" priority="699" operator="equal">
      <formula>0</formula>
    </cfRule>
  </conditionalFormatting>
  <conditionalFormatting sqref="F315">
    <cfRule type="cellIs" dxfId="1" priority="704" operator="equal">
      <formula>0</formula>
    </cfRule>
  </conditionalFormatting>
  <conditionalFormatting sqref="F317">
    <cfRule type="cellIs" dxfId="1" priority="713" operator="equal">
      <formula>0</formula>
    </cfRule>
  </conditionalFormatting>
  <conditionalFormatting sqref="F319">
    <cfRule type="cellIs" dxfId="1" priority="723" operator="equal">
      <formula>0</formula>
    </cfRule>
  </conditionalFormatting>
  <conditionalFormatting sqref="F32">
    <cfRule type="cellIs" dxfId="1" priority="22" operator="equal">
      <formula>0</formula>
    </cfRule>
  </conditionalFormatting>
  <conditionalFormatting sqref="F320">
    <cfRule type="cellIs" dxfId="1" priority="728" operator="equal">
      <formula>0</formula>
    </cfRule>
  </conditionalFormatting>
  <conditionalFormatting sqref="F321">
    <cfRule type="cellIs" dxfId="1" priority="733" operator="equal">
      <formula>0</formula>
    </cfRule>
  </conditionalFormatting>
  <conditionalFormatting sqref="F322">
    <cfRule type="cellIs" dxfId="1" priority="738" operator="equal">
      <formula>0</formula>
    </cfRule>
  </conditionalFormatting>
  <conditionalFormatting sqref="F324">
    <cfRule type="cellIs" dxfId="1" priority="747" operator="equal">
      <formula>0</formula>
    </cfRule>
  </conditionalFormatting>
  <conditionalFormatting sqref="F327">
    <cfRule type="cellIs" dxfId="1" priority="758" operator="equal">
      <formula>0</formula>
    </cfRule>
  </conditionalFormatting>
  <conditionalFormatting sqref="F329">
    <cfRule type="expression" dxfId="0" priority="765">
      <formula>F330=0</formula>
    </cfRule>
  </conditionalFormatting>
  <conditionalFormatting sqref="F330">
    <cfRule type="cellIs" dxfId="1" priority="770" operator="equal">
      <formula>0</formula>
    </cfRule>
  </conditionalFormatting>
  <conditionalFormatting sqref="F334">
    <cfRule type="cellIs" dxfId="1" priority="778" operator="equal">
      <formula>0</formula>
    </cfRule>
  </conditionalFormatting>
  <conditionalFormatting sqref="F357">
    <cfRule type="expression" dxfId="0" priority="822">
      <formula>F358=0</formula>
    </cfRule>
  </conditionalFormatting>
  <conditionalFormatting sqref="F358">
    <cfRule type="cellIs" dxfId="1" priority="830" operator="equal">
      <formula>0</formula>
    </cfRule>
  </conditionalFormatting>
  <conditionalFormatting sqref="F36">
    <cfRule type="cellIs" dxfId="1" priority="39" operator="equal">
      <formula>0</formula>
    </cfRule>
  </conditionalFormatting>
  <conditionalFormatting sqref="F362">
    <cfRule type="cellIs" dxfId="1" priority="839" operator="equal">
      <formula>0</formula>
    </cfRule>
  </conditionalFormatting>
  <conditionalFormatting sqref="F364">
    <cfRule type="cellIs" dxfId="1" priority="842" operator="equal">
      <formula>0</formula>
    </cfRule>
  </conditionalFormatting>
  <conditionalFormatting sqref="F37">
    <cfRule type="cellIs" dxfId="1" priority="44" operator="equal">
      <formula>0</formula>
    </cfRule>
  </conditionalFormatting>
  <conditionalFormatting sqref="F370">
    <cfRule type="cellIs" dxfId="1" priority="856" operator="equal">
      <formula>0</formula>
    </cfRule>
  </conditionalFormatting>
  <conditionalFormatting sqref="F371">
    <cfRule type="cellIs" dxfId="1" priority="858" operator="equal">
      <formula>0</formula>
    </cfRule>
  </conditionalFormatting>
  <conditionalFormatting sqref="F38">
    <cfRule type="cellIs" dxfId="1" priority="49" operator="equal">
      <formula>0</formula>
    </cfRule>
  </conditionalFormatting>
  <conditionalFormatting sqref="F380">
    <cfRule type="cellIs" dxfId="1" priority="875" operator="equal">
      <formula>0</formula>
    </cfRule>
  </conditionalFormatting>
  <conditionalFormatting sqref="F385">
    <cfRule type="expression" dxfId="0" priority="886">
      <formula>F386=0</formula>
    </cfRule>
  </conditionalFormatting>
  <conditionalFormatting sqref="F386">
    <cfRule type="cellIs" dxfId="1" priority="891" operator="equal">
      <formula>0</formula>
    </cfRule>
  </conditionalFormatting>
  <conditionalFormatting sqref="F390">
    <cfRule type="cellIs" dxfId="1" priority="898" operator="equal">
      <formula>0</formula>
    </cfRule>
  </conditionalFormatting>
  <conditionalFormatting sqref="F40">
    <cfRule type="expression" dxfId="0" priority="55">
      <formula>F41=0</formula>
    </cfRule>
  </conditionalFormatting>
  <conditionalFormatting sqref="F41">
    <cfRule type="cellIs" dxfId="1" priority="59" operator="equal">
      <formula>0</formula>
    </cfRule>
  </conditionalFormatting>
  <conditionalFormatting sqref="F419">
    <cfRule type="expression" dxfId="0" priority="933">
      <formula>F420=0</formula>
    </cfRule>
  </conditionalFormatting>
  <conditionalFormatting sqref="F420">
    <cfRule type="cellIs" dxfId="1" priority="941" operator="equal">
      <formula>0</formula>
    </cfRule>
  </conditionalFormatting>
  <conditionalFormatting sqref="F421">
    <cfRule type="cellIs" dxfId="1" priority="949" operator="equal">
      <formula>0</formula>
    </cfRule>
  </conditionalFormatting>
  <conditionalFormatting sqref="F422">
    <cfRule type="cellIs" dxfId="1" priority="952" operator="equal">
      <formula>0</formula>
    </cfRule>
  </conditionalFormatting>
  <conditionalFormatting sqref="F423">
    <cfRule type="cellIs" dxfId="1" priority="958" operator="equal">
      <formula>0</formula>
    </cfRule>
  </conditionalFormatting>
  <conditionalFormatting sqref="F426">
    <cfRule type="expression" dxfId="0" priority="969">
      <formula>F427=0</formula>
    </cfRule>
  </conditionalFormatting>
  <conditionalFormatting sqref="F427">
    <cfRule type="cellIs" dxfId="1" priority="973" operator="equal">
      <formula>0</formula>
    </cfRule>
  </conditionalFormatting>
  <conditionalFormatting sqref="F430">
    <cfRule type="cellIs" dxfId="1" priority="979" operator="equal">
      <formula>0</formula>
    </cfRule>
  </conditionalFormatting>
  <conditionalFormatting sqref="F431">
    <cfRule type="cellIs" dxfId="1" priority="981" operator="equal">
      <formula>0</formula>
    </cfRule>
  </conditionalFormatting>
  <conditionalFormatting sqref="F433">
    <cfRule type="expression" dxfId="0" priority="985">
      <formula>F434=0</formula>
    </cfRule>
  </conditionalFormatting>
  <conditionalFormatting sqref="F434">
    <cfRule type="cellIs" dxfId="1" priority="989" operator="equal">
      <formula>0</formula>
    </cfRule>
  </conditionalFormatting>
  <conditionalFormatting sqref="F437">
    <cfRule type="cellIs" dxfId="1" priority="996" operator="equal">
      <formula>0</formula>
    </cfRule>
  </conditionalFormatting>
  <conditionalFormatting sqref="F438">
    <cfRule type="cellIs" dxfId="1" priority="998" operator="equal">
      <formula>0</formula>
    </cfRule>
  </conditionalFormatting>
  <conditionalFormatting sqref="F440">
    <cfRule type="expression" dxfId="0" priority="1002">
      <formula>F441=0</formula>
    </cfRule>
  </conditionalFormatting>
  <conditionalFormatting sqref="F441">
    <cfRule type="cellIs" dxfId="1" priority="1007" operator="equal">
      <formula>0</formula>
    </cfRule>
  </conditionalFormatting>
  <conditionalFormatting sqref="F443">
    <cfRule type="cellIs" dxfId="1" priority="1012" operator="equal">
      <formula>0</formula>
    </cfRule>
  </conditionalFormatting>
  <conditionalFormatting sqref="F453">
    <cfRule type="expression" dxfId="0" priority="1018">
      <formula>F454=0</formula>
    </cfRule>
  </conditionalFormatting>
  <conditionalFormatting sqref="F454">
    <cfRule type="cellIs" dxfId="1" priority="1024" operator="equal">
      <formula>0</formula>
    </cfRule>
  </conditionalFormatting>
  <conditionalFormatting sqref="F455">
    <cfRule type="cellIs" dxfId="1" priority="1030" operator="equal">
      <formula>0</formula>
    </cfRule>
  </conditionalFormatting>
  <conditionalFormatting sqref="F456">
    <cfRule type="cellIs" dxfId="1" priority="1036" operator="equal">
      <formula>0</formula>
    </cfRule>
  </conditionalFormatting>
  <conditionalFormatting sqref="F457">
    <cfRule type="cellIs" dxfId="1" priority="1041" operator="equal">
      <formula>0</formula>
    </cfRule>
  </conditionalFormatting>
  <conditionalFormatting sqref="F458">
    <cfRule type="cellIs" dxfId="1" priority="1046" operator="equal">
      <formula>0</formula>
    </cfRule>
  </conditionalFormatting>
  <conditionalFormatting sqref="F46">
    <cfRule type="cellIs" dxfId="1" priority="68" operator="equal">
      <formula>0</formula>
    </cfRule>
  </conditionalFormatting>
  <conditionalFormatting sqref="F47">
    <cfRule type="cellIs" dxfId="1" priority="70" operator="equal">
      <formula>0</formula>
    </cfRule>
  </conditionalFormatting>
  <conditionalFormatting sqref="F48">
    <cfRule type="cellIs" dxfId="1" priority="72" operator="equal">
      <formula>0</formula>
    </cfRule>
  </conditionalFormatting>
  <conditionalFormatting sqref="F487">
    <cfRule type="expression" dxfId="0" priority="1087">
      <formula>F488=0</formula>
    </cfRule>
  </conditionalFormatting>
  <conditionalFormatting sqref="F488">
    <cfRule type="cellIs" dxfId="1" priority="1095" operator="equal">
      <formula>0</formula>
    </cfRule>
  </conditionalFormatting>
  <conditionalFormatting sqref="F489">
    <cfRule type="cellIs" dxfId="1" priority="1103" operator="equal">
      <formula>0</formula>
    </cfRule>
  </conditionalFormatting>
  <conditionalFormatting sqref="F491">
    <cfRule type="cellIs" dxfId="1" priority="1114" operator="equal">
      <formula>0</formula>
    </cfRule>
  </conditionalFormatting>
  <conditionalFormatting sqref="F492">
    <cfRule type="cellIs" dxfId="1" priority="1118" operator="equal">
      <formula>0</formula>
    </cfRule>
  </conditionalFormatting>
  <conditionalFormatting sqref="F494">
    <cfRule type="expression" dxfId="0" priority="1124">
      <formula>F495=0</formula>
    </cfRule>
  </conditionalFormatting>
  <conditionalFormatting sqref="F495">
    <cfRule type="cellIs" dxfId="1" priority="1129" operator="equal">
      <formula>0</formula>
    </cfRule>
  </conditionalFormatting>
  <conditionalFormatting sqref="F497">
    <cfRule type="cellIs" dxfId="1" priority="1134" operator="equal">
      <formula>0</formula>
    </cfRule>
  </conditionalFormatting>
  <conditionalFormatting sqref="F498">
    <cfRule type="cellIs" dxfId="1" priority="1137" operator="equal">
      <formula>0</formula>
    </cfRule>
  </conditionalFormatting>
  <conditionalFormatting sqref="F499">
    <cfRule type="cellIs" dxfId="1" priority="1138" operator="equal">
      <formula>0</formula>
    </cfRule>
  </conditionalFormatting>
  <conditionalFormatting sqref="F501">
    <cfRule type="expression" dxfId="0" priority="1143">
      <formula>F502=0</formula>
    </cfRule>
  </conditionalFormatting>
  <conditionalFormatting sqref="F502">
    <cfRule type="cellIs" dxfId="1" priority="1149" operator="equal">
      <formula>0</formula>
    </cfRule>
  </conditionalFormatting>
  <conditionalFormatting sqref="F504">
    <cfRule type="cellIs" dxfId="1" priority="1155" operator="equal">
      <formula>0</formula>
    </cfRule>
  </conditionalFormatting>
  <conditionalFormatting sqref="F505">
    <cfRule type="cellIs" dxfId="1" priority="1158" operator="equal">
      <formula>0</formula>
    </cfRule>
  </conditionalFormatting>
  <conditionalFormatting sqref="F506">
    <cfRule type="cellIs" dxfId="1" priority="1160" operator="equal">
      <formula>0</formula>
    </cfRule>
  </conditionalFormatting>
  <conditionalFormatting sqref="F508">
    <cfRule type="expression" dxfId="0" priority="1165">
      <formula>F509=0</formula>
    </cfRule>
  </conditionalFormatting>
  <conditionalFormatting sqref="F509">
    <cfRule type="cellIs" dxfId="1" priority="1169" operator="equal">
      <formula>0</formula>
    </cfRule>
  </conditionalFormatting>
  <conditionalFormatting sqref="F51">
    <cfRule type="expression" dxfId="0" priority="78">
      <formula>F52=0</formula>
    </cfRule>
  </conditionalFormatting>
  <conditionalFormatting sqref="F513">
    <cfRule type="cellIs" dxfId="1" priority="1175" operator="equal">
      <formula>0</formula>
    </cfRule>
  </conditionalFormatting>
  <conditionalFormatting sqref="F52">
    <cfRule type="cellIs" dxfId="1" priority="83" operator="equal">
      <formula>0</formula>
    </cfRule>
  </conditionalFormatting>
  <conditionalFormatting sqref="F521">
    <cfRule type="expression" dxfId="0" priority="1179">
      <formula>F522=0</formula>
    </cfRule>
  </conditionalFormatting>
  <conditionalFormatting sqref="F522">
    <cfRule type="cellIs" dxfId="1" priority="1187" operator="equal">
      <formula>0</formula>
    </cfRule>
  </conditionalFormatting>
  <conditionalFormatting sqref="F523">
    <cfRule type="cellIs" dxfId="1" priority="1195" operator="equal">
      <formula>0</formula>
    </cfRule>
  </conditionalFormatting>
  <conditionalFormatting sqref="F524">
    <cfRule type="cellIs" dxfId="1" priority="1200" operator="equal">
      <formula>0</formula>
    </cfRule>
  </conditionalFormatting>
  <conditionalFormatting sqref="F525">
    <cfRule type="cellIs" dxfId="1" priority="1203" operator="equal">
      <formula>0</formula>
    </cfRule>
  </conditionalFormatting>
  <conditionalFormatting sqref="F526">
    <cfRule type="cellIs" dxfId="1" priority="1210" operator="equal">
      <formula>0</formula>
    </cfRule>
  </conditionalFormatting>
  <conditionalFormatting sqref="F527">
    <cfRule type="cellIs" dxfId="1" priority="1215" operator="equal">
      <formula>0</formula>
    </cfRule>
  </conditionalFormatting>
  <conditionalFormatting sqref="F530">
    <cfRule type="cellIs" dxfId="1" priority="1228" operator="equal">
      <formula>0</formula>
    </cfRule>
  </conditionalFormatting>
  <conditionalFormatting sqref="F531">
    <cfRule type="cellIs" dxfId="1" priority="1234" operator="equal">
      <formula>0</formula>
    </cfRule>
  </conditionalFormatting>
  <conditionalFormatting sqref="F532">
    <cfRule type="cellIs" dxfId="1" priority="1240" operator="equal">
      <formula>0</formula>
    </cfRule>
  </conditionalFormatting>
  <conditionalFormatting sqref="F534">
    <cfRule type="cellIs" dxfId="1" priority="1249" operator="equal">
      <formula>0</formula>
    </cfRule>
  </conditionalFormatting>
  <conditionalFormatting sqref="F535">
    <cfRule type="cellIs" dxfId="1" priority="1254" operator="equal">
      <formula>0</formula>
    </cfRule>
  </conditionalFormatting>
  <conditionalFormatting sqref="F536">
    <cfRule type="cellIs" dxfId="1" priority="1259" operator="equal">
      <formula>0</formula>
    </cfRule>
  </conditionalFormatting>
  <conditionalFormatting sqref="F538">
    <cfRule type="cellIs" dxfId="1" priority="1268" operator="equal">
      <formula>0</formula>
    </cfRule>
  </conditionalFormatting>
  <conditionalFormatting sqref="F539">
    <cfRule type="cellIs" dxfId="1" priority="1273" operator="equal">
      <formula>0</formula>
    </cfRule>
  </conditionalFormatting>
  <conditionalFormatting sqref="F541">
    <cfRule type="cellIs" dxfId="1" priority="1282" operator="equal">
      <formula>0</formula>
    </cfRule>
  </conditionalFormatting>
  <conditionalFormatting sqref="F542">
    <cfRule type="cellIs" dxfId="1" priority="1287" operator="equal">
      <formula>0</formula>
    </cfRule>
  </conditionalFormatting>
  <conditionalFormatting sqref="F543">
    <cfRule type="cellIs" dxfId="1" priority="1292" operator="equal">
      <formula>0</formula>
    </cfRule>
  </conditionalFormatting>
  <conditionalFormatting sqref="F545">
    <cfRule type="cellIs" dxfId="1" priority="1301" operator="equal">
      <formula>0</formula>
    </cfRule>
  </conditionalFormatting>
  <conditionalFormatting sqref="F548">
    <cfRule type="expression" dxfId="0" priority="1310">
      <formula>F549=0</formula>
    </cfRule>
  </conditionalFormatting>
  <conditionalFormatting sqref="F549">
    <cfRule type="cellIs" dxfId="1" priority="1315" operator="equal">
      <formula>0</formula>
    </cfRule>
  </conditionalFormatting>
  <conditionalFormatting sqref="F554">
    <cfRule type="cellIs" dxfId="1" priority="1325" operator="equal">
      <formula>0</formula>
    </cfRule>
  </conditionalFormatting>
  <conditionalFormatting sqref="F557">
    <cfRule type="cellIs" dxfId="1" priority="1330" operator="equal">
      <formula>0</formula>
    </cfRule>
  </conditionalFormatting>
  <conditionalFormatting sqref="F559">
    <cfRule type="cellIs" dxfId="1" priority="1334" operator="equal">
      <formula>0</formula>
    </cfRule>
  </conditionalFormatting>
  <conditionalFormatting sqref="F561">
    <cfRule type="cellIs" dxfId="1" priority="1339" operator="equal">
      <formula>0</formula>
    </cfRule>
  </conditionalFormatting>
  <conditionalFormatting sqref="F566">
    <cfRule type="cellIs" dxfId="1" priority="1348" operator="equal">
      <formula>0</formula>
    </cfRule>
  </conditionalFormatting>
  <conditionalFormatting sqref="F567">
    <cfRule type="cellIs" dxfId="1" priority="1350" operator="equal">
      <formula>0</formula>
    </cfRule>
  </conditionalFormatting>
  <conditionalFormatting sqref="F569">
    <cfRule type="cellIs" dxfId="1" priority="1354" operator="equal">
      <formula>0</formula>
    </cfRule>
  </conditionalFormatting>
  <conditionalFormatting sqref="F57">
    <cfRule type="cellIs" dxfId="1" priority="92" operator="equal">
      <formula>0</formula>
    </cfRule>
  </conditionalFormatting>
  <conditionalFormatting sqref="F572">
    <cfRule type="cellIs" dxfId="1" priority="1360" operator="equal">
      <formula>0</formula>
    </cfRule>
  </conditionalFormatting>
  <conditionalFormatting sqref="F575">
    <cfRule type="expression" dxfId="0" priority="1366">
      <formula>F576=0</formula>
    </cfRule>
  </conditionalFormatting>
  <conditionalFormatting sqref="F576">
    <cfRule type="cellIs" dxfId="1" priority="1374" operator="equal">
      <formula>0</formula>
    </cfRule>
  </conditionalFormatting>
  <conditionalFormatting sqref="F580">
    <cfRule type="cellIs" dxfId="1" priority="1383" operator="equal">
      <formula>0</formula>
    </cfRule>
  </conditionalFormatting>
  <conditionalFormatting sqref="F582">
    <cfRule type="cellIs" dxfId="1" priority="1387" operator="equal">
      <formula>0</formula>
    </cfRule>
  </conditionalFormatting>
  <conditionalFormatting sqref="F586">
    <cfRule type="cellIs" dxfId="1" priority="1396" operator="equal">
      <formula>0</formula>
    </cfRule>
  </conditionalFormatting>
  <conditionalFormatting sqref="F592">
    <cfRule type="cellIs" dxfId="1" priority="1407" operator="equal">
      <formula>0</formula>
    </cfRule>
  </conditionalFormatting>
  <conditionalFormatting sqref="F594">
    <cfRule type="cellIs" dxfId="1" priority="1411" operator="equal">
      <formula>0</formula>
    </cfRule>
  </conditionalFormatting>
  <conditionalFormatting sqref="F602">
    <cfRule type="expression" dxfId="0" priority="1428">
      <formula>F603=0</formula>
    </cfRule>
  </conditionalFormatting>
  <conditionalFormatting sqref="F603">
    <cfRule type="cellIs" dxfId="1" priority="1433" operator="equal">
      <formula>0</formula>
    </cfRule>
  </conditionalFormatting>
  <conditionalFormatting sqref="F606">
    <cfRule type="cellIs" dxfId="1" priority="1438" operator="equal">
      <formula>0</formula>
    </cfRule>
  </conditionalFormatting>
  <conditionalFormatting sqref="F616">
    <cfRule type="cellIs" dxfId="1" priority="1452" operator="equal">
      <formula>0</formula>
    </cfRule>
  </conditionalFormatting>
  <conditionalFormatting sqref="F620">
    <cfRule type="cellIs" dxfId="1" priority="1457" operator="equal">
      <formula>0</formula>
    </cfRule>
  </conditionalFormatting>
  <conditionalFormatting sqref="F623">
    <cfRule type="cellIs" dxfId="1" priority="1462" operator="equal">
      <formula>0</formula>
    </cfRule>
  </conditionalFormatting>
  <conditionalFormatting sqref="F625">
    <cfRule type="cellIs" dxfId="1" priority="1465" operator="equal">
      <formula>0</formula>
    </cfRule>
  </conditionalFormatting>
  <conditionalFormatting sqref="F635">
    <cfRule type="expression" dxfId="0" priority="1472">
      <formula>F636=0</formula>
    </cfRule>
  </conditionalFormatting>
  <conditionalFormatting sqref="F636">
    <cfRule type="cellIs" dxfId="1" priority="1480" operator="equal">
      <formula>0</formula>
    </cfRule>
  </conditionalFormatting>
  <conditionalFormatting sqref="F637">
    <cfRule type="cellIs" dxfId="1" priority="1488" operator="equal">
      <formula>0</formula>
    </cfRule>
  </conditionalFormatting>
  <conditionalFormatting sqref="F638">
    <cfRule type="cellIs" dxfId="1" priority="1493" operator="equal">
      <formula>0</formula>
    </cfRule>
  </conditionalFormatting>
  <conditionalFormatting sqref="F639">
    <cfRule type="cellIs" dxfId="1" priority="1498" operator="equal">
      <formula>0</formula>
    </cfRule>
  </conditionalFormatting>
  <conditionalFormatting sqref="F640">
    <cfRule type="cellIs" dxfId="1" priority="1504" operator="equal">
      <formula>0</formula>
    </cfRule>
  </conditionalFormatting>
  <conditionalFormatting sqref="F641">
    <cfRule type="cellIs" dxfId="1" priority="1509" operator="equal">
      <formula>0</formula>
    </cfRule>
  </conditionalFormatting>
  <conditionalFormatting sqref="F642">
    <cfRule type="cellIs" dxfId="1" priority="1514" operator="equal">
      <formula>0</formula>
    </cfRule>
  </conditionalFormatting>
  <conditionalFormatting sqref="F643">
    <cfRule type="cellIs" dxfId="1" priority="1519" operator="equal">
      <formula>0</formula>
    </cfRule>
  </conditionalFormatting>
  <conditionalFormatting sqref="F644">
    <cfRule type="cellIs" dxfId="1" priority="1523" operator="equal">
      <formula>0</formula>
    </cfRule>
  </conditionalFormatting>
  <conditionalFormatting sqref="F646">
    <cfRule type="expression" dxfId="0" priority="1529">
      <formula>F647=0</formula>
    </cfRule>
  </conditionalFormatting>
  <conditionalFormatting sqref="F647">
    <cfRule type="cellIs" dxfId="1" priority="1534" operator="equal">
      <formula>0</formula>
    </cfRule>
  </conditionalFormatting>
  <conditionalFormatting sqref="F650">
    <cfRule type="cellIs" dxfId="1" priority="1541" operator="equal">
      <formula>0</formula>
    </cfRule>
  </conditionalFormatting>
  <conditionalFormatting sqref="F652">
    <cfRule type="cellIs" dxfId="1" priority="1546" operator="equal">
      <formula>0</formula>
    </cfRule>
  </conditionalFormatting>
  <conditionalFormatting sqref="F655">
    <cfRule type="cellIs" dxfId="1" priority="1551" operator="equal">
      <formula>0</formula>
    </cfRule>
  </conditionalFormatting>
  <conditionalFormatting sqref="F657">
    <cfRule type="expression" dxfId="0" priority="1556">
      <formula>F658=0</formula>
    </cfRule>
  </conditionalFormatting>
  <conditionalFormatting sqref="F658">
    <cfRule type="cellIs" dxfId="1" priority="1563" operator="equal">
      <formula>0</formula>
    </cfRule>
  </conditionalFormatting>
  <conditionalFormatting sqref="F661">
    <cfRule type="cellIs" dxfId="1" priority="1570" operator="equal">
      <formula>0</formula>
    </cfRule>
  </conditionalFormatting>
  <conditionalFormatting sqref="F668">
    <cfRule type="expression" dxfId="0" priority="1584">
      <formula>F669=0</formula>
    </cfRule>
  </conditionalFormatting>
  <conditionalFormatting sqref="F669">
    <cfRule type="cellIs" dxfId="1" priority="1588" operator="equal">
      <formula>0</formula>
    </cfRule>
  </conditionalFormatting>
  <conditionalFormatting sqref="F677">
    <cfRule type="cellIs" dxfId="1" priority="1598" operator="equal">
      <formula>0</formula>
    </cfRule>
  </conditionalFormatting>
  <conditionalFormatting sqref="F685">
    <cfRule type="expression" dxfId="0" priority="1602">
      <formula>F686=0</formula>
    </cfRule>
  </conditionalFormatting>
  <conditionalFormatting sqref="F686">
    <cfRule type="cellIs" dxfId="1" priority="1607" operator="equal">
      <formula>0</formula>
    </cfRule>
  </conditionalFormatting>
  <conditionalFormatting sqref="F687">
    <cfRule type="cellIs" dxfId="1" priority="1612" operator="equal">
      <formula>0</formula>
    </cfRule>
  </conditionalFormatting>
  <conditionalFormatting sqref="F707">
    <cfRule type="expression" dxfId="0" priority="1635">
      <formula>F708=0</formula>
    </cfRule>
  </conditionalFormatting>
  <conditionalFormatting sqref="F708">
    <cfRule type="cellIs" dxfId="1" priority="1643" operator="equal">
      <formula>0</formula>
    </cfRule>
  </conditionalFormatting>
  <conditionalFormatting sqref="F709">
    <cfRule type="cellIs" dxfId="1" priority="1649" operator="equal">
      <formula>0</formula>
    </cfRule>
  </conditionalFormatting>
  <conditionalFormatting sqref="F710">
    <cfRule type="cellIs" dxfId="1" priority="1656" operator="equal">
      <formula>0</formula>
    </cfRule>
  </conditionalFormatting>
  <conditionalFormatting sqref="F711">
    <cfRule type="cellIs" dxfId="1" priority="1661" operator="equal">
      <formula>0</formula>
    </cfRule>
  </conditionalFormatting>
  <conditionalFormatting sqref="F712">
    <cfRule type="cellIs" dxfId="1" priority="1667" operator="equal">
      <formula>0</formula>
    </cfRule>
  </conditionalFormatting>
  <conditionalFormatting sqref="F713">
    <cfRule type="cellIs" dxfId="1" priority="1673" operator="equal">
      <formula>0</formula>
    </cfRule>
  </conditionalFormatting>
  <conditionalFormatting sqref="F714">
    <cfRule type="cellIs" dxfId="1" priority="1678" operator="equal">
      <formula>0</formula>
    </cfRule>
  </conditionalFormatting>
  <conditionalFormatting sqref="F715">
    <cfRule type="cellIs" dxfId="1" priority="1684" operator="equal">
      <formula>0</formula>
    </cfRule>
  </conditionalFormatting>
  <conditionalFormatting sqref="F716">
    <cfRule type="cellIs" dxfId="1" priority="1689" operator="equal">
      <formula>0</formula>
    </cfRule>
  </conditionalFormatting>
  <conditionalFormatting sqref="F718">
    <cfRule type="cellIs" dxfId="1" priority="1698" operator="equal">
      <formula>0</formula>
    </cfRule>
  </conditionalFormatting>
  <conditionalFormatting sqref="F721">
    <cfRule type="cellIs" dxfId="1" priority="1711" operator="equal">
      <formula>0</formula>
    </cfRule>
  </conditionalFormatting>
  <conditionalFormatting sqref="F724">
    <cfRule type="expression" dxfId="0" priority="1720">
      <formula>F725=0</formula>
    </cfRule>
  </conditionalFormatting>
  <conditionalFormatting sqref="F725">
    <cfRule type="cellIs" dxfId="1" priority="1725" operator="equal">
      <formula>0</formula>
    </cfRule>
  </conditionalFormatting>
  <conditionalFormatting sqref="F728">
    <cfRule type="cellIs" dxfId="1" priority="1731" operator="equal">
      <formula>0</formula>
    </cfRule>
  </conditionalFormatting>
  <conditionalFormatting sqref="F741">
    <cfRule type="expression" dxfId="0" priority="1757">
      <formula>F742=0</formula>
    </cfRule>
  </conditionalFormatting>
  <conditionalFormatting sqref="F742">
    <cfRule type="cellIs" dxfId="1" priority="1765" operator="equal">
      <formula>0</formula>
    </cfRule>
  </conditionalFormatting>
  <conditionalFormatting sqref="F745">
    <cfRule type="cellIs" dxfId="1" priority="1773" operator="equal">
      <formula>0</formula>
    </cfRule>
  </conditionalFormatting>
  <conditionalFormatting sqref="F746">
    <cfRule type="cellIs" dxfId="1" priority="1774" operator="equal">
      <formula>0</formula>
    </cfRule>
  </conditionalFormatting>
  <conditionalFormatting sqref="F748">
    <cfRule type="cellIs" dxfId="1" priority="1779" operator="equal">
      <formula>0</formula>
    </cfRule>
  </conditionalFormatting>
  <conditionalFormatting sqref="F749">
    <cfRule type="cellIs" dxfId="1" priority="1781" operator="equal">
      <formula>0</formula>
    </cfRule>
  </conditionalFormatting>
  <conditionalFormatting sqref="F758">
    <cfRule type="expression" dxfId="0" priority="1796">
      <formula>F759=0</formula>
    </cfRule>
  </conditionalFormatting>
  <conditionalFormatting sqref="F759">
    <cfRule type="cellIs" dxfId="1" priority="1801" operator="equal">
      <formula>0</formula>
    </cfRule>
  </conditionalFormatting>
  <conditionalFormatting sqref="F762">
    <cfRule type="cellIs" dxfId="1" priority="1807" operator="equal">
      <formula>0</formula>
    </cfRule>
  </conditionalFormatting>
  <conditionalFormatting sqref="F781">
    <cfRule type="expression" dxfId="0" priority="1828">
      <formula>F782=0</formula>
    </cfRule>
  </conditionalFormatting>
  <conditionalFormatting sqref="F782">
    <cfRule type="cellIs" dxfId="1" priority="1834" operator="equal">
      <formula>0</formula>
    </cfRule>
  </conditionalFormatting>
  <conditionalFormatting sqref="F783">
    <cfRule type="cellIs" dxfId="1" priority="1840" operator="equal">
      <formula>0</formula>
    </cfRule>
  </conditionalFormatting>
  <conditionalFormatting sqref="F785">
    <cfRule type="cellIs" dxfId="1" priority="1849" operator="equal">
      <formula>0</formula>
    </cfRule>
  </conditionalFormatting>
  <conditionalFormatting sqref="F786">
    <cfRule type="cellIs" dxfId="1" priority="1854" operator="equal">
      <formula>0</formula>
    </cfRule>
  </conditionalFormatting>
  <conditionalFormatting sqref="F788">
    <cfRule type="cellIs" dxfId="1" priority="1863" operator="equal">
      <formula>0</formula>
    </cfRule>
  </conditionalFormatting>
  <conditionalFormatting sqref="F789">
    <cfRule type="cellIs" dxfId="1" priority="1868" operator="equal">
      <formula>0</formula>
    </cfRule>
  </conditionalFormatting>
  <conditionalFormatting sqref="F79">
    <cfRule type="expression" dxfId="0" priority="121">
      <formula>F80=0</formula>
    </cfRule>
  </conditionalFormatting>
  <conditionalFormatting sqref="F792">
    <cfRule type="expression" dxfId="0" priority="1877">
      <formula>F793=0</formula>
    </cfRule>
  </conditionalFormatting>
  <conditionalFormatting sqref="F793">
    <cfRule type="cellIs" dxfId="1" priority="1881" operator="equal">
      <formula>0</formula>
    </cfRule>
  </conditionalFormatting>
  <conditionalFormatting sqref="F796">
    <cfRule type="cellIs" dxfId="1" priority="1887" operator="equal">
      <formula>0</formula>
    </cfRule>
  </conditionalFormatting>
  <conditionalFormatting sqref="F80">
    <cfRule type="cellIs" dxfId="1" priority="127" operator="equal">
      <formula>0</formula>
    </cfRule>
  </conditionalFormatting>
  <conditionalFormatting sqref="F800">
    <cfRule type="cellIs" dxfId="1" priority="1895" operator="equal">
      <formula>0</formula>
    </cfRule>
  </conditionalFormatting>
  <conditionalFormatting sqref="F803">
    <cfRule type="expression" dxfId="0" priority="1900">
      <formula>F804=0</formula>
    </cfRule>
  </conditionalFormatting>
  <conditionalFormatting sqref="F804">
    <cfRule type="cellIs" dxfId="1" priority="1904" operator="equal">
      <formula>0</formula>
    </cfRule>
  </conditionalFormatting>
  <conditionalFormatting sqref="F809">
    <cfRule type="cellIs" dxfId="1" priority="1912" operator="equal">
      <formula>0</formula>
    </cfRule>
  </conditionalFormatting>
  <conditionalFormatting sqref="F81">
    <cfRule type="cellIs" dxfId="1" priority="133" operator="equal">
      <formula>0</formula>
    </cfRule>
  </conditionalFormatting>
  <conditionalFormatting sqref="F814">
    <cfRule type="expression" dxfId="0" priority="1920">
      <formula>F815=0</formula>
    </cfRule>
  </conditionalFormatting>
  <conditionalFormatting sqref="F815">
    <cfRule type="cellIs" dxfId="1" priority="1924" operator="equal">
      <formula>0</formula>
    </cfRule>
  </conditionalFormatting>
  <conditionalFormatting sqref="F82">
    <cfRule type="cellIs" dxfId="1" priority="139" operator="equal">
      <formula>0</formula>
    </cfRule>
  </conditionalFormatting>
  <conditionalFormatting sqref="F822">
    <cfRule type="cellIs" dxfId="1" priority="1933" operator="equal">
      <formula>0</formula>
    </cfRule>
  </conditionalFormatting>
  <conditionalFormatting sqref="F831">
    <cfRule type="expression" dxfId="0" priority="1939">
      <formula>F832=0</formula>
    </cfRule>
  </conditionalFormatting>
  <conditionalFormatting sqref="F832">
    <cfRule type="cellIs" dxfId="1" priority="1945" operator="equal">
      <formula>0</formula>
    </cfRule>
  </conditionalFormatting>
  <conditionalFormatting sqref="F833">
    <cfRule type="cellIs" dxfId="1" priority="1951" operator="equal">
      <formula>0</formula>
    </cfRule>
  </conditionalFormatting>
  <conditionalFormatting sqref="F834">
    <cfRule type="cellIs" dxfId="1" priority="1956" operator="equal">
      <formula>0</formula>
    </cfRule>
  </conditionalFormatting>
  <conditionalFormatting sqref="F835">
    <cfRule type="cellIs" dxfId="1" priority="1961" operator="equal">
      <formula>0</formula>
    </cfRule>
  </conditionalFormatting>
  <conditionalFormatting sqref="F836">
    <cfRule type="cellIs" dxfId="1" priority="1966" operator="equal">
      <formula>0</formula>
    </cfRule>
  </conditionalFormatting>
  <conditionalFormatting sqref="F837">
    <cfRule type="cellIs" dxfId="1" priority="1971" operator="equal">
      <formula>0</formula>
    </cfRule>
  </conditionalFormatting>
  <conditionalFormatting sqref="F838">
    <cfRule type="cellIs" dxfId="1" priority="1976" operator="equal">
      <formula>0</formula>
    </cfRule>
  </conditionalFormatting>
  <conditionalFormatting sqref="F839">
    <cfRule type="cellIs" dxfId="1" priority="1981" operator="equal">
      <formula>0</formula>
    </cfRule>
  </conditionalFormatting>
  <conditionalFormatting sqref="F840">
    <cfRule type="cellIs" dxfId="1" priority="1986" operator="equal">
      <formula>0</formula>
    </cfRule>
  </conditionalFormatting>
  <conditionalFormatting sqref="F841">
    <cfRule type="cellIs" dxfId="1" priority="1991" operator="equal">
      <formula>0</formula>
    </cfRule>
  </conditionalFormatting>
  <conditionalFormatting sqref="F842">
    <cfRule type="cellIs" dxfId="1" priority="1997" operator="equal">
      <formula>0</formula>
    </cfRule>
  </conditionalFormatting>
  <conditionalFormatting sqref="F843">
    <cfRule type="cellIs" dxfId="1" priority="2002" operator="equal">
      <formula>0</formula>
    </cfRule>
  </conditionalFormatting>
  <conditionalFormatting sqref="F845">
    <cfRule type="expression" dxfId="0" priority="2008">
      <formula>F846=0</formula>
    </cfRule>
  </conditionalFormatting>
  <conditionalFormatting sqref="F846">
    <cfRule type="cellIs" dxfId="1" priority="2012" operator="equal">
      <formula>0</formula>
    </cfRule>
  </conditionalFormatting>
  <conditionalFormatting sqref="F853">
    <cfRule type="cellIs" dxfId="1" priority="2027" operator="equal">
      <formula>0</formula>
    </cfRule>
  </conditionalFormatting>
  <conditionalFormatting sqref="F859">
    <cfRule type="expression" dxfId="0" priority="2039">
      <formula>F860=0</formula>
    </cfRule>
  </conditionalFormatting>
  <conditionalFormatting sqref="F860">
    <cfRule type="cellIs" dxfId="1" priority="2046" operator="equal">
      <formula>0</formula>
    </cfRule>
  </conditionalFormatting>
  <conditionalFormatting sqref="F864">
    <cfRule type="cellIs" dxfId="1" priority="2056" operator="equal">
      <formula>0</formula>
    </cfRule>
  </conditionalFormatting>
  <conditionalFormatting sqref="F867">
    <cfRule type="cellIs" dxfId="1" priority="2063" operator="equal">
      <formula>0</formula>
    </cfRule>
  </conditionalFormatting>
  <conditionalFormatting sqref="G105">
    <cfRule type="expression" dxfId="0" priority="169">
      <formula>G106=0</formula>
    </cfRule>
  </conditionalFormatting>
  <conditionalFormatting sqref="G106">
    <cfRule type="cellIs" dxfId="1" priority="175" operator="equal">
      <formula>0</formula>
    </cfRule>
  </conditionalFormatting>
  <conditionalFormatting sqref="G109">
    <cfRule type="cellIs" dxfId="1" priority="188" operator="equal">
      <formula>0</formula>
    </cfRule>
  </conditionalFormatting>
  <conditionalFormatting sqref="G113">
    <cfRule type="cellIs" dxfId="1" priority="205" operator="equal">
      <formula>0</formula>
    </cfRule>
  </conditionalFormatting>
  <conditionalFormatting sqref="G114">
    <cfRule type="cellIs" dxfId="1" priority="211" operator="equal">
      <formula>0</formula>
    </cfRule>
  </conditionalFormatting>
  <conditionalFormatting sqref="G129">
    <cfRule type="expression" dxfId="0" priority="246">
      <formula>G130=0</formula>
    </cfRule>
  </conditionalFormatting>
  <conditionalFormatting sqref="G130">
    <cfRule type="cellIs" dxfId="1" priority="252" operator="equal">
      <formula>0</formula>
    </cfRule>
  </conditionalFormatting>
  <conditionalFormatting sqref="G135">
    <cfRule type="cellIs" dxfId="1" priority="264" operator="equal">
      <formula>0</formula>
    </cfRule>
  </conditionalFormatting>
  <conditionalFormatting sqref="G159">
    <cfRule type="expression" dxfId="0" priority="301">
      <formula>G160=0</formula>
    </cfRule>
  </conditionalFormatting>
  <conditionalFormatting sqref="G160">
    <cfRule type="cellIs" dxfId="1" priority="306" operator="equal">
      <formula>0</formula>
    </cfRule>
  </conditionalFormatting>
  <conditionalFormatting sqref="G161">
    <cfRule type="cellIs" dxfId="1" priority="311" operator="equal">
      <formula>0</formula>
    </cfRule>
  </conditionalFormatting>
  <conditionalFormatting sqref="G181">
    <cfRule type="expression" dxfId="0" priority="334">
      <formula>G182=0</formula>
    </cfRule>
  </conditionalFormatting>
  <conditionalFormatting sqref="G182">
    <cfRule type="cellIs" dxfId="1" priority="340" operator="equal">
      <formula>0</formula>
    </cfRule>
  </conditionalFormatting>
  <conditionalFormatting sqref="G183">
    <cfRule type="cellIs" dxfId="1" priority="346" operator="equal">
      <formula>0</formula>
    </cfRule>
  </conditionalFormatting>
  <conditionalFormatting sqref="G185">
    <cfRule type="cellIs" dxfId="1" priority="355" operator="equal">
      <formula>0</formula>
    </cfRule>
  </conditionalFormatting>
  <conditionalFormatting sqref="G187">
    <cfRule type="cellIs" dxfId="1" priority="364" operator="equal">
      <formula>0</formula>
    </cfRule>
  </conditionalFormatting>
  <conditionalFormatting sqref="G219">
    <cfRule type="expression" dxfId="0" priority="415">
      <formula>G220=0</formula>
    </cfRule>
  </conditionalFormatting>
  <conditionalFormatting sqref="G220">
    <cfRule type="cellIs" dxfId="1" priority="423" operator="equal">
      <formula>0</formula>
    </cfRule>
  </conditionalFormatting>
  <conditionalFormatting sqref="G225">
    <cfRule type="cellIs" dxfId="1" priority="446" operator="equal">
      <formula>0</formula>
    </cfRule>
  </conditionalFormatting>
  <conditionalFormatting sqref="G227">
    <cfRule type="cellIs" dxfId="1" priority="455" operator="equal">
      <formula>0</formula>
    </cfRule>
  </conditionalFormatting>
  <conditionalFormatting sqref="G228">
    <cfRule type="cellIs" dxfId="1" priority="460" operator="equal">
      <formula>0</formula>
    </cfRule>
  </conditionalFormatting>
  <conditionalFormatting sqref="G229">
    <cfRule type="cellIs" dxfId="1" priority="465" operator="equal">
      <formula>0</formula>
    </cfRule>
  </conditionalFormatting>
  <conditionalFormatting sqref="G233">
    <cfRule type="cellIs" dxfId="1" priority="482" operator="equal">
      <formula>0</formula>
    </cfRule>
  </conditionalFormatting>
  <conditionalFormatting sqref="G234">
    <cfRule type="cellIs" dxfId="1" priority="488" operator="equal">
      <formula>0</formula>
    </cfRule>
  </conditionalFormatting>
  <conditionalFormatting sqref="G235">
    <cfRule type="cellIs" dxfId="1" priority="494" operator="equal">
      <formula>0</formula>
    </cfRule>
  </conditionalFormatting>
  <conditionalFormatting sqref="G236">
    <cfRule type="cellIs" dxfId="1" priority="497" operator="equal">
      <formula>0</formula>
    </cfRule>
  </conditionalFormatting>
  <conditionalFormatting sqref="G238">
    <cfRule type="expression" dxfId="0" priority="505">
      <formula>G239=0</formula>
    </cfRule>
  </conditionalFormatting>
  <conditionalFormatting sqref="G239">
    <cfRule type="cellIs" dxfId="1" priority="510" operator="equal">
      <formula>0</formula>
    </cfRule>
  </conditionalFormatting>
  <conditionalFormatting sqref="G244">
    <cfRule type="cellIs" dxfId="1" priority="519" operator="equal">
      <formula>0</formula>
    </cfRule>
  </conditionalFormatting>
  <conditionalFormatting sqref="G248">
    <cfRule type="cellIs" dxfId="1" priority="527" operator="equal">
      <formula>0</formula>
    </cfRule>
  </conditionalFormatting>
  <conditionalFormatting sqref="G250">
    <cfRule type="cellIs" dxfId="1" priority="531" operator="equal">
      <formula>0</formula>
    </cfRule>
  </conditionalFormatting>
  <conditionalFormatting sqref="G251">
    <cfRule type="cellIs" dxfId="1" priority="533" operator="equal">
      <formula>0</formula>
    </cfRule>
  </conditionalFormatting>
  <conditionalFormatting sqref="G252">
    <cfRule type="cellIs" dxfId="1" priority="535" operator="equal">
      <formula>0</formula>
    </cfRule>
  </conditionalFormatting>
  <conditionalFormatting sqref="G253">
    <cfRule type="cellIs" dxfId="1" priority="537" operator="equal">
      <formula>0</formula>
    </cfRule>
  </conditionalFormatting>
  <conditionalFormatting sqref="G254">
    <cfRule type="cellIs" dxfId="1" priority="539" operator="equal">
      <formula>0</formula>
    </cfRule>
  </conditionalFormatting>
  <conditionalFormatting sqref="G257">
    <cfRule type="expression" dxfId="0" priority="545">
      <formula>G258=0</formula>
    </cfRule>
  </conditionalFormatting>
  <conditionalFormatting sqref="G258">
    <cfRule type="cellIs" dxfId="1" priority="553" operator="equal">
      <formula>0</formula>
    </cfRule>
  </conditionalFormatting>
  <conditionalFormatting sqref="G262">
    <cfRule type="cellIs" dxfId="1" priority="563" operator="equal">
      <formula>0</formula>
    </cfRule>
  </conditionalFormatting>
  <conditionalFormatting sqref="G264">
    <cfRule type="cellIs" dxfId="1" priority="569" operator="equal">
      <formula>0</formula>
    </cfRule>
  </conditionalFormatting>
  <conditionalFormatting sqref="G270">
    <cfRule type="cellIs" dxfId="1" priority="580" operator="equal">
      <formula>0</formula>
    </cfRule>
  </conditionalFormatting>
  <conditionalFormatting sqref="G276">
    <cfRule type="expression" dxfId="0" priority="593">
      <formula>G277=0</formula>
    </cfRule>
  </conditionalFormatting>
  <conditionalFormatting sqref="G277">
    <cfRule type="cellIs" dxfId="1" priority="598" operator="equal">
      <formula>0</formula>
    </cfRule>
  </conditionalFormatting>
  <conditionalFormatting sqref="G280">
    <cfRule type="cellIs" dxfId="1" priority="603" operator="equal">
      <formula>0</formula>
    </cfRule>
  </conditionalFormatting>
  <conditionalFormatting sqref="G282">
    <cfRule type="cellIs" dxfId="1" priority="606" operator="equal">
      <formula>0</formula>
    </cfRule>
  </conditionalFormatting>
  <conditionalFormatting sqref="G283">
    <cfRule type="cellIs" dxfId="1" priority="608" operator="equal">
      <formula>0</formula>
    </cfRule>
  </conditionalFormatting>
  <conditionalFormatting sqref="G289">
    <cfRule type="cellIs" dxfId="1" priority="617" operator="equal">
      <formula>0</formula>
    </cfRule>
  </conditionalFormatting>
  <conditionalFormatting sqref="G29">
    <cfRule type="expression" dxfId="0" priority="5">
      <formula>G30=0</formula>
    </cfRule>
  </conditionalFormatting>
  <conditionalFormatting sqref="G291">
    <cfRule type="cellIs" dxfId="1" priority="621" operator="equal">
      <formula>0</formula>
    </cfRule>
  </conditionalFormatting>
  <conditionalFormatting sqref="G293">
    <cfRule type="cellIs" dxfId="1" priority="625" operator="equal">
      <formula>0</formula>
    </cfRule>
  </conditionalFormatting>
  <conditionalFormatting sqref="G30">
    <cfRule type="cellIs" dxfId="1" priority="11" operator="equal">
      <formula>0</formula>
    </cfRule>
  </conditionalFormatting>
  <conditionalFormatting sqref="G301">
    <cfRule type="expression" dxfId="0" priority="630">
      <formula>G302=0</formula>
    </cfRule>
  </conditionalFormatting>
  <conditionalFormatting sqref="G302">
    <cfRule type="cellIs" dxfId="1" priority="638" operator="equal">
      <formula>0</formula>
    </cfRule>
  </conditionalFormatting>
  <conditionalFormatting sqref="G303">
    <cfRule type="cellIs" dxfId="1" priority="646" operator="equal">
      <formula>0</formula>
    </cfRule>
  </conditionalFormatting>
  <conditionalFormatting sqref="G304">
    <cfRule type="cellIs" dxfId="1" priority="651" operator="equal">
      <formula>0</formula>
    </cfRule>
  </conditionalFormatting>
  <conditionalFormatting sqref="G305">
    <cfRule type="cellIs" dxfId="1" priority="657" operator="equal">
      <formula>0</formula>
    </cfRule>
  </conditionalFormatting>
  <conditionalFormatting sqref="G306">
    <cfRule type="cellIs" dxfId="1" priority="662" operator="equal">
      <formula>0</formula>
    </cfRule>
  </conditionalFormatting>
  <conditionalFormatting sqref="G307">
    <cfRule type="cellIs" dxfId="1" priority="667" operator="equal">
      <formula>0</formula>
    </cfRule>
  </conditionalFormatting>
  <conditionalFormatting sqref="G309">
    <cfRule type="cellIs" dxfId="1" priority="676" operator="equal">
      <formula>0</formula>
    </cfRule>
  </conditionalFormatting>
  <conditionalFormatting sqref="G31">
    <cfRule type="cellIs" dxfId="1" priority="17" operator="equal">
      <formula>0</formula>
    </cfRule>
  </conditionalFormatting>
  <conditionalFormatting sqref="G311">
    <cfRule type="cellIs" dxfId="1" priority="685" operator="equal">
      <formula>0</formula>
    </cfRule>
  </conditionalFormatting>
  <conditionalFormatting sqref="G312">
    <cfRule type="cellIs" dxfId="1" priority="691" operator="equal">
      <formula>0</formula>
    </cfRule>
  </conditionalFormatting>
  <conditionalFormatting sqref="G314">
    <cfRule type="cellIs" dxfId="1" priority="700" operator="equal">
      <formula>0</formula>
    </cfRule>
  </conditionalFormatting>
  <conditionalFormatting sqref="G315">
    <cfRule type="cellIs" dxfId="1" priority="705" operator="equal">
      <formula>0</formula>
    </cfRule>
  </conditionalFormatting>
  <conditionalFormatting sqref="G317">
    <cfRule type="cellIs" dxfId="1" priority="714" operator="equal">
      <formula>0</formula>
    </cfRule>
  </conditionalFormatting>
  <conditionalFormatting sqref="G319">
    <cfRule type="cellIs" dxfId="1" priority="724" operator="equal">
      <formula>0</formula>
    </cfRule>
  </conditionalFormatting>
  <conditionalFormatting sqref="G32">
    <cfRule type="cellIs" dxfId="1" priority="23" operator="equal">
      <formula>0</formula>
    </cfRule>
  </conditionalFormatting>
  <conditionalFormatting sqref="G320">
    <cfRule type="cellIs" dxfId="1" priority="729" operator="equal">
      <formula>0</formula>
    </cfRule>
  </conditionalFormatting>
  <conditionalFormatting sqref="G321">
    <cfRule type="cellIs" dxfId="1" priority="734" operator="equal">
      <formula>0</formula>
    </cfRule>
  </conditionalFormatting>
  <conditionalFormatting sqref="G322">
    <cfRule type="cellIs" dxfId="1" priority="739" operator="equal">
      <formula>0</formula>
    </cfRule>
  </conditionalFormatting>
  <conditionalFormatting sqref="G324">
    <cfRule type="cellIs" dxfId="1" priority="748" operator="equal">
      <formula>0</formula>
    </cfRule>
  </conditionalFormatting>
  <conditionalFormatting sqref="G327">
    <cfRule type="cellIs" dxfId="1" priority="759" operator="equal">
      <formula>0</formula>
    </cfRule>
  </conditionalFormatting>
  <conditionalFormatting sqref="G329">
    <cfRule type="expression" dxfId="0" priority="766">
      <formula>G330=0</formula>
    </cfRule>
  </conditionalFormatting>
  <conditionalFormatting sqref="G330">
    <cfRule type="cellIs" dxfId="1" priority="771" operator="equal">
      <formula>0</formula>
    </cfRule>
  </conditionalFormatting>
  <conditionalFormatting sqref="G336">
    <cfRule type="cellIs" dxfId="1" priority="781" operator="equal">
      <formula>0</formula>
    </cfRule>
  </conditionalFormatting>
  <conditionalFormatting sqref="G339">
    <cfRule type="cellIs" dxfId="1" priority="787" operator="equal">
      <formula>0</formula>
    </cfRule>
  </conditionalFormatting>
  <conditionalFormatting sqref="G341">
    <cfRule type="cellIs" dxfId="1" priority="790" operator="equal">
      <formula>0</formula>
    </cfRule>
  </conditionalFormatting>
  <conditionalFormatting sqref="G343">
    <cfRule type="cellIs" dxfId="1" priority="795" operator="equal">
      <formula>0</formula>
    </cfRule>
  </conditionalFormatting>
  <conditionalFormatting sqref="G348">
    <cfRule type="cellIs" dxfId="1" priority="805" operator="equal">
      <formula>0</formula>
    </cfRule>
  </conditionalFormatting>
  <conditionalFormatting sqref="G349">
    <cfRule type="cellIs" dxfId="1" priority="807" operator="equal">
      <formula>0</formula>
    </cfRule>
  </conditionalFormatting>
  <conditionalFormatting sqref="G350">
    <cfRule type="cellIs" dxfId="1" priority="809" operator="equal">
      <formula>0</formula>
    </cfRule>
  </conditionalFormatting>
  <conditionalFormatting sqref="G351">
    <cfRule type="cellIs" dxfId="1" priority="811" operator="equal">
      <formula>0</formula>
    </cfRule>
  </conditionalFormatting>
  <conditionalFormatting sqref="G354">
    <cfRule type="cellIs" dxfId="1" priority="816" operator="equal">
      <formula>0</formula>
    </cfRule>
  </conditionalFormatting>
  <conditionalFormatting sqref="G357">
    <cfRule type="expression" dxfId="0" priority="823">
      <formula>G358=0</formula>
    </cfRule>
  </conditionalFormatting>
  <conditionalFormatting sqref="G358">
    <cfRule type="cellIs" dxfId="1" priority="831" operator="equal">
      <formula>0</formula>
    </cfRule>
  </conditionalFormatting>
  <conditionalFormatting sqref="G36">
    <cfRule type="cellIs" dxfId="1" priority="40" operator="equal">
      <formula>0</formula>
    </cfRule>
  </conditionalFormatting>
  <conditionalFormatting sqref="G363">
    <cfRule type="cellIs" dxfId="1" priority="841" operator="equal">
      <formula>0</formula>
    </cfRule>
  </conditionalFormatting>
  <conditionalFormatting sqref="G365">
    <cfRule type="cellIs" dxfId="1" priority="845" operator="equal">
      <formula>0</formula>
    </cfRule>
  </conditionalFormatting>
  <conditionalFormatting sqref="G369">
    <cfRule type="cellIs" dxfId="1" priority="854" operator="equal">
      <formula>0</formula>
    </cfRule>
  </conditionalFormatting>
  <conditionalFormatting sqref="G37">
    <cfRule type="cellIs" dxfId="1" priority="45" operator="equal">
      <formula>0</formula>
    </cfRule>
  </conditionalFormatting>
  <conditionalFormatting sqref="G375">
    <cfRule type="cellIs" dxfId="1" priority="865" operator="equal">
      <formula>0</formula>
    </cfRule>
  </conditionalFormatting>
  <conditionalFormatting sqref="G377">
    <cfRule type="cellIs" dxfId="1" priority="869" operator="equal">
      <formula>0</formula>
    </cfRule>
  </conditionalFormatting>
  <conditionalFormatting sqref="G38">
    <cfRule type="cellIs" dxfId="1" priority="50" operator="equal">
      <formula>0</formula>
    </cfRule>
  </conditionalFormatting>
  <conditionalFormatting sqref="G385">
    <cfRule type="expression" dxfId="0" priority="887">
      <formula>G386=0</formula>
    </cfRule>
  </conditionalFormatting>
  <conditionalFormatting sqref="G386">
    <cfRule type="cellIs" dxfId="1" priority="892" operator="equal">
      <formula>0</formula>
    </cfRule>
  </conditionalFormatting>
  <conditionalFormatting sqref="G392">
    <cfRule type="cellIs" dxfId="1" priority="901" operator="equal">
      <formula>0</formula>
    </cfRule>
  </conditionalFormatting>
  <conditionalFormatting sqref="G395">
    <cfRule type="cellIs" dxfId="1" priority="905" operator="equal">
      <formula>0</formula>
    </cfRule>
  </conditionalFormatting>
  <conditionalFormatting sqref="G397">
    <cfRule type="cellIs" dxfId="1" priority="908" operator="equal">
      <formula>0</formula>
    </cfRule>
  </conditionalFormatting>
  <conditionalFormatting sqref="G405">
    <cfRule type="cellIs" dxfId="1" priority="919" operator="equal">
      <formula>0</formula>
    </cfRule>
  </conditionalFormatting>
  <conditionalFormatting sqref="G407">
    <cfRule type="cellIs" dxfId="1" priority="923" operator="equal">
      <formula>0</formula>
    </cfRule>
  </conditionalFormatting>
  <conditionalFormatting sqref="G410">
    <cfRule type="cellIs" dxfId="1" priority="928" operator="equal">
      <formula>0</formula>
    </cfRule>
  </conditionalFormatting>
  <conditionalFormatting sqref="G419">
    <cfRule type="expression" dxfId="0" priority="934">
      <formula>G420=0</formula>
    </cfRule>
  </conditionalFormatting>
  <conditionalFormatting sqref="G420">
    <cfRule type="cellIs" dxfId="1" priority="942" operator="equal">
      <formula>0</formula>
    </cfRule>
  </conditionalFormatting>
  <conditionalFormatting sqref="G421">
    <cfRule type="cellIs" dxfId="1" priority="950" operator="equal">
      <formula>0</formula>
    </cfRule>
  </conditionalFormatting>
  <conditionalFormatting sqref="G422">
    <cfRule type="cellIs" dxfId="1" priority="953" operator="equal">
      <formula>0</formula>
    </cfRule>
  </conditionalFormatting>
  <conditionalFormatting sqref="G423">
    <cfRule type="cellIs" dxfId="1" priority="959" operator="equal">
      <formula>0</formula>
    </cfRule>
  </conditionalFormatting>
  <conditionalFormatting sqref="G440">
    <cfRule type="expression" dxfId="0" priority="1003">
      <formula>G441=0</formula>
    </cfRule>
  </conditionalFormatting>
  <conditionalFormatting sqref="G441">
    <cfRule type="cellIs" dxfId="1" priority="1008" operator="equal">
      <formula>0</formula>
    </cfRule>
  </conditionalFormatting>
  <conditionalFormatting sqref="G444">
    <cfRule type="cellIs" dxfId="1" priority="1013" operator="equal">
      <formula>0</formula>
    </cfRule>
  </conditionalFormatting>
  <conditionalFormatting sqref="G453">
    <cfRule type="expression" dxfId="0" priority="1019">
      <formula>G454=0</formula>
    </cfRule>
  </conditionalFormatting>
  <conditionalFormatting sqref="G454">
    <cfRule type="cellIs" dxfId="1" priority="1025" operator="equal">
      <formula>0</formula>
    </cfRule>
  </conditionalFormatting>
  <conditionalFormatting sqref="G455">
    <cfRule type="cellIs" dxfId="1" priority="1031" operator="equal">
      <formula>0</formula>
    </cfRule>
  </conditionalFormatting>
  <conditionalFormatting sqref="G456">
    <cfRule type="cellIs" dxfId="1" priority="1037" operator="equal">
      <formula>0</formula>
    </cfRule>
  </conditionalFormatting>
  <conditionalFormatting sqref="G457">
    <cfRule type="cellIs" dxfId="1" priority="1042" operator="equal">
      <formula>0</formula>
    </cfRule>
  </conditionalFormatting>
  <conditionalFormatting sqref="G458">
    <cfRule type="cellIs" dxfId="1" priority="1047" operator="equal">
      <formula>0</formula>
    </cfRule>
  </conditionalFormatting>
  <conditionalFormatting sqref="G487">
    <cfRule type="expression" dxfId="0" priority="1088">
      <formula>G488=0</formula>
    </cfRule>
  </conditionalFormatting>
  <conditionalFormatting sqref="G488">
    <cfRule type="cellIs" dxfId="1" priority="1096" operator="equal">
      <formula>0</formula>
    </cfRule>
  </conditionalFormatting>
  <conditionalFormatting sqref="G489">
    <cfRule type="cellIs" dxfId="1" priority="1104" operator="equal">
      <formula>0</formula>
    </cfRule>
  </conditionalFormatting>
  <conditionalFormatting sqref="G491">
    <cfRule type="cellIs" dxfId="1" priority="1115" operator="equal">
      <formula>0</formula>
    </cfRule>
  </conditionalFormatting>
  <conditionalFormatting sqref="G492">
    <cfRule type="cellIs" dxfId="1" priority="1119" operator="equal">
      <formula>0</formula>
    </cfRule>
  </conditionalFormatting>
  <conditionalFormatting sqref="G494">
    <cfRule type="expression" dxfId="0" priority="1125">
      <formula>G495=0</formula>
    </cfRule>
  </conditionalFormatting>
  <conditionalFormatting sqref="G495">
    <cfRule type="cellIs" dxfId="1" priority="1130" operator="equal">
      <formula>0</formula>
    </cfRule>
  </conditionalFormatting>
  <conditionalFormatting sqref="G499">
    <cfRule type="cellIs" dxfId="1" priority="1139" operator="equal">
      <formula>0</formula>
    </cfRule>
  </conditionalFormatting>
  <conditionalFormatting sqref="G501">
    <cfRule type="expression" dxfId="0" priority="1144">
      <formula>G502=0</formula>
    </cfRule>
  </conditionalFormatting>
  <conditionalFormatting sqref="G502">
    <cfRule type="cellIs" dxfId="1" priority="1150" operator="equal">
      <formula>0</formula>
    </cfRule>
  </conditionalFormatting>
  <conditionalFormatting sqref="G504">
    <cfRule type="cellIs" dxfId="1" priority="1156" operator="equal">
      <formula>0</formula>
    </cfRule>
  </conditionalFormatting>
  <conditionalFormatting sqref="G505">
    <cfRule type="cellIs" dxfId="1" priority="1159" operator="equal">
      <formula>0</formula>
    </cfRule>
  </conditionalFormatting>
  <conditionalFormatting sqref="G51">
    <cfRule type="expression" dxfId="0" priority="79">
      <formula>G52=0</formula>
    </cfRule>
  </conditionalFormatting>
  <conditionalFormatting sqref="G52">
    <cfRule type="cellIs" dxfId="1" priority="84" operator="equal">
      <formula>0</formula>
    </cfRule>
  </conditionalFormatting>
  <conditionalFormatting sqref="G521">
    <cfRule type="expression" dxfId="0" priority="1180">
      <formula>G522=0</formula>
    </cfRule>
  </conditionalFormatting>
  <conditionalFormatting sqref="G522">
    <cfRule type="cellIs" dxfId="1" priority="1188" operator="equal">
      <formula>0</formula>
    </cfRule>
  </conditionalFormatting>
  <conditionalFormatting sqref="G523">
    <cfRule type="cellIs" dxfId="1" priority="1196" operator="equal">
      <formula>0</formula>
    </cfRule>
  </conditionalFormatting>
  <conditionalFormatting sqref="G524">
    <cfRule type="cellIs" dxfId="1" priority="1201" operator="equal">
      <formula>0</formula>
    </cfRule>
  </conditionalFormatting>
  <conditionalFormatting sqref="G525">
    <cfRule type="cellIs" dxfId="1" priority="1204" operator="equal">
      <formula>0</formula>
    </cfRule>
  </conditionalFormatting>
  <conditionalFormatting sqref="G526">
    <cfRule type="cellIs" dxfId="1" priority="1211" operator="equal">
      <formula>0</formula>
    </cfRule>
  </conditionalFormatting>
  <conditionalFormatting sqref="G527">
    <cfRule type="cellIs" dxfId="1" priority="1216" operator="equal">
      <formula>0</formula>
    </cfRule>
  </conditionalFormatting>
  <conditionalFormatting sqref="G530">
    <cfRule type="cellIs" dxfId="1" priority="1229" operator="equal">
      <formula>0</formula>
    </cfRule>
  </conditionalFormatting>
  <conditionalFormatting sqref="G531">
    <cfRule type="cellIs" dxfId="1" priority="1235" operator="equal">
      <formula>0</formula>
    </cfRule>
  </conditionalFormatting>
  <conditionalFormatting sqref="G532">
    <cfRule type="cellIs" dxfId="1" priority="1241" operator="equal">
      <formula>0</formula>
    </cfRule>
  </conditionalFormatting>
  <conditionalFormatting sqref="G534">
    <cfRule type="cellIs" dxfId="1" priority="1250" operator="equal">
      <formula>0</formula>
    </cfRule>
  </conditionalFormatting>
  <conditionalFormatting sqref="G535">
    <cfRule type="cellIs" dxfId="1" priority="1255" operator="equal">
      <formula>0</formula>
    </cfRule>
  </conditionalFormatting>
  <conditionalFormatting sqref="G536">
    <cfRule type="cellIs" dxfId="1" priority="1260" operator="equal">
      <formula>0</formula>
    </cfRule>
  </conditionalFormatting>
  <conditionalFormatting sqref="G538">
    <cfRule type="cellIs" dxfId="1" priority="1269" operator="equal">
      <formula>0</formula>
    </cfRule>
  </conditionalFormatting>
  <conditionalFormatting sqref="G539">
    <cfRule type="cellIs" dxfId="1" priority="1274" operator="equal">
      <formula>0</formula>
    </cfRule>
  </conditionalFormatting>
  <conditionalFormatting sqref="G541">
    <cfRule type="cellIs" dxfId="1" priority="1283" operator="equal">
      <formula>0</formula>
    </cfRule>
  </conditionalFormatting>
  <conditionalFormatting sqref="G542">
    <cfRule type="cellIs" dxfId="1" priority="1288" operator="equal">
      <formula>0</formula>
    </cfRule>
  </conditionalFormatting>
  <conditionalFormatting sqref="G543">
    <cfRule type="cellIs" dxfId="1" priority="1293" operator="equal">
      <formula>0</formula>
    </cfRule>
  </conditionalFormatting>
  <conditionalFormatting sqref="G545">
    <cfRule type="cellIs" dxfId="1" priority="1302" operator="equal">
      <formula>0</formula>
    </cfRule>
  </conditionalFormatting>
  <conditionalFormatting sqref="G548">
    <cfRule type="expression" dxfId="0" priority="1311">
      <formula>G549=0</formula>
    </cfRule>
  </conditionalFormatting>
  <conditionalFormatting sqref="G549">
    <cfRule type="cellIs" dxfId="1" priority="1316" operator="equal">
      <formula>0</formula>
    </cfRule>
  </conditionalFormatting>
  <conditionalFormatting sqref="G557">
    <cfRule type="cellIs" dxfId="1" priority="1331" operator="equal">
      <formula>0</formula>
    </cfRule>
  </conditionalFormatting>
  <conditionalFormatting sqref="G562">
    <cfRule type="cellIs" dxfId="1" priority="1341" operator="equal">
      <formula>0</formula>
    </cfRule>
  </conditionalFormatting>
  <conditionalFormatting sqref="G564">
    <cfRule type="cellIs" dxfId="1" priority="1345" operator="equal">
      <formula>0</formula>
    </cfRule>
  </conditionalFormatting>
  <conditionalFormatting sqref="G566">
    <cfRule type="cellIs" dxfId="1" priority="1349" operator="equal">
      <formula>0</formula>
    </cfRule>
  </conditionalFormatting>
  <conditionalFormatting sqref="G567">
    <cfRule type="cellIs" dxfId="1" priority="1351" operator="equal">
      <formula>0</formula>
    </cfRule>
  </conditionalFormatting>
  <conditionalFormatting sqref="G569">
    <cfRule type="cellIs" dxfId="1" priority="1355" operator="equal">
      <formula>0</formula>
    </cfRule>
  </conditionalFormatting>
  <conditionalFormatting sqref="G571">
    <cfRule type="cellIs" dxfId="1" priority="1359" operator="equal">
      <formula>0</formula>
    </cfRule>
  </conditionalFormatting>
  <conditionalFormatting sqref="G575">
    <cfRule type="expression" dxfId="0" priority="1367">
      <formula>G576=0</formula>
    </cfRule>
  </conditionalFormatting>
  <conditionalFormatting sqref="G576">
    <cfRule type="cellIs" dxfId="1" priority="1375" operator="equal">
      <formula>0</formula>
    </cfRule>
  </conditionalFormatting>
  <conditionalFormatting sqref="G58">
    <cfRule type="cellIs" dxfId="1" priority="93" operator="equal">
      <formula>0</formula>
    </cfRule>
  </conditionalFormatting>
  <conditionalFormatting sqref="G580">
    <cfRule type="cellIs" dxfId="1" priority="1384" operator="equal">
      <formula>0</formula>
    </cfRule>
  </conditionalFormatting>
  <conditionalFormatting sqref="G582">
    <cfRule type="cellIs" dxfId="1" priority="1388" operator="equal">
      <formula>0</formula>
    </cfRule>
  </conditionalFormatting>
  <conditionalFormatting sqref="G583">
    <cfRule type="cellIs" dxfId="1" priority="1389" operator="equal">
      <formula>0</formula>
    </cfRule>
  </conditionalFormatting>
  <conditionalFormatting sqref="G584">
    <cfRule type="cellIs" dxfId="1" priority="1392" operator="equal">
      <formula>0</formula>
    </cfRule>
  </conditionalFormatting>
  <conditionalFormatting sqref="G585">
    <cfRule type="cellIs" dxfId="1" priority="1395" operator="equal">
      <formula>0</formula>
    </cfRule>
  </conditionalFormatting>
  <conditionalFormatting sqref="G586">
    <cfRule type="cellIs" dxfId="1" priority="1397" operator="equal">
      <formula>0</formula>
    </cfRule>
  </conditionalFormatting>
  <conditionalFormatting sqref="G588">
    <cfRule type="cellIs" dxfId="1" priority="1401" operator="equal">
      <formula>0</formula>
    </cfRule>
  </conditionalFormatting>
  <conditionalFormatting sqref="G589">
    <cfRule type="cellIs" dxfId="1" priority="1403" operator="equal">
      <formula>0</formula>
    </cfRule>
  </conditionalFormatting>
  <conditionalFormatting sqref="G591">
    <cfRule type="cellIs" dxfId="1" priority="1405" operator="equal">
      <formula>0</formula>
    </cfRule>
  </conditionalFormatting>
  <conditionalFormatting sqref="G592">
    <cfRule type="cellIs" dxfId="1" priority="1408" operator="equal">
      <formula>0</formula>
    </cfRule>
  </conditionalFormatting>
  <conditionalFormatting sqref="G593">
    <cfRule type="cellIs" dxfId="1" priority="1409" operator="equal">
      <formula>0</formula>
    </cfRule>
  </conditionalFormatting>
  <conditionalFormatting sqref="G594">
    <cfRule type="cellIs" dxfId="1" priority="1412" operator="equal">
      <formula>0</formula>
    </cfRule>
  </conditionalFormatting>
  <conditionalFormatting sqref="G597">
    <cfRule type="cellIs" dxfId="1" priority="1417" operator="equal">
      <formula>0</formula>
    </cfRule>
  </conditionalFormatting>
  <conditionalFormatting sqref="G598">
    <cfRule type="cellIs" dxfId="1" priority="1418" operator="equal">
      <formula>0</formula>
    </cfRule>
  </conditionalFormatting>
  <conditionalFormatting sqref="G600">
    <cfRule type="cellIs" dxfId="1" priority="1422" operator="equal">
      <formula>0</formula>
    </cfRule>
  </conditionalFormatting>
  <conditionalFormatting sqref="G602">
    <cfRule type="expression" dxfId="0" priority="1429">
      <formula>G603=0</formula>
    </cfRule>
  </conditionalFormatting>
  <conditionalFormatting sqref="G603">
    <cfRule type="cellIs" dxfId="1" priority="1434" operator="equal">
      <formula>0</formula>
    </cfRule>
  </conditionalFormatting>
  <conditionalFormatting sqref="G608">
    <cfRule type="cellIs" dxfId="1" priority="1441" operator="equal">
      <formula>0</formula>
    </cfRule>
  </conditionalFormatting>
  <conditionalFormatting sqref="G611">
    <cfRule type="cellIs" dxfId="1" priority="1445" operator="equal">
      <formula>0</formula>
    </cfRule>
  </conditionalFormatting>
  <conditionalFormatting sqref="G613">
    <cfRule type="cellIs" dxfId="1" priority="1448" operator="equal">
      <formula>0</formula>
    </cfRule>
  </conditionalFormatting>
  <conditionalFormatting sqref="G621">
    <cfRule type="cellIs" dxfId="1" priority="1459" operator="equal">
      <formula>0</formula>
    </cfRule>
  </conditionalFormatting>
  <conditionalFormatting sqref="G626">
    <cfRule type="cellIs" dxfId="1" priority="1467" operator="equal">
      <formula>0</formula>
    </cfRule>
  </conditionalFormatting>
  <conditionalFormatting sqref="G635">
    <cfRule type="expression" dxfId="0" priority="1473">
      <formula>G636=0</formula>
    </cfRule>
  </conditionalFormatting>
  <conditionalFormatting sqref="G636">
    <cfRule type="cellIs" dxfId="1" priority="1481" operator="equal">
      <formula>0</formula>
    </cfRule>
  </conditionalFormatting>
  <conditionalFormatting sqref="G637">
    <cfRule type="cellIs" dxfId="1" priority="1489" operator="equal">
      <formula>0</formula>
    </cfRule>
  </conditionalFormatting>
  <conditionalFormatting sqref="G638">
    <cfRule type="cellIs" dxfId="1" priority="1494" operator="equal">
      <formula>0</formula>
    </cfRule>
  </conditionalFormatting>
  <conditionalFormatting sqref="G639">
    <cfRule type="cellIs" dxfId="1" priority="1499" operator="equal">
      <formula>0</formula>
    </cfRule>
  </conditionalFormatting>
  <conditionalFormatting sqref="G640">
    <cfRule type="cellIs" dxfId="1" priority="1505" operator="equal">
      <formula>0</formula>
    </cfRule>
  </conditionalFormatting>
  <conditionalFormatting sqref="G641">
    <cfRule type="cellIs" dxfId="1" priority="1510" operator="equal">
      <formula>0</formula>
    </cfRule>
  </conditionalFormatting>
  <conditionalFormatting sqref="G642">
    <cfRule type="cellIs" dxfId="1" priority="1515" operator="equal">
      <formula>0</formula>
    </cfRule>
  </conditionalFormatting>
  <conditionalFormatting sqref="G644">
    <cfRule type="cellIs" dxfId="1" priority="1524" operator="equal">
      <formula>0</formula>
    </cfRule>
  </conditionalFormatting>
  <conditionalFormatting sqref="G646">
    <cfRule type="expression" dxfId="0" priority="1530">
      <formula>G647=0</formula>
    </cfRule>
  </conditionalFormatting>
  <conditionalFormatting sqref="G647">
    <cfRule type="cellIs" dxfId="1" priority="1535" operator="equal">
      <formula>0</formula>
    </cfRule>
  </conditionalFormatting>
  <conditionalFormatting sqref="G655">
    <cfRule type="cellIs" dxfId="1" priority="1552" operator="equal">
      <formula>0</formula>
    </cfRule>
  </conditionalFormatting>
  <conditionalFormatting sqref="G657">
    <cfRule type="expression" dxfId="0" priority="1557">
      <formula>G658=0</formula>
    </cfRule>
  </conditionalFormatting>
  <conditionalFormatting sqref="G658">
    <cfRule type="cellIs" dxfId="1" priority="1564" operator="equal">
      <formula>0</formula>
    </cfRule>
  </conditionalFormatting>
  <conditionalFormatting sqref="G661">
    <cfRule type="cellIs" dxfId="1" priority="1571" operator="equal">
      <formula>0</formula>
    </cfRule>
  </conditionalFormatting>
  <conditionalFormatting sqref="G663">
    <cfRule type="cellIs" dxfId="1" priority="1575" operator="equal">
      <formula>0</formula>
    </cfRule>
  </conditionalFormatting>
  <conditionalFormatting sqref="G666">
    <cfRule type="cellIs" dxfId="1" priority="1580" operator="equal">
      <formula>0</formula>
    </cfRule>
  </conditionalFormatting>
  <conditionalFormatting sqref="G685">
    <cfRule type="expression" dxfId="0" priority="1603">
      <formula>G686=0</formula>
    </cfRule>
  </conditionalFormatting>
  <conditionalFormatting sqref="G686">
    <cfRule type="cellIs" dxfId="1" priority="1608" operator="equal">
      <formula>0</formula>
    </cfRule>
  </conditionalFormatting>
  <conditionalFormatting sqref="G687">
    <cfRule type="cellIs" dxfId="1" priority="1613" operator="equal">
      <formula>0</formula>
    </cfRule>
  </conditionalFormatting>
  <conditionalFormatting sqref="G707">
    <cfRule type="expression" dxfId="0" priority="1636">
      <formula>G708=0</formula>
    </cfRule>
  </conditionalFormatting>
  <conditionalFormatting sqref="G708">
    <cfRule type="cellIs" dxfId="1" priority="1644" operator="equal">
      <formula>0</formula>
    </cfRule>
  </conditionalFormatting>
  <conditionalFormatting sqref="G709">
    <cfRule type="cellIs" dxfId="1" priority="1650" operator="equal">
      <formula>0</formula>
    </cfRule>
  </conditionalFormatting>
  <conditionalFormatting sqref="G710">
    <cfRule type="cellIs" dxfId="1" priority="1657" operator="equal">
      <formula>0</formula>
    </cfRule>
  </conditionalFormatting>
  <conditionalFormatting sqref="G711">
    <cfRule type="cellIs" dxfId="1" priority="1662" operator="equal">
      <formula>0</formula>
    </cfRule>
  </conditionalFormatting>
  <conditionalFormatting sqref="G712">
    <cfRule type="cellIs" dxfId="1" priority="1668" operator="equal">
      <formula>0</formula>
    </cfRule>
  </conditionalFormatting>
  <conditionalFormatting sqref="G713">
    <cfRule type="cellIs" dxfId="1" priority="1674" operator="equal">
      <formula>0</formula>
    </cfRule>
  </conditionalFormatting>
  <conditionalFormatting sqref="G714">
    <cfRule type="cellIs" dxfId="1" priority="1679" operator="equal">
      <formula>0</formula>
    </cfRule>
  </conditionalFormatting>
  <conditionalFormatting sqref="G715">
    <cfRule type="cellIs" dxfId="1" priority="1685" operator="equal">
      <formula>0</formula>
    </cfRule>
  </conditionalFormatting>
  <conditionalFormatting sqref="G716">
    <cfRule type="cellIs" dxfId="1" priority="1690" operator="equal">
      <formula>0</formula>
    </cfRule>
  </conditionalFormatting>
  <conditionalFormatting sqref="G718">
    <cfRule type="cellIs" dxfId="1" priority="1699" operator="equal">
      <formula>0</formula>
    </cfRule>
  </conditionalFormatting>
  <conditionalFormatting sqref="G721">
    <cfRule type="cellIs" dxfId="1" priority="1712" operator="equal">
      <formula>0</formula>
    </cfRule>
  </conditionalFormatting>
  <conditionalFormatting sqref="G724">
    <cfRule type="expression" dxfId="0" priority="1721">
      <formula>G725=0</formula>
    </cfRule>
  </conditionalFormatting>
  <conditionalFormatting sqref="G725">
    <cfRule type="cellIs" dxfId="1" priority="1726" operator="equal">
      <formula>0</formula>
    </cfRule>
  </conditionalFormatting>
  <conditionalFormatting sqref="G729">
    <cfRule type="cellIs" dxfId="1" priority="1732" operator="equal">
      <formula>0</formula>
    </cfRule>
  </conditionalFormatting>
  <conditionalFormatting sqref="G730">
    <cfRule type="cellIs" dxfId="1" priority="1734" operator="equal">
      <formula>0</formula>
    </cfRule>
  </conditionalFormatting>
  <conditionalFormatting sqref="G732">
    <cfRule type="cellIs" dxfId="1" priority="1739" operator="equal">
      <formula>0</formula>
    </cfRule>
  </conditionalFormatting>
  <conditionalFormatting sqref="G735">
    <cfRule type="cellIs" dxfId="1" priority="1745" operator="equal">
      <formula>0</formula>
    </cfRule>
  </conditionalFormatting>
  <conditionalFormatting sqref="G737">
    <cfRule type="cellIs" dxfId="1" priority="1749" operator="equal">
      <formula>0</formula>
    </cfRule>
  </conditionalFormatting>
  <conditionalFormatting sqref="G738">
    <cfRule type="cellIs" dxfId="1" priority="1751" operator="equal">
      <formula>0</formula>
    </cfRule>
  </conditionalFormatting>
  <conditionalFormatting sqref="G741">
    <cfRule type="expression" dxfId="0" priority="1758">
      <formula>G742=0</formula>
    </cfRule>
  </conditionalFormatting>
  <conditionalFormatting sqref="G742">
    <cfRule type="cellIs" dxfId="1" priority="1766" operator="equal">
      <formula>0</formula>
    </cfRule>
  </conditionalFormatting>
  <conditionalFormatting sqref="G746">
    <cfRule type="cellIs" dxfId="1" priority="1775" operator="equal">
      <formula>0</formula>
    </cfRule>
  </conditionalFormatting>
  <conditionalFormatting sqref="G747">
    <cfRule type="cellIs" dxfId="1" priority="1777" operator="equal">
      <formula>0</formula>
    </cfRule>
  </conditionalFormatting>
  <conditionalFormatting sqref="G749">
    <cfRule type="cellIs" dxfId="1" priority="1782" operator="equal">
      <formula>0</formula>
    </cfRule>
  </conditionalFormatting>
  <conditionalFormatting sqref="G754">
    <cfRule type="cellIs" dxfId="1" priority="1788" operator="equal">
      <formula>0</formula>
    </cfRule>
  </conditionalFormatting>
  <conditionalFormatting sqref="G758">
    <cfRule type="expression" dxfId="0" priority="1797">
      <formula>G759=0</formula>
    </cfRule>
  </conditionalFormatting>
  <conditionalFormatting sqref="G759">
    <cfRule type="cellIs" dxfId="1" priority="1802" operator="equal">
      <formula>0</formula>
    </cfRule>
  </conditionalFormatting>
  <conditionalFormatting sqref="G763">
    <cfRule type="cellIs" dxfId="1" priority="1809" operator="equal">
      <formula>0</formula>
    </cfRule>
  </conditionalFormatting>
  <conditionalFormatting sqref="G772">
    <cfRule type="cellIs" dxfId="1" priority="1822" operator="equal">
      <formula>0</formula>
    </cfRule>
  </conditionalFormatting>
  <conditionalFormatting sqref="G781">
    <cfRule type="expression" dxfId="0" priority="1829">
      <formula>G782=0</formula>
    </cfRule>
  </conditionalFormatting>
  <conditionalFormatting sqref="G782">
    <cfRule type="cellIs" dxfId="1" priority="1835" operator="equal">
      <formula>0</formula>
    </cfRule>
  </conditionalFormatting>
  <conditionalFormatting sqref="G783">
    <cfRule type="cellIs" dxfId="1" priority="1841" operator="equal">
      <formula>0</formula>
    </cfRule>
  </conditionalFormatting>
  <conditionalFormatting sqref="G785">
    <cfRule type="cellIs" dxfId="1" priority="1850" operator="equal">
      <formula>0</formula>
    </cfRule>
  </conditionalFormatting>
  <conditionalFormatting sqref="G786">
    <cfRule type="cellIs" dxfId="1" priority="1855" operator="equal">
      <formula>0</formula>
    </cfRule>
  </conditionalFormatting>
  <conditionalFormatting sqref="G788">
    <cfRule type="cellIs" dxfId="1" priority="1864" operator="equal">
      <formula>0</formula>
    </cfRule>
  </conditionalFormatting>
  <conditionalFormatting sqref="G789">
    <cfRule type="cellIs" dxfId="1" priority="1869" operator="equal">
      <formula>0</formula>
    </cfRule>
  </conditionalFormatting>
  <conditionalFormatting sqref="G79">
    <cfRule type="expression" dxfId="0" priority="122">
      <formula>G80=0</formula>
    </cfRule>
  </conditionalFormatting>
  <conditionalFormatting sqref="G80">
    <cfRule type="cellIs" dxfId="1" priority="128" operator="equal">
      <formula>0</formula>
    </cfRule>
  </conditionalFormatting>
  <conditionalFormatting sqref="G81">
    <cfRule type="cellIs" dxfId="1" priority="134" operator="equal">
      <formula>0</formula>
    </cfRule>
  </conditionalFormatting>
  <conditionalFormatting sqref="G82">
    <cfRule type="cellIs" dxfId="1" priority="140" operator="equal">
      <formula>0</formula>
    </cfRule>
  </conditionalFormatting>
  <conditionalFormatting sqref="G831">
    <cfRule type="expression" dxfId="0" priority="1940">
      <formula>G832=0</formula>
    </cfRule>
  </conditionalFormatting>
  <conditionalFormatting sqref="G832">
    <cfRule type="cellIs" dxfId="1" priority="1946" operator="equal">
      <formula>0</formula>
    </cfRule>
  </conditionalFormatting>
  <conditionalFormatting sqref="G833">
    <cfRule type="cellIs" dxfId="1" priority="1952" operator="equal">
      <formula>0</formula>
    </cfRule>
  </conditionalFormatting>
  <conditionalFormatting sqref="G834">
    <cfRule type="cellIs" dxfId="1" priority="1957" operator="equal">
      <formula>0</formula>
    </cfRule>
  </conditionalFormatting>
  <conditionalFormatting sqref="G835">
    <cfRule type="cellIs" dxfId="1" priority="1962" operator="equal">
      <formula>0</formula>
    </cfRule>
  </conditionalFormatting>
  <conditionalFormatting sqref="G836">
    <cfRule type="cellIs" dxfId="1" priority="1967" operator="equal">
      <formula>0</formula>
    </cfRule>
  </conditionalFormatting>
  <conditionalFormatting sqref="G837">
    <cfRule type="cellIs" dxfId="1" priority="1972" operator="equal">
      <formula>0</formula>
    </cfRule>
  </conditionalFormatting>
  <conditionalFormatting sqref="G838">
    <cfRule type="cellIs" dxfId="1" priority="1977" operator="equal">
      <formula>0</formula>
    </cfRule>
  </conditionalFormatting>
  <conditionalFormatting sqref="G839">
    <cfRule type="cellIs" dxfId="1" priority="1982" operator="equal">
      <formula>0</formula>
    </cfRule>
  </conditionalFormatting>
  <conditionalFormatting sqref="G840">
    <cfRule type="cellIs" dxfId="1" priority="1987" operator="equal">
      <formula>0</formula>
    </cfRule>
  </conditionalFormatting>
  <conditionalFormatting sqref="G841">
    <cfRule type="cellIs" dxfId="1" priority="1992" operator="equal">
      <formula>0</formula>
    </cfRule>
  </conditionalFormatting>
  <conditionalFormatting sqref="G842">
    <cfRule type="cellIs" dxfId="1" priority="1998" operator="equal">
      <formula>0</formula>
    </cfRule>
  </conditionalFormatting>
  <conditionalFormatting sqref="G843">
    <cfRule type="cellIs" dxfId="1" priority="2003" operator="equal">
      <formula>0</formula>
    </cfRule>
  </conditionalFormatting>
  <conditionalFormatting sqref="G859">
    <cfRule type="expression" dxfId="0" priority="2040">
      <formula>G860=0</formula>
    </cfRule>
  </conditionalFormatting>
  <conditionalFormatting sqref="G860">
    <cfRule type="cellIs" dxfId="1" priority="2047" operator="equal">
      <formula>0</formula>
    </cfRule>
  </conditionalFormatting>
  <conditionalFormatting sqref="G866">
    <cfRule type="cellIs" dxfId="1" priority="2060" operator="equal">
      <formula>0</formula>
    </cfRule>
  </conditionalFormatting>
  <conditionalFormatting sqref="G870">
    <cfRule type="cellIs" dxfId="1" priority="2068" operator="equal">
      <formula>0</formula>
    </cfRule>
  </conditionalFormatting>
  <conditionalFormatting sqref="H105">
    <cfRule type="expression" dxfId="0" priority="170">
      <formula>H106=0</formula>
    </cfRule>
  </conditionalFormatting>
  <conditionalFormatting sqref="H106">
    <cfRule type="cellIs" dxfId="1" priority="176" operator="equal">
      <formula>0</formula>
    </cfRule>
  </conditionalFormatting>
  <conditionalFormatting sqref="H109">
    <cfRule type="cellIs" dxfId="1" priority="189" operator="equal">
      <formula>0</formula>
    </cfRule>
  </conditionalFormatting>
  <conditionalFormatting sqref="H113">
    <cfRule type="cellIs" dxfId="1" priority="206" operator="equal">
      <formula>0</formula>
    </cfRule>
  </conditionalFormatting>
  <conditionalFormatting sqref="H114">
    <cfRule type="cellIs" dxfId="1" priority="212" operator="equal">
      <formula>0</formula>
    </cfRule>
  </conditionalFormatting>
  <conditionalFormatting sqref="H129">
    <cfRule type="expression" dxfId="0" priority="247">
      <formula>H130=0</formula>
    </cfRule>
  </conditionalFormatting>
  <conditionalFormatting sqref="H130">
    <cfRule type="cellIs" dxfId="1" priority="253" operator="equal">
      <formula>0</formula>
    </cfRule>
  </conditionalFormatting>
  <conditionalFormatting sqref="H138">
    <cfRule type="cellIs" dxfId="1" priority="269" operator="equal">
      <formula>0</formula>
    </cfRule>
  </conditionalFormatting>
  <conditionalFormatting sqref="H181">
    <cfRule type="expression" dxfId="0" priority="335">
      <formula>H182=0</formula>
    </cfRule>
  </conditionalFormatting>
  <conditionalFormatting sqref="H182">
    <cfRule type="cellIs" dxfId="1" priority="341" operator="equal">
      <formula>0</formula>
    </cfRule>
  </conditionalFormatting>
  <conditionalFormatting sqref="H184">
    <cfRule type="cellIs" dxfId="1" priority="350" operator="equal">
      <formula>0</formula>
    </cfRule>
  </conditionalFormatting>
  <conditionalFormatting sqref="H186">
    <cfRule type="cellIs" dxfId="1" priority="359" operator="equal">
      <formula>0</formula>
    </cfRule>
  </conditionalFormatting>
  <conditionalFormatting sqref="H219">
    <cfRule type="expression" dxfId="0" priority="416">
      <formula>H220=0</formula>
    </cfRule>
  </conditionalFormatting>
  <conditionalFormatting sqref="H220">
    <cfRule type="cellIs" dxfId="1" priority="424" operator="equal">
      <formula>0</formula>
    </cfRule>
  </conditionalFormatting>
  <conditionalFormatting sqref="H225">
    <cfRule type="cellIs" dxfId="1" priority="447" operator="equal">
      <formula>0</formula>
    </cfRule>
  </conditionalFormatting>
  <conditionalFormatting sqref="H227">
    <cfRule type="cellIs" dxfId="1" priority="456" operator="equal">
      <formula>0</formula>
    </cfRule>
  </conditionalFormatting>
  <conditionalFormatting sqref="H228">
    <cfRule type="cellIs" dxfId="1" priority="461" operator="equal">
      <formula>0</formula>
    </cfRule>
  </conditionalFormatting>
  <conditionalFormatting sqref="H229">
    <cfRule type="cellIs" dxfId="1" priority="466" operator="equal">
      <formula>0</formula>
    </cfRule>
  </conditionalFormatting>
  <conditionalFormatting sqref="H233">
    <cfRule type="cellIs" dxfId="1" priority="483" operator="equal">
      <formula>0</formula>
    </cfRule>
  </conditionalFormatting>
  <conditionalFormatting sqref="H234">
    <cfRule type="cellIs" dxfId="1" priority="489" operator="equal">
      <formula>0</formula>
    </cfRule>
  </conditionalFormatting>
  <conditionalFormatting sqref="H235">
    <cfRule type="cellIs" dxfId="1" priority="495" operator="equal">
      <formula>0</formula>
    </cfRule>
  </conditionalFormatting>
  <conditionalFormatting sqref="H236">
    <cfRule type="cellIs" dxfId="1" priority="498" operator="equal">
      <formula>0</formula>
    </cfRule>
  </conditionalFormatting>
  <conditionalFormatting sqref="H257">
    <cfRule type="expression" dxfId="0" priority="546">
      <formula>H258=0</formula>
    </cfRule>
  </conditionalFormatting>
  <conditionalFormatting sqref="H258">
    <cfRule type="cellIs" dxfId="1" priority="554" operator="equal">
      <formula>0</formula>
    </cfRule>
  </conditionalFormatting>
  <conditionalFormatting sqref="H262">
    <cfRule type="cellIs" dxfId="1" priority="564" operator="equal">
      <formula>0</formula>
    </cfRule>
  </conditionalFormatting>
  <conditionalFormatting sqref="H263">
    <cfRule type="cellIs" dxfId="1" priority="567" operator="equal">
      <formula>0</formula>
    </cfRule>
  </conditionalFormatting>
  <conditionalFormatting sqref="H264">
    <cfRule type="cellIs" dxfId="1" priority="570" operator="equal">
      <formula>0</formula>
    </cfRule>
  </conditionalFormatting>
  <conditionalFormatting sqref="H266">
    <cfRule type="cellIs" dxfId="1" priority="574" operator="equal">
      <formula>0</formula>
    </cfRule>
  </conditionalFormatting>
  <conditionalFormatting sqref="H267">
    <cfRule type="cellIs" dxfId="1" priority="575" operator="equal">
      <formula>0</formula>
    </cfRule>
  </conditionalFormatting>
  <conditionalFormatting sqref="H269">
    <cfRule type="cellIs" dxfId="1" priority="577" operator="equal">
      <formula>0</formula>
    </cfRule>
  </conditionalFormatting>
  <conditionalFormatting sqref="H270">
    <cfRule type="cellIs" dxfId="1" priority="581" operator="equal">
      <formula>0</formula>
    </cfRule>
  </conditionalFormatting>
  <conditionalFormatting sqref="H272">
    <cfRule type="cellIs" dxfId="1" priority="584" operator="equal">
      <formula>0</formula>
    </cfRule>
  </conditionalFormatting>
  <conditionalFormatting sqref="H273">
    <cfRule type="cellIs" dxfId="1" priority="585" operator="equal">
      <formula>0</formula>
    </cfRule>
  </conditionalFormatting>
  <conditionalFormatting sqref="H29">
    <cfRule type="expression" dxfId="0" priority="6">
      <formula>H30=0</formula>
    </cfRule>
  </conditionalFormatting>
  <conditionalFormatting sqref="H30">
    <cfRule type="cellIs" dxfId="1" priority="12" operator="equal">
      <formula>0</formula>
    </cfRule>
  </conditionalFormatting>
  <conditionalFormatting sqref="H301">
    <cfRule type="expression" dxfId="0" priority="631">
      <formula>H302=0</formula>
    </cfRule>
  </conditionalFormatting>
  <conditionalFormatting sqref="H302">
    <cfRule type="cellIs" dxfId="1" priority="639" operator="equal">
      <formula>0</formula>
    </cfRule>
  </conditionalFormatting>
  <conditionalFormatting sqref="H304">
    <cfRule type="cellIs" dxfId="1" priority="652" operator="equal">
      <formula>0</formula>
    </cfRule>
  </conditionalFormatting>
  <conditionalFormatting sqref="H308">
    <cfRule type="cellIs" dxfId="1" priority="671" operator="equal">
      <formula>0</formula>
    </cfRule>
  </conditionalFormatting>
  <conditionalFormatting sqref="H31">
    <cfRule type="cellIs" dxfId="1" priority="18" operator="equal">
      <formula>0</formula>
    </cfRule>
  </conditionalFormatting>
  <conditionalFormatting sqref="H310">
    <cfRule type="cellIs" dxfId="1" priority="680" operator="equal">
      <formula>0</formula>
    </cfRule>
  </conditionalFormatting>
  <conditionalFormatting sqref="H311">
    <cfRule type="cellIs" dxfId="1" priority="686" operator="equal">
      <formula>0</formula>
    </cfRule>
  </conditionalFormatting>
  <conditionalFormatting sqref="H313">
    <cfRule type="cellIs" dxfId="1" priority="695" operator="equal">
      <formula>0</formula>
    </cfRule>
  </conditionalFormatting>
  <conditionalFormatting sqref="H316">
    <cfRule type="cellIs" dxfId="1" priority="709" operator="equal">
      <formula>0</formula>
    </cfRule>
  </conditionalFormatting>
  <conditionalFormatting sqref="H317">
    <cfRule type="cellIs" dxfId="1" priority="715" operator="equal">
      <formula>0</formula>
    </cfRule>
  </conditionalFormatting>
  <conditionalFormatting sqref="H318">
    <cfRule type="cellIs" dxfId="1" priority="719" operator="equal">
      <formula>0</formula>
    </cfRule>
  </conditionalFormatting>
  <conditionalFormatting sqref="H323">
    <cfRule type="cellIs" dxfId="1" priority="743" operator="equal">
      <formula>0</formula>
    </cfRule>
  </conditionalFormatting>
  <conditionalFormatting sqref="H325">
    <cfRule type="cellIs" dxfId="1" priority="752" operator="equal">
      <formula>0</formula>
    </cfRule>
  </conditionalFormatting>
  <conditionalFormatting sqref="H326">
    <cfRule type="cellIs" dxfId="1" priority="756" operator="equal">
      <formula>0</formula>
    </cfRule>
  </conditionalFormatting>
  <conditionalFormatting sqref="H33">
    <cfRule type="cellIs" dxfId="1" priority="27" operator="equal">
      <formula>0</formula>
    </cfRule>
  </conditionalFormatting>
  <conditionalFormatting sqref="H34">
    <cfRule type="cellIs" dxfId="1" priority="31" operator="equal">
      <formula>0</formula>
    </cfRule>
  </conditionalFormatting>
  <conditionalFormatting sqref="H35">
    <cfRule type="cellIs" dxfId="1" priority="35" operator="equal">
      <formula>0</formula>
    </cfRule>
  </conditionalFormatting>
  <conditionalFormatting sqref="H357">
    <cfRule type="expression" dxfId="0" priority="824">
      <formula>H358=0</formula>
    </cfRule>
  </conditionalFormatting>
  <conditionalFormatting sqref="H358">
    <cfRule type="cellIs" dxfId="1" priority="832" operator="equal">
      <formula>0</formula>
    </cfRule>
  </conditionalFormatting>
  <conditionalFormatting sqref="H364">
    <cfRule type="cellIs" dxfId="1" priority="843" operator="equal">
      <formula>0</formula>
    </cfRule>
  </conditionalFormatting>
  <conditionalFormatting sqref="H367">
    <cfRule type="cellIs" dxfId="1" priority="850" operator="equal">
      <formula>0</formula>
    </cfRule>
  </conditionalFormatting>
  <conditionalFormatting sqref="H369">
    <cfRule type="cellIs" dxfId="1" priority="855" operator="equal">
      <formula>0</formula>
    </cfRule>
  </conditionalFormatting>
  <conditionalFormatting sqref="H371">
    <cfRule type="cellIs" dxfId="1" priority="859" operator="equal">
      <formula>0</formula>
    </cfRule>
  </conditionalFormatting>
  <conditionalFormatting sqref="H377">
    <cfRule type="cellIs" dxfId="1" priority="870" operator="equal">
      <formula>0</formula>
    </cfRule>
  </conditionalFormatting>
  <conditionalFormatting sqref="H378">
    <cfRule type="cellIs" dxfId="1" priority="871" operator="equal">
      <formula>0</formula>
    </cfRule>
  </conditionalFormatting>
  <conditionalFormatting sqref="H38">
    <cfRule type="cellIs" dxfId="1" priority="51" operator="equal">
      <formula>0</formula>
    </cfRule>
  </conditionalFormatting>
  <conditionalFormatting sqref="H382">
    <cfRule type="cellIs" dxfId="1" priority="879" operator="equal">
      <formula>0</formula>
    </cfRule>
  </conditionalFormatting>
  <conditionalFormatting sqref="H383">
    <cfRule type="cellIs" dxfId="1" priority="881" operator="equal">
      <formula>0</formula>
    </cfRule>
  </conditionalFormatting>
  <conditionalFormatting sqref="H419">
    <cfRule type="expression" dxfId="0" priority="935">
      <formula>H420=0</formula>
    </cfRule>
  </conditionalFormatting>
  <conditionalFormatting sqref="H420">
    <cfRule type="cellIs" dxfId="1" priority="943" operator="equal">
      <formula>0</formula>
    </cfRule>
  </conditionalFormatting>
  <conditionalFormatting sqref="H422">
    <cfRule type="cellIs" dxfId="1" priority="954" operator="equal">
      <formula>0</formula>
    </cfRule>
  </conditionalFormatting>
  <conditionalFormatting sqref="H423">
    <cfRule type="cellIs" dxfId="1" priority="960" operator="equal">
      <formula>0</formula>
    </cfRule>
  </conditionalFormatting>
  <conditionalFormatting sqref="H453">
    <cfRule type="expression" dxfId="0" priority="1020">
      <formula>H454=0</formula>
    </cfRule>
  </conditionalFormatting>
  <conditionalFormatting sqref="H454">
    <cfRule type="cellIs" dxfId="1" priority="1026" operator="equal">
      <formula>0</formula>
    </cfRule>
  </conditionalFormatting>
  <conditionalFormatting sqref="H455">
    <cfRule type="cellIs" dxfId="1" priority="1032" operator="equal">
      <formula>0</formula>
    </cfRule>
  </conditionalFormatting>
  <conditionalFormatting sqref="H487">
    <cfRule type="expression" dxfId="0" priority="1089">
      <formula>H488=0</formula>
    </cfRule>
  </conditionalFormatting>
  <conditionalFormatting sqref="H488">
    <cfRule type="cellIs" dxfId="1" priority="1097" operator="equal">
      <formula>0</formula>
    </cfRule>
  </conditionalFormatting>
  <conditionalFormatting sqref="H489">
    <cfRule type="cellIs" dxfId="1" priority="1105" operator="equal">
      <formula>0</formula>
    </cfRule>
  </conditionalFormatting>
  <conditionalFormatting sqref="H491">
    <cfRule type="cellIs" dxfId="1" priority="1116" operator="equal">
      <formula>0</formula>
    </cfRule>
  </conditionalFormatting>
  <conditionalFormatting sqref="H492">
    <cfRule type="cellIs" dxfId="1" priority="1120" operator="equal">
      <formula>0</formula>
    </cfRule>
  </conditionalFormatting>
  <conditionalFormatting sqref="H501">
    <cfRule type="expression" dxfId="0" priority="1145">
      <formula>H502=0</formula>
    </cfRule>
  </conditionalFormatting>
  <conditionalFormatting sqref="H502">
    <cfRule type="cellIs" dxfId="1" priority="1151" operator="equal">
      <formula>0</formula>
    </cfRule>
  </conditionalFormatting>
  <conditionalFormatting sqref="H506">
    <cfRule type="cellIs" dxfId="1" priority="1161" operator="equal">
      <formula>0</formula>
    </cfRule>
  </conditionalFormatting>
  <conditionalFormatting sqref="H521">
    <cfRule type="expression" dxfId="0" priority="1181">
      <formula>H522=0</formula>
    </cfRule>
  </conditionalFormatting>
  <conditionalFormatting sqref="H522">
    <cfRule type="cellIs" dxfId="1" priority="1189" operator="equal">
      <formula>0</formula>
    </cfRule>
  </conditionalFormatting>
  <conditionalFormatting sqref="H528">
    <cfRule type="cellIs" dxfId="1" priority="1220" operator="equal">
      <formula>0</formula>
    </cfRule>
  </conditionalFormatting>
  <conditionalFormatting sqref="H529">
    <cfRule type="cellIs" dxfId="1" priority="1224" operator="equal">
      <formula>0</formula>
    </cfRule>
  </conditionalFormatting>
  <conditionalFormatting sqref="H530">
    <cfRule type="cellIs" dxfId="1" priority="1230" operator="equal">
      <formula>0</formula>
    </cfRule>
  </conditionalFormatting>
  <conditionalFormatting sqref="H531">
    <cfRule type="cellIs" dxfId="1" priority="1236" operator="equal">
      <formula>0</formula>
    </cfRule>
  </conditionalFormatting>
  <conditionalFormatting sqref="H533">
    <cfRule type="cellIs" dxfId="1" priority="1245" operator="equal">
      <formula>0</formula>
    </cfRule>
  </conditionalFormatting>
  <conditionalFormatting sqref="H537">
    <cfRule type="cellIs" dxfId="1" priority="1264" operator="equal">
      <formula>0</formula>
    </cfRule>
  </conditionalFormatting>
  <conditionalFormatting sqref="H540">
    <cfRule type="cellIs" dxfId="1" priority="1278" operator="equal">
      <formula>0</formula>
    </cfRule>
  </conditionalFormatting>
  <conditionalFormatting sqref="H544">
    <cfRule type="cellIs" dxfId="1" priority="1297" operator="equal">
      <formula>0</formula>
    </cfRule>
  </conditionalFormatting>
  <conditionalFormatting sqref="H546">
    <cfRule type="cellIs" dxfId="1" priority="1306" operator="equal">
      <formula>0</formula>
    </cfRule>
  </conditionalFormatting>
  <conditionalFormatting sqref="H575">
    <cfRule type="expression" dxfId="0" priority="1368">
      <formula>H576=0</formula>
    </cfRule>
  </conditionalFormatting>
  <conditionalFormatting sqref="H576">
    <cfRule type="cellIs" dxfId="1" priority="1376" operator="equal">
      <formula>0</formula>
    </cfRule>
  </conditionalFormatting>
  <conditionalFormatting sqref="H581">
    <cfRule type="cellIs" dxfId="1" priority="1386" operator="equal">
      <formula>0</formula>
    </cfRule>
  </conditionalFormatting>
  <conditionalFormatting sqref="H584">
    <cfRule type="cellIs" dxfId="1" priority="1393" operator="equal">
      <formula>0</formula>
    </cfRule>
  </conditionalFormatting>
  <conditionalFormatting sqref="H586">
    <cfRule type="cellIs" dxfId="1" priority="1398" operator="equal">
      <formula>0</formula>
    </cfRule>
  </conditionalFormatting>
  <conditionalFormatting sqref="H588">
    <cfRule type="cellIs" dxfId="1" priority="1402" operator="equal">
      <formula>0</formula>
    </cfRule>
  </conditionalFormatting>
  <conditionalFormatting sqref="H594">
    <cfRule type="cellIs" dxfId="1" priority="1413" operator="equal">
      <formula>0</formula>
    </cfRule>
  </conditionalFormatting>
  <conditionalFormatting sqref="H596">
    <cfRule type="cellIs" dxfId="1" priority="1415" operator="equal">
      <formula>0</formula>
    </cfRule>
  </conditionalFormatting>
  <conditionalFormatting sqref="H599">
    <cfRule type="cellIs" dxfId="1" priority="1421" operator="equal">
      <formula>0</formula>
    </cfRule>
  </conditionalFormatting>
  <conditionalFormatting sqref="H600">
    <cfRule type="cellIs" dxfId="1" priority="1423" operator="equal">
      <formula>0</formula>
    </cfRule>
  </conditionalFormatting>
  <conditionalFormatting sqref="H635">
    <cfRule type="expression" dxfId="0" priority="1474">
      <formula>H636=0</formula>
    </cfRule>
  </conditionalFormatting>
  <conditionalFormatting sqref="H636">
    <cfRule type="cellIs" dxfId="1" priority="1482" operator="equal">
      <formula>0</formula>
    </cfRule>
  </conditionalFormatting>
  <conditionalFormatting sqref="H639">
    <cfRule type="cellIs" dxfId="1" priority="1500" operator="equal">
      <formula>0</formula>
    </cfRule>
  </conditionalFormatting>
  <conditionalFormatting sqref="H642">
    <cfRule type="cellIs" dxfId="1" priority="1516" operator="equal">
      <formula>0</formula>
    </cfRule>
  </conditionalFormatting>
  <conditionalFormatting sqref="H644">
    <cfRule type="cellIs" dxfId="1" priority="1525" operator="equal">
      <formula>0</formula>
    </cfRule>
  </conditionalFormatting>
  <conditionalFormatting sqref="H657">
    <cfRule type="expression" dxfId="0" priority="1558">
      <formula>H658=0</formula>
    </cfRule>
  </conditionalFormatting>
  <conditionalFormatting sqref="H658">
    <cfRule type="cellIs" dxfId="1" priority="1565" operator="equal">
      <formula>0</formula>
    </cfRule>
  </conditionalFormatting>
  <conditionalFormatting sqref="H661">
    <cfRule type="cellIs" dxfId="1" priority="1572" operator="equal">
      <formula>0</formula>
    </cfRule>
  </conditionalFormatting>
  <conditionalFormatting sqref="H663">
    <cfRule type="cellIs" dxfId="1" priority="1576" operator="equal">
      <formula>0</formula>
    </cfRule>
  </conditionalFormatting>
  <conditionalFormatting sqref="H707">
    <cfRule type="expression" dxfId="0" priority="1637">
      <formula>H708=0</formula>
    </cfRule>
  </conditionalFormatting>
  <conditionalFormatting sqref="H708">
    <cfRule type="cellIs" dxfId="1" priority="1645" operator="equal">
      <formula>0</formula>
    </cfRule>
  </conditionalFormatting>
  <conditionalFormatting sqref="H711">
    <cfRule type="cellIs" dxfId="1" priority="1663" operator="equal">
      <formula>0</formula>
    </cfRule>
  </conditionalFormatting>
  <conditionalFormatting sqref="H712">
    <cfRule type="cellIs" dxfId="1" priority="1669" operator="equal">
      <formula>0</formula>
    </cfRule>
  </conditionalFormatting>
  <conditionalFormatting sqref="H714">
    <cfRule type="cellIs" dxfId="1" priority="1680" operator="equal">
      <formula>0</formula>
    </cfRule>
  </conditionalFormatting>
  <conditionalFormatting sqref="H717">
    <cfRule type="cellIs" dxfId="1" priority="1694" operator="equal">
      <formula>0</formula>
    </cfRule>
  </conditionalFormatting>
  <conditionalFormatting sqref="H719">
    <cfRule type="cellIs" dxfId="1" priority="1703" operator="equal">
      <formula>0</formula>
    </cfRule>
  </conditionalFormatting>
  <conditionalFormatting sqref="H720">
    <cfRule type="cellIs" dxfId="1" priority="1707" operator="equal">
      <formula>0</formula>
    </cfRule>
  </conditionalFormatting>
  <conditionalFormatting sqref="H722">
    <cfRule type="cellIs" dxfId="1" priority="1716" operator="equal">
      <formula>0</formula>
    </cfRule>
  </conditionalFormatting>
  <conditionalFormatting sqref="H741">
    <cfRule type="expression" dxfId="0" priority="1759">
      <formula>H742=0</formula>
    </cfRule>
  </conditionalFormatting>
  <conditionalFormatting sqref="H742">
    <cfRule type="cellIs" dxfId="1" priority="1767" operator="equal">
      <formula>0</formula>
    </cfRule>
  </conditionalFormatting>
  <conditionalFormatting sqref="H747">
    <cfRule type="cellIs" dxfId="1" priority="1778" operator="equal">
      <formula>0</formula>
    </cfRule>
  </conditionalFormatting>
  <conditionalFormatting sqref="H781">
    <cfRule type="expression" dxfId="0" priority="1830">
      <formula>H782=0</formula>
    </cfRule>
  </conditionalFormatting>
  <conditionalFormatting sqref="H782">
    <cfRule type="cellIs" dxfId="1" priority="1836" operator="equal">
      <formula>0</formula>
    </cfRule>
  </conditionalFormatting>
  <conditionalFormatting sqref="H784">
    <cfRule type="cellIs" dxfId="1" priority="1845" operator="equal">
      <formula>0</formula>
    </cfRule>
  </conditionalFormatting>
  <conditionalFormatting sqref="H787">
    <cfRule type="cellIs" dxfId="1" priority="1859" operator="equal">
      <formula>0</formula>
    </cfRule>
  </conditionalFormatting>
  <conditionalFormatting sqref="H79">
    <cfRule type="expression" dxfId="0" priority="123">
      <formula>H80=0</formula>
    </cfRule>
  </conditionalFormatting>
  <conditionalFormatting sqref="H790">
    <cfRule type="cellIs" dxfId="1" priority="1873" operator="equal">
      <formula>0</formula>
    </cfRule>
  </conditionalFormatting>
  <conditionalFormatting sqref="H80">
    <cfRule type="cellIs" dxfId="1" priority="129" operator="equal">
      <formula>0</formula>
    </cfRule>
  </conditionalFormatting>
  <conditionalFormatting sqref="H81">
    <cfRule type="cellIs" dxfId="1" priority="135" operator="equal">
      <formula>0</formula>
    </cfRule>
  </conditionalFormatting>
  <conditionalFormatting sqref="H831">
    <cfRule type="expression" dxfId="0" priority="1941">
      <formula>H832=0</formula>
    </cfRule>
  </conditionalFormatting>
  <conditionalFormatting sqref="H832">
    <cfRule type="cellIs" dxfId="1" priority="1947" operator="equal">
      <formula>0</formula>
    </cfRule>
  </conditionalFormatting>
  <conditionalFormatting sqref="H841">
    <cfRule type="cellIs" dxfId="1" priority="1993" operator="equal">
      <formula>0</formula>
    </cfRule>
  </conditionalFormatting>
  <conditionalFormatting sqref="H843">
    <cfRule type="cellIs" dxfId="1" priority="2004" operator="equal">
      <formula>0</formula>
    </cfRule>
  </conditionalFormatting>
  <conditionalFormatting sqref="H859">
    <cfRule type="expression" dxfId="0" priority="2041">
      <formula>H860=0</formula>
    </cfRule>
  </conditionalFormatting>
  <conditionalFormatting sqref="H860">
    <cfRule type="cellIs" dxfId="1" priority="2048" operator="equal">
      <formula>0</formula>
    </cfRule>
  </conditionalFormatting>
  <conditionalFormatting sqref="H866">
    <cfRule type="cellIs" dxfId="1" priority="2061" operator="equal">
      <formula>0</formula>
    </cfRule>
  </conditionalFormatting>
  <conditionalFormatting sqref="H871">
    <cfRule type="cellIs" dxfId="1" priority="2070" operator="equal">
      <formula>0</formula>
    </cfRule>
  </conditionalFormatting>
  <conditionalFormatting sqref="I219">
    <cfRule type="expression" dxfId="0" priority="417">
      <formula>I220=0</formula>
    </cfRule>
  </conditionalFormatting>
  <conditionalFormatting sqref="I220">
    <cfRule type="cellIs" dxfId="1" priority="425" operator="equal">
      <formula>0</formula>
    </cfRule>
  </conditionalFormatting>
  <conditionalFormatting sqref="I236">
    <cfRule type="cellIs" dxfId="1" priority="499" operator="equal">
      <formula>0</formula>
    </cfRule>
  </conditionalFormatting>
  <conditionalFormatting sqref="I257">
    <cfRule type="expression" dxfId="0" priority="547">
      <formula>I258=0</formula>
    </cfRule>
  </conditionalFormatting>
  <conditionalFormatting sqref="I258">
    <cfRule type="cellIs" dxfId="1" priority="555" operator="equal">
      <formula>0</formula>
    </cfRule>
  </conditionalFormatting>
  <conditionalFormatting sqref="I268">
    <cfRule type="cellIs" dxfId="1" priority="576" operator="equal">
      <formula>0</formula>
    </cfRule>
  </conditionalFormatting>
  <conditionalFormatting sqref="I273">
    <cfRule type="cellIs" dxfId="1" priority="586" operator="equal">
      <formula>0</formula>
    </cfRule>
  </conditionalFormatting>
  <conditionalFormatting sqref="I301">
    <cfRule type="expression" dxfId="0" priority="632">
      <formula>I302=0</formula>
    </cfRule>
  </conditionalFormatting>
  <conditionalFormatting sqref="I302">
    <cfRule type="cellIs" dxfId="1" priority="640" operator="equal">
      <formula>0</formula>
    </cfRule>
  </conditionalFormatting>
  <conditionalFormatting sqref="I327">
    <cfRule type="cellIs" dxfId="1" priority="760" operator="equal">
      <formula>0</formula>
    </cfRule>
  </conditionalFormatting>
  <conditionalFormatting sqref="I357">
    <cfRule type="expression" dxfId="0" priority="825">
      <formula>I358=0</formula>
    </cfRule>
  </conditionalFormatting>
  <conditionalFormatting sqref="I358">
    <cfRule type="cellIs" dxfId="1" priority="833" operator="equal">
      <formula>0</formula>
    </cfRule>
  </conditionalFormatting>
  <conditionalFormatting sqref="I366">
    <cfRule type="cellIs" dxfId="1" priority="847" operator="equal">
      <formula>0</formula>
    </cfRule>
  </conditionalFormatting>
  <conditionalFormatting sqref="I373">
    <cfRule type="cellIs" dxfId="1" priority="861" operator="equal">
      <formula>0</formula>
    </cfRule>
  </conditionalFormatting>
  <conditionalFormatting sqref="I374">
    <cfRule type="cellIs" dxfId="1" priority="863" operator="equal">
      <formula>0</formula>
    </cfRule>
  </conditionalFormatting>
  <conditionalFormatting sqref="I381">
    <cfRule type="cellIs" dxfId="1" priority="877" operator="equal">
      <formula>0</formula>
    </cfRule>
  </conditionalFormatting>
  <conditionalFormatting sqref="I419">
    <cfRule type="expression" dxfId="0" priority="936">
      <formula>I420=0</formula>
    </cfRule>
  </conditionalFormatting>
  <conditionalFormatting sqref="I420">
    <cfRule type="cellIs" dxfId="1" priority="944" operator="equal">
      <formula>0</formula>
    </cfRule>
  </conditionalFormatting>
  <conditionalFormatting sqref="I424">
    <cfRule type="cellIs" dxfId="1" priority="964" operator="equal">
      <formula>0</formula>
    </cfRule>
  </conditionalFormatting>
  <conditionalFormatting sqref="I487">
    <cfRule type="expression" dxfId="0" priority="1090">
      <formula>I488=0</formula>
    </cfRule>
  </conditionalFormatting>
  <conditionalFormatting sqref="I488">
    <cfRule type="cellIs" dxfId="1" priority="1098" operator="equal">
      <formula>0</formula>
    </cfRule>
  </conditionalFormatting>
  <conditionalFormatting sqref="I490">
    <cfRule type="cellIs" dxfId="1" priority="1109" operator="equal">
      <formula>0</formula>
    </cfRule>
  </conditionalFormatting>
  <conditionalFormatting sqref="I521">
    <cfRule type="expression" dxfId="0" priority="1182">
      <formula>I522=0</formula>
    </cfRule>
  </conditionalFormatting>
  <conditionalFormatting sqref="I522">
    <cfRule type="cellIs" dxfId="1" priority="1190" operator="equal">
      <formula>0</formula>
    </cfRule>
  </conditionalFormatting>
  <conditionalFormatting sqref="I525">
    <cfRule type="cellIs" dxfId="1" priority="1205" operator="equal">
      <formula>0</formula>
    </cfRule>
  </conditionalFormatting>
  <conditionalFormatting sqref="I575">
    <cfRule type="expression" dxfId="0" priority="1369">
      <formula>I576=0</formula>
    </cfRule>
  </conditionalFormatting>
  <conditionalFormatting sqref="I576">
    <cfRule type="cellIs" dxfId="1" priority="1377" operator="equal">
      <formula>0</formula>
    </cfRule>
  </conditionalFormatting>
  <conditionalFormatting sqref="I583">
    <cfRule type="cellIs" dxfId="1" priority="1390" operator="equal">
      <formula>0</formula>
    </cfRule>
  </conditionalFormatting>
  <conditionalFormatting sqref="I590">
    <cfRule type="cellIs" dxfId="1" priority="1404" operator="equal">
      <formula>0</formula>
    </cfRule>
  </conditionalFormatting>
  <conditionalFormatting sqref="I591">
    <cfRule type="cellIs" dxfId="1" priority="1406" operator="equal">
      <formula>0</formula>
    </cfRule>
  </conditionalFormatting>
  <conditionalFormatting sqref="I598">
    <cfRule type="cellIs" dxfId="1" priority="1419" operator="equal">
      <formula>0</formula>
    </cfRule>
  </conditionalFormatting>
  <conditionalFormatting sqref="I635">
    <cfRule type="expression" dxfId="0" priority="1475">
      <formula>I636=0</formula>
    </cfRule>
  </conditionalFormatting>
  <conditionalFormatting sqref="I636">
    <cfRule type="cellIs" dxfId="1" priority="1483" operator="equal">
      <formula>0</formula>
    </cfRule>
  </conditionalFormatting>
  <conditionalFormatting sqref="I643">
    <cfRule type="cellIs" dxfId="1" priority="1520" operator="equal">
      <formula>0</formula>
    </cfRule>
  </conditionalFormatting>
  <conditionalFormatting sqref="I657">
    <cfRule type="expression" dxfId="0" priority="1559">
      <formula>I658=0</formula>
    </cfRule>
  </conditionalFormatting>
  <conditionalFormatting sqref="I658">
    <cfRule type="cellIs" dxfId="1" priority="1566" operator="equal">
      <formula>0</formula>
    </cfRule>
  </conditionalFormatting>
  <conditionalFormatting sqref="I664">
    <cfRule type="cellIs" dxfId="1" priority="1577" operator="equal">
      <formula>0</formula>
    </cfRule>
  </conditionalFormatting>
  <conditionalFormatting sqref="I707">
    <cfRule type="expression" dxfId="0" priority="1638">
      <formula>I708=0</formula>
    </cfRule>
  </conditionalFormatting>
  <conditionalFormatting sqref="I708">
    <cfRule type="cellIs" dxfId="1" priority="1646" operator="equal">
      <formula>0</formula>
    </cfRule>
  </conditionalFormatting>
  <conditionalFormatting sqref="I709">
    <cfRule type="cellIs" dxfId="1" priority="1651" operator="equal">
      <formula>0</formula>
    </cfRule>
  </conditionalFormatting>
  <conditionalFormatting sqref="I741">
    <cfRule type="expression" dxfId="0" priority="1760">
      <formula>I742=0</formula>
    </cfRule>
  </conditionalFormatting>
  <conditionalFormatting sqref="I742">
    <cfRule type="cellIs" dxfId="1" priority="1768" operator="equal">
      <formula>0</formula>
    </cfRule>
  </conditionalFormatting>
  <conditionalFormatting sqref="I751">
    <cfRule type="cellIs" dxfId="1" priority="1784" operator="equal">
      <formula>0</formula>
    </cfRule>
  </conditionalFormatting>
  <conditionalFormatting sqref="I756">
    <cfRule type="cellIs" dxfId="1" priority="1792" operator="equal">
      <formula>0</formula>
    </cfRule>
  </conditionalFormatting>
  <conditionalFormatting sqref="I859">
    <cfRule type="expression" dxfId="0" priority="2042">
      <formula>I860=0</formula>
    </cfRule>
  </conditionalFormatting>
  <conditionalFormatting sqref="I860">
    <cfRule type="cellIs" dxfId="1" priority="2049" operator="equal">
      <formula>0</formula>
    </cfRule>
  </conditionalFormatting>
  <conditionalFormatting sqref="I871">
    <cfRule type="cellIs" dxfId="1" priority="2071" operator="equal">
      <formula>0</formula>
    </cfRule>
  </conditionalFormatting>
  <conditionalFormatting sqref="J219">
    <cfRule type="expression" dxfId="0" priority="418">
      <formula>J220=0</formula>
    </cfRule>
  </conditionalFormatting>
  <conditionalFormatting sqref="J220">
    <cfRule type="cellIs" dxfId="1" priority="426" operator="equal">
      <formula>0</formula>
    </cfRule>
  </conditionalFormatting>
  <conditionalFormatting sqref="J236">
    <cfRule type="cellIs" dxfId="1" priority="500" operator="equal">
      <formula>0</formula>
    </cfRule>
  </conditionalFormatting>
  <conditionalFormatting sqref="J257">
    <cfRule type="expression" dxfId="0" priority="548">
      <formula>J258=0</formula>
    </cfRule>
  </conditionalFormatting>
  <conditionalFormatting sqref="J258">
    <cfRule type="cellIs" dxfId="1" priority="556" operator="equal">
      <formula>0</formula>
    </cfRule>
  </conditionalFormatting>
  <conditionalFormatting sqref="J269">
    <cfRule type="cellIs" dxfId="1" priority="578" operator="equal">
      <formula>0</formula>
    </cfRule>
  </conditionalFormatting>
  <conditionalFormatting sqref="J301">
    <cfRule type="expression" dxfId="0" priority="633">
      <formula>J302=0</formula>
    </cfRule>
  </conditionalFormatting>
  <conditionalFormatting sqref="J302">
    <cfRule type="cellIs" dxfId="1" priority="641" operator="equal">
      <formula>0</formula>
    </cfRule>
  </conditionalFormatting>
  <conditionalFormatting sqref="J327">
    <cfRule type="cellIs" dxfId="1" priority="761" operator="equal">
      <formula>0</formula>
    </cfRule>
  </conditionalFormatting>
  <conditionalFormatting sqref="J357">
    <cfRule type="expression" dxfId="0" priority="826">
      <formula>J358=0</formula>
    </cfRule>
  </conditionalFormatting>
  <conditionalFormatting sqref="J358">
    <cfRule type="cellIs" dxfId="1" priority="834" operator="equal">
      <formula>0</formula>
    </cfRule>
  </conditionalFormatting>
  <conditionalFormatting sqref="J376">
    <cfRule type="cellIs" dxfId="1" priority="867" operator="equal">
      <formula>0</formula>
    </cfRule>
  </conditionalFormatting>
  <conditionalFormatting sqref="J383">
    <cfRule type="cellIs" dxfId="1" priority="882" operator="equal">
      <formula>0</formula>
    </cfRule>
  </conditionalFormatting>
  <conditionalFormatting sqref="J419">
    <cfRule type="expression" dxfId="0" priority="937">
      <formula>J420=0</formula>
    </cfRule>
  </conditionalFormatting>
  <conditionalFormatting sqref="J420">
    <cfRule type="cellIs" dxfId="1" priority="945" operator="equal">
      <formula>0</formula>
    </cfRule>
  </conditionalFormatting>
  <conditionalFormatting sqref="J424">
    <cfRule type="cellIs" dxfId="1" priority="965" operator="equal">
      <formula>0</formula>
    </cfRule>
  </conditionalFormatting>
  <conditionalFormatting sqref="J487">
    <cfRule type="expression" dxfId="0" priority="1091">
      <formula>J488=0</formula>
    </cfRule>
  </conditionalFormatting>
  <conditionalFormatting sqref="J488">
    <cfRule type="cellIs" dxfId="1" priority="1099" operator="equal">
      <formula>0</formula>
    </cfRule>
  </conditionalFormatting>
  <conditionalFormatting sqref="J490">
    <cfRule type="cellIs" dxfId="1" priority="1110" operator="equal">
      <formula>0</formula>
    </cfRule>
  </conditionalFormatting>
  <conditionalFormatting sqref="J521">
    <cfRule type="expression" dxfId="0" priority="1183">
      <formula>J522=0</formula>
    </cfRule>
  </conditionalFormatting>
  <conditionalFormatting sqref="J522">
    <cfRule type="cellIs" dxfId="1" priority="1191" operator="equal">
      <formula>0</formula>
    </cfRule>
  </conditionalFormatting>
  <conditionalFormatting sqref="J525">
    <cfRule type="cellIs" dxfId="1" priority="1206" operator="equal">
      <formula>0</formula>
    </cfRule>
  </conditionalFormatting>
  <conditionalFormatting sqref="J575">
    <cfRule type="expression" dxfId="0" priority="1370">
      <formula>J576=0</formula>
    </cfRule>
  </conditionalFormatting>
  <conditionalFormatting sqref="J576">
    <cfRule type="cellIs" dxfId="1" priority="1378" operator="equal">
      <formula>0</formula>
    </cfRule>
  </conditionalFormatting>
  <conditionalFormatting sqref="J593">
    <cfRule type="cellIs" dxfId="1" priority="1410" operator="equal">
      <formula>0</formula>
    </cfRule>
  </conditionalFormatting>
  <conditionalFormatting sqref="J600">
    <cfRule type="cellIs" dxfId="1" priority="1424" operator="equal">
      <formula>0</formula>
    </cfRule>
  </conditionalFormatting>
  <conditionalFormatting sqref="J635">
    <cfRule type="expression" dxfId="0" priority="1476">
      <formula>J636=0</formula>
    </cfRule>
  </conditionalFormatting>
  <conditionalFormatting sqref="J636">
    <cfRule type="cellIs" dxfId="1" priority="1484" operator="equal">
      <formula>0</formula>
    </cfRule>
  </conditionalFormatting>
  <conditionalFormatting sqref="J643">
    <cfRule type="cellIs" dxfId="1" priority="1521" operator="equal">
      <formula>0</formula>
    </cfRule>
  </conditionalFormatting>
  <conditionalFormatting sqref="J707">
    <cfRule type="expression" dxfId="0" priority="1639">
      <formula>J708=0</formula>
    </cfRule>
  </conditionalFormatting>
  <conditionalFormatting sqref="J708">
    <cfRule type="cellIs" dxfId="1" priority="1647" operator="equal">
      <formula>0</formula>
    </cfRule>
  </conditionalFormatting>
  <conditionalFormatting sqref="J709">
    <cfRule type="cellIs" dxfId="1" priority="1652" operator="equal">
      <formula>0</formula>
    </cfRule>
  </conditionalFormatting>
  <conditionalFormatting sqref="J741">
    <cfRule type="expression" dxfId="0" priority="1761">
      <formula>J742=0</formula>
    </cfRule>
  </conditionalFormatting>
  <conditionalFormatting sqref="J742">
    <cfRule type="cellIs" dxfId="1" priority="1769" operator="equal">
      <formula>0</formula>
    </cfRule>
  </conditionalFormatting>
  <conditionalFormatting sqref="J752">
    <cfRule type="cellIs" dxfId="1" priority="1786" operator="equal">
      <formula>0</formula>
    </cfRule>
  </conditionalFormatting>
  <hyperlinks>
    <hyperlink ref="B3" r:id="rId1"/>
    <hyperlink ref="B4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1" width="18.28515625" bestFit="1" customWidth="1"/>
    <col min="2" max="2" width="3" bestFit="1" customWidth="1"/>
    <col min="5" max="5" width="60.7109375" bestFit="1" customWidth="1"/>
  </cols>
  <sheetData>
    <row r="1" spans="1:5">
      <c r="A1" t="s">
        <v>55</v>
      </c>
      <c r="B1">
        <v>-1</v>
      </c>
      <c r="E1" s="9" t="s">
        <v>74</v>
      </c>
    </row>
    <row r="2" spans="1:5">
      <c r="A2" t="s">
        <v>79</v>
      </c>
      <c r="B2">
        <v>-1</v>
      </c>
      <c r="E2" t="s">
        <v>75</v>
      </c>
    </row>
    <row r="3" spans="1:5">
      <c r="A3" t="s">
        <v>61</v>
      </c>
      <c r="B3">
        <v>-1</v>
      </c>
      <c r="E3" t="s">
        <v>76</v>
      </c>
    </row>
    <row r="4" spans="1:5">
      <c r="A4" t="s">
        <v>18</v>
      </c>
      <c r="B4">
        <v>-1</v>
      </c>
      <c r="E4" t="s">
        <v>77</v>
      </c>
    </row>
    <row r="5" spans="1:5">
      <c r="A5" t="s">
        <v>59</v>
      </c>
      <c r="B5">
        <v>-1</v>
      </c>
      <c r="E5" t="s">
        <v>78</v>
      </c>
    </row>
    <row r="6" spans="1:5">
      <c r="A6" t="s">
        <v>50</v>
      </c>
      <c r="B6">
        <v>-1</v>
      </c>
    </row>
    <row r="7" spans="1:5">
      <c r="A7" t="s">
        <v>37</v>
      </c>
      <c r="B7">
        <v>-1</v>
      </c>
    </row>
    <row r="8" spans="1:5">
      <c r="A8" t="s">
        <v>58</v>
      </c>
      <c r="B8">
        <v>-1</v>
      </c>
    </row>
    <row r="9" spans="1:5">
      <c r="A9" t="s">
        <v>46</v>
      </c>
      <c r="B9">
        <v>-1</v>
      </c>
    </row>
    <row r="10" spans="1:5">
      <c r="A10" t="s">
        <v>62</v>
      </c>
      <c r="B10">
        <v>-1</v>
      </c>
    </row>
    <row r="11" spans="1:5">
      <c r="A11" t="s">
        <v>80</v>
      </c>
      <c r="B11">
        <v>-1</v>
      </c>
    </row>
    <row r="12" spans="1:5">
      <c r="A12" t="s">
        <v>40</v>
      </c>
      <c r="B12">
        <v>-1</v>
      </c>
    </row>
    <row r="13" spans="1:5">
      <c r="A13" t="s">
        <v>24</v>
      </c>
      <c r="B13">
        <v>-1</v>
      </c>
    </row>
    <row r="14" spans="1:5">
      <c r="A14" t="s">
        <v>47</v>
      </c>
      <c r="B14">
        <v>-1</v>
      </c>
    </row>
    <row r="15" spans="1:5">
      <c r="A15" t="s">
        <v>56</v>
      </c>
      <c r="B15">
        <v>-1</v>
      </c>
    </row>
    <row r="16" spans="1:5">
      <c r="A16" t="s">
        <v>39</v>
      </c>
      <c r="B16">
        <v>-1</v>
      </c>
    </row>
    <row r="17" spans="1:2">
      <c r="A17" t="s">
        <v>19</v>
      </c>
      <c r="B17">
        <v>-1</v>
      </c>
    </row>
    <row r="18" spans="1:2">
      <c r="A18" t="s">
        <v>57</v>
      </c>
      <c r="B18">
        <v>-1</v>
      </c>
    </row>
    <row r="19" spans="1:2">
      <c r="A19" t="s">
        <v>25</v>
      </c>
      <c r="B19">
        <v>-1</v>
      </c>
    </row>
    <row r="20" spans="1:2">
      <c r="A20" t="s">
        <v>48</v>
      </c>
      <c r="B20">
        <v>-1</v>
      </c>
    </row>
    <row r="21" spans="1:2">
      <c r="A21" t="s">
        <v>20</v>
      </c>
      <c r="B21">
        <v>-1</v>
      </c>
    </row>
    <row r="22" spans="1:2">
      <c r="A22" t="s">
        <v>49</v>
      </c>
      <c r="B22">
        <v>-1</v>
      </c>
    </row>
    <row r="23" spans="1:2">
      <c r="A23" t="s">
        <v>81</v>
      </c>
      <c r="B23">
        <v>-1</v>
      </c>
    </row>
    <row r="24" spans="1:2">
      <c r="A24" t="s">
        <v>68</v>
      </c>
      <c r="B24">
        <v>-1</v>
      </c>
    </row>
    <row r="25" spans="1:2">
      <c r="A25" t="s">
        <v>21</v>
      </c>
      <c r="B25">
        <v>-1</v>
      </c>
    </row>
    <row r="26" spans="1:2">
      <c r="A26" t="s">
        <v>22</v>
      </c>
      <c r="B26">
        <v>-1</v>
      </c>
    </row>
    <row r="27" spans="1:2">
      <c r="A27" t="s">
        <v>63</v>
      </c>
      <c r="B27">
        <v>-1</v>
      </c>
    </row>
    <row r="28" spans="1:2">
      <c r="A28" t="s">
        <v>23</v>
      </c>
      <c r="B28">
        <v>-1</v>
      </c>
    </row>
    <row r="29" spans="1:2">
      <c r="A29" t="s">
        <v>82</v>
      </c>
      <c r="B29">
        <v>-1</v>
      </c>
    </row>
    <row r="30" spans="1:2">
      <c r="A30" t="s">
        <v>38</v>
      </c>
      <c r="B30">
        <v>-1</v>
      </c>
    </row>
    <row r="31" spans="1:2">
      <c r="A31" t="s">
        <v>44</v>
      </c>
      <c r="B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characters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2025-02-03T18:58:55Z</dcterms:created>
  <dcterms:modified xsi:type="dcterms:W3CDTF">2025-02-03T18:58:55Z</dcterms:modified>
</cp:coreProperties>
</file>