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pment" sheetId="1" r:id="rId1"/>
    <sheet name="characters" sheetId="2" r:id="rId2"/>
  </sheets>
  <calcPr calcId="124519" fullCalcOnLoad="1"/>
</workbook>
</file>

<file path=xl/sharedStrings.xml><?xml version="1.0" encoding="utf-8"?>
<sst xmlns="http://schemas.openxmlformats.org/spreadsheetml/2006/main" count="8634" uniqueCount="183">
  <si>
    <t>last update:</t>
  </si>
  <si>
    <t>2024-11-29</t>
  </si>
  <si>
    <t>data source:</t>
  </si>
  <si>
    <t>https://www.prydwen.gg/</t>
  </si>
  <si>
    <t>generator:</t>
  </si>
  <si>
    <t>https://github.com/Iluntrin/hoyo-equipment-overview</t>
  </si>
  <si>
    <t>Honkai Star Rail - Relic Overview</t>
  </si>
  <si>
    <t>) (25)</t>
  </si>
  <si>
    <t>substats</t>
  </si>
  <si>
    <t>priority</t>
  </si>
  <si>
    <t>SPD</t>
  </si>
  <si>
    <t>Effect RES%</t>
  </si>
  <si>
    <t>DEF%</t>
  </si>
  <si>
    <t>HP%</t>
  </si>
  <si>
    <t>HP</t>
  </si>
  <si>
    <t>DEF</t>
  </si>
  <si>
    <t>EHR</t>
  </si>
  <si>
    <t>ATK%</t>
  </si>
  <si>
    <t>Break Effect%</t>
  </si>
  <si>
    <t>CRIT DMG</t>
  </si>
  <si>
    <t>BREAK%</t>
  </si>
  <si>
    <t>CRIT Rate</t>
  </si>
  <si>
    <t>combined</t>
  </si>
  <si>
    <t/>
  </si>
  <si>
    <t>Asta</t>
  </si>
  <si>
    <t>Aventurine</t>
  </si>
  <si>
    <t>Bailu</t>
  </si>
  <si>
    <t>Bronya</t>
  </si>
  <si>
    <t>Fu Xuan</t>
  </si>
  <si>
    <t>Gallagher</t>
  </si>
  <si>
    <t>Gepard</t>
  </si>
  <si>
    <t>Guinaifen</t>
  </si>
  <si>
    <t>Hanya</t>
  </si>
  <si>
    <t>Huohuo</t>
  </si>
  <si>
    <t>Jiaoqiu</t>
  </si>
  <si>
    <t>Lingsha</t>
  </si>
  <si>
    <t>Luocha</t>
  </si>
  <si>
    <t>Lynx</t>
  </si>
  <si>
    <t>March 7th</t>
  </si>
  <si>
    <t>Natasha</t>
  </si>
  <si>
    <t>Pela</t>
  </si>
  <si>
    <t>Robin</t>
  </si>
  <si>
    <t>Ruan Mei</t>
  </si>
  <si>
    <t>Silver Wolf</t>
  </si>
  <si>
    <t>Sparkle</t>
  </si>
  <si>
    <t>Tingyun</t>
  </si>
  <si>
    <t>Trailblazer • Harmony</t>
  </si>
  <si>
    <t>Trailblazer • Preservation</t>
  </si>
  <si>
    <t>Yukong</t>
  </si>
  <si>
    <t>Body (main stat)</t>
  </si>
  <si>
    <t>Outgoing Healing</t>
  </si>
  <si>
    <t>ATK</t>
  </si>
  <si>
    <t>Feet (main stat)</t>
  </si>
  <si>
    <t>1 (24)</t>
  </si>
  <si>
    <t>1-5 (16)</t>
  </si>
  <si>
    <t>5 (25)</t>
  </si>
  <si>
    <t>Band of Sizzling Thunder (5)</t>
  </si>
  <si>
    <t>Arlan</t>
  </si>
  <si>
    <t>Jing Yuan</t>
  </si>
  <si>
    <t>Kafka</t>
  </si>
  <si>
    <t>Serval</t>
  </si>
  <si>
    <t>Acheron</t>
  </si>
  <si>
    <t>Before the Tutorial Mission Starts (3)</t>
  </si>
  <si>
    <t>Belobog of the Architects (1)</t>
  </si>
  <si>
    <t>Sphere (main stat)</t>
  </si>
  <si>
    <t>Rope (main stat)</t>
  </si>
  <si>
    <t>Energy Regen</t>
  </si>
  <si>
    <t>Broken Keel (8)</t>
  </si>
  <si>
    <t>Imaginary DMG</t>
  </si>
  <si>
    <t>Quantum DMG</t>
  </si>
  <si>
    <t>But the Battle Isn't Over (7)</t>
  </si>
  <si>
    <t>Champion of Streetwise Boxing (5)</t>
  </si>
  <si>
    <t>Clara</t>
  </si>
  <si>
    <t>Sushang</t>
  </si>
  <si>
    <t>Trailblazer • Destruction</t>
  </si>
  <si>
    <t>Argenti</t>
  </si>
  <si>
    <t>Luka</t>
  </si>
  <si>
    <t>Concert for Two (1)</t>
  </si>
  <si>
    <t>Dance! Dance! Dance! (7)</t>
  </si>
  <si>
    <t>Day One of My New Life (5)</t>
  </si>
  <si>
    <t>Duran, Dynasty of Running Wolves (8)</t>
  </si>
  <si>
    <t>Dr. Ratio</t>
  </si>
  <si>
    <t>Feixiao</t>
  </si>
  <si>
    <t>Moze</t>
  </si>
  <si>
    <t>Topaz &amp; Numby</t>
  </si>
  <si>
    <t>Yunli</t>
  </si>
  <si>
    <t>Jade</t>
  </si>
  <si>
    <t>Physical DMG</t>
  </si>
  <si>
    <t>Wind DMG</t>
  </si>
  <si>
    <t>Lightning DMG</t>
  </si>
  <si>
    <t>Fire DMG</t>
  </si>
  <si>
    <t>Eagle of Twilight Line (14)</t>
  </si>
  <si>
    <t>Black Swan</t>
  </si>
  <si>
    <t>Sampo</t>
  </si>
  <si>
    <t>Boothill</t>
  </si>
  <si>
    <t>Rappa</t>
  </si>
  <si>
    <t>Earthly Escapade (1)</t>
  </si>
  <si>
    <t>Echoes of the Coffin (1)</t>
  </si>
  <si>
    <t>Eyes of the Prey (2)</t>
  </si>
  <si>
    <t>Firesmith of Lava-Forging (2)</t>
  </si>
  <si>
    <t>Himeko</t>
  </si>
  <si>
    <t>Hook</t>
  </si>
  <si>
    <t>Firmament Frontline: Glamoth (25)</t>
  </si>
  <si>
    <t>Yanqing</t>
  </si>
  <si>
    <t>Dan Heng</t>
  </si>
  <si>
    <t>Dan Heng • Imbibitor Lunae</t>
  </si>
  <si>
    <t>Jingliu</t>
  </si>
  <si>
    <t>Misha</t>
  </si>
  <si>
    <t>Qingque</t>
  </si>
  <si>
    <t>Seele</t>
  </si>
  <si>
    <t>March 7th • The Hunt</t>
  </si>
  <si>
    <t>Welt</t>
  </si>
  <si>
    <t>Herta</t>
  </si>
  <si>
    <t>Xueyi</t>
  </si>
  <si>
    <t>Ice DMG</t>
  </si>
  <si>
    <t>Fleet of the Ageless (5)</t>
  </si>
  <si>
    <t>Flowing Nightglow (1)</t>
  </si>
  <si>
    <t>For Tomorrow's Journey (1)</t>
  </si>
  <si>
    <t>Forge of the Kalpagni Lantern (8)</t>
  </si>
  <si>
    <t>Firefly</t>
  </si>
  <si>
    <t>Genius of Brilliant Stars (6)</t>
  </si>
  <si>
    <t>Hey, Over Here (1)</t>
  </si>
  <si>
    <t>Hunter of Glacial Forest (4)</t>
  </si>
  <si>
    <t>Incessant Rain (1)</t>
  </si>
  <si>
    <t>Inert Salsotto (27)</t>
  </si>
  <si>
    <t>Blade</t>
  </si>
  <si>
    <t>Inherently Unjust Destiny (1)</t>
  </si>
  <si>
    <t>Iron Cavalry Against the Scourge (7)</t>
  </si>
  <si>
    <t>Izumo Gensei and Takama Divine Realm (10)</t>
  </si>
  <si>
    <t>Knight of Purity Palace (4)</t>
  </si>
  <si>
    <t>Landau's Choice (5)</t>
  </si>
  <si>
    <t>Longevous Disciple (4)</t>
  </si>
  <si>
    <t>Memories of the Past (3)</t>
  </si>
  <si>
    <t>Meshing Cogs (7)</t>
  </si>
  <si>
    <t>Messenger Traversing Hackerspace (18)</t>
  </si>
  <si>
    <t>Moment of Victory (5)</t>
  </si>
  <si>
    <t>Multiplication (6)</t>
  </si>
  <si>
    <t>Musketeer of Wild Wheat (16)</t>
  </si>
  <si>
    <t>Night of Fright (4)</t>
  </si>
  <si>
    <t>Pan-Cosmic Commercial Enterprise (6)</t>
  </si>
  <si>
    <t>Passerby of Wandering Cloud (6)</t>
  </si>
  <si>
    <t>Past Self in Mirror (2)</t>
  </si>
  <si>
    <t>Past and Future (2)</t>
  </si>
  <si>
    <t>Perfect Timing (5)</t>
  </si>
  <si>
    <t>Pioneer Diver of Dead Waters (16)</t>
  </si>
  <si>
    <t>Planetary Rendezvous (4)</t>
  </si>
  <si>
    <t>Poised to Bloom (1)</t>
  </si>
  <si>
    <t>Post-Op Conversation (7)</t>
  </si>
  <si>
    <t>Prisoner in Deep Confinement (6)</t>
  </si>
  <si>
    <t>Quid Pro Quo (7)</t>
  </si>
  <si>
    <t>Resolution Shines As Pearls of Sweat (4)</t>
  </si>
  <si>
    <t>Rutilant Arena (16)</t>
  </si>
  <si>
    <t>Sacerdos' Relived Ordeal (5)</t>
  </si>
  <si>
    <t>Scent Alone Stays True (2)</t>
  </si>
  <si>
    <t>Scholar Lost in Erudition (12)</t>
  </si>
  <si>
    <t>Shared Feeling (1)</t>
  </si>
  <si>
    <t>She Already Shut Her Eyes (1)</t>
  </si>
  <si>
    <t>Sigonia, the Unclaimed Desolation (4)</t>
  </si>
  <si>
    <t>Solitary Healing (2)</t>
  </si>
  <si>
    <t>Space Sealing Station (16)</t>
  </si>
  <si>
    <t>Sprightly Vonwacq (14)</t>
  </si>
  <si>
    <t>Talia: Kingdom of Banditry (10)</t>
  </si>
  <si>
    <t>Texture of Memories (4)</t>
  </si>
  <si>
    <t>The Ashblazing Grand Duke (11)</t>
  </si>
  <si>
    <t>The Wind-Soaring Valorous (3)</t>
  </si>
  <si>
    <t>The Wondrous BananAmusement Park (2)</t>
  </si>
  <si>
    <t>Thief of Shooting Meteor (10)</t>
  </si>
  <si>
    <t>Those Many Springs (2)</t>
  </si>
  <si>
    <t>Time Waits for No One (4)</t>
  </si>
  <si>
    <t>Trend of the Universal Market (5)</t>
  </si>
  <si>
    <t>Wastelander of Banditry Desert (4)</t>
  </si>
  <si>
    <t>Watchmaker, Master of Dream Machinations (3)</t>
  </si>
  <si>
    <t>What Is Real? (2)</t>
  </si>
  <si>
    <t>Explanation:</t>
  </si>
  <si>
    <t>-1 show all</t>
  </si>
  <si>
    <t>-2 do not show anything for character</t>
  </si>
  <si>
    <t>0 show only priority 0 for character (=show only recommended sets)</t>
  </si>
  <si>
    <t>&lt;n&gt; show only priority 0 to &lt;n&gt; for character</t>
  </si>
  <si>
    <t>Aglaea</t>
  </si>
  <si>
    <t>Sunday</t>
  </si>
  <si>
    <t>The Herta</t>
  </si>
  <si>
    <t>Tingyun • Fugue</t>
  </si>
  <si>
    <t>Trailblazer • Remembrance</t>
  </si>
</sst>
</file>

<file path=xl/styles.xml><?xml version="1.0" encoding="utf-8"?>
<styleSheet xmlns="http://schemas.openxmlformats.org/spreadsheetml/2006/main">
  <numFmts count="2">
    <numFmt numFmtId="164" formatCode="0.00%"/>
    <numFmt numFmtId="165" formatCode="0.#"/>
  </numFmts>
  <fonts count="6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66666"/>
        <bgColor indexed="64"/>
      </patternFill>
    </fill>
    <fill>
      <patternFill patternType="solid">
        <fgColor rgb="FFCCCC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1" fillId="0" borderId="0" xfId="0" applyFont="1"/>
    <xf numFmtId="0" fontId="2" fillId="0" borderId="0" xfId="1" applyAlignment="1" applyProtection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0" fillId="3" borderId="1" xfId="0" applyFill="1" applyBorder="1"/>
    <xf numFmtId="164" fontId="0" fillId="3" borderId="1" xfId="0" applyNumberFormat="1" applyFill="1" applyBorder="1"/>
    <xf numFmtId="165" fontId="0" fillId="3" borderId="1" xfId="0" applyNumberFormat="1" applyFill="1" applyBorder="1"/>
    <xf numFmtId="0" fontId="4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2">
    <dxf>
      <font>
        <b/>
        <color rgb="FF666666"/>
      </font>
      <fill>
        <patternFill>
          <bgColor rgb="FF66666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CCCCCC"/>
      </font>
      <fill>
        <patternFill>
          <bgColor rgb="FFCCCC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5</xdr:col>
      <xdr:colOff>57150</xdr:colOff>
      <xdr:row>22</xdr:row>
      <xdr:rowOff>95250</xdr:rowOff>
    </xdr:to>
    <xdr:sp macro="" textlink="">
      <xdr:nvSpPr>
        <xdr:cNvPr id="2" name="TextBox 1"/>
        <xdr:cNvSpPr txBox="1"/>
      </xdr:nvSpPr>
      <xdr:spPr>
        <a:xfrm>
          <a:off x="0" y="952500"/>
          <a:ext cx="9525000" cy="3333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  <a:p>
          <a:r>
            <a:rPr lang="en-US" sz="1100"/>
            <a:t>The excel sheet contains multiple table groups. Each table group contains the substats and the main stats of a given relic set. The first data row in each table contains the combined values of each character that uses the set. </a:t>
          </a:r>
        </a:p>
        <a:p>
          <a:endParaRPr lang="en-US" sz="1100"/>
        </a:p>
        <a:p>
          <a:r>
            <a:rPr lang="en-US" sz="1100"/>
            <a:t>The values are in percentages, with the most important stat being 100%. If a subsequent stat was stated on prydwen to be &gt;= (less or equal) of the previous stat, I subtracted 1% of the previous value. If a subsequent stat was stated to be &gt; (less) important I subtracted 10% from the previous value.</a:t>
          </a:r>
        </a:p>
        <a:p>
          <a:endParaRPr lang="en-US" sz="1100"/>
        </a:p>
        <a:p>
          <a:r>
            <a:rPr lang="en-US" sz="1100"/>
            <a:t>The priority columns start with a priority of 0 (meaning this is the recommended set for the character). This value increases by 1 for each subsequent priority.</a:t>
          </a:r>
        </a:p>
        <a:p>
          <a:endParaRPr lang="en-US" sz="1100"/>
        </a:p>
        <a:p>
          <a:r>
            <a:rPr lang="en-US" sz="1100"/>
            <a:t>You can fine tune which characters you want to show (or how many priorities per character you want to show) on the "characters" tab/sheet. By default all characters have the value -1 next to it. -1 means that the character is shown in every set they can use. By setting this value to -2 you can completely hide this character. By setting the value to 0 only the most recommended sets are shown.(1 shows the 2 most recommended sets and so on). As I don't quite know how google docs works with changes on the sheet you most likely want to download a copy of the sheet to your local computer and change your values there.</a:t>
          </a:r>
        </a:p>
        <a:p>
          <a:endParaRPr lang="en-US" sz="1100"/>
        </a:p>
        <a:p>
          <a:r>
            <a:rPr lang="en-US" sz="1100"/>
            <a:t>Disclaimer: I don't claim that all this data is 100% correct (errors (either by me or by prydwen) can always appear or a future character might use preexisting relics with other stats). Please use your own judgment when trashing relics. I take no responsibility if you trashed a good relic because of the data provided here.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prydwen.gg/" TargetMode="External"/><Relationship Id="rId2" Type="http://schemas.openxmlformats.org/officeDocument/2006/relationships/hyperlink" Target="https://github.com/Iluntrin/hoyo-equipment-overview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743"/>
  <sheetViews>
    <sheetView tabSelected="1" workbookViewId="0"/>
  </sheetViews>
  <sheetFormatPr defaultRowHeight="15"/>
  <cols>
    <col min="1" max="1" width="43" bestFit="1" customWidth="1"/>
    <col min="2" max="2" width="50.140625" bestFit="1" customWidth="1"/>
    <col min="3" max="7" width="16.28515625" bestFit="1" customWidth="1"/>
    <col min="8" max="9" width="14.42578125" bestFit="1" customWidth="1"/>
    <col min="10" max="12" width="14" bestFit="1" customWidth="1"/>
    <col min="13" max="13" width="9.5703125" bestFit="1" customWidth="1"/>
    <col min="14" max="14" width="9.28515625" bestFit="1" customWidth="1"/>
  </cols>
  <sheetData>
    <row r="1" spans="1:5">
      <c r="A1" s="1" t="s">
        <v>6</v>
      </c>
      <c r="B1" s="1"/>
      <c r="C1" s="1"/>
      <c r="D1" s="1"/>
      <c r="E1" s="1"/>
    </row>
    <row r="2" spans="1:5">
      <c r="A2" t="s">
        <v>0</v>
      </c>
      <c r="B2" t="s">
        <v>1</v>
      </c>
    </row>
    <row r="3" spans="1:5">
      <c r="A3" t="s">
        <v>2</v>
      </c>
      <c r="B3" s="2" t="s">
        <v>3</v>
      </c>
    </row>
    <row r="4" spans="1:5">
      <c r="A4" t="s">
        <v>4</v>
      </c>
      <c r="B4" s="2" t="s">
        <v>5</v>
      </c>
    </row>
    <row r="26" spans="1:15">
      <c r="A26" s="3" t="s">
        <v>7</v>
      </c>
    </row>
    <row r="27" spans="1:15">
      <c r="A27" s="3" t="s">
        <v>8</v>
      </c>
      <c r="B27" s="3" t="s">
        <v>9</v>
      </c>
      <c r="C27" s="3" t="s">
        <v>10</v>
      </c>
      <c r="D27" s="3" t="s">
        <v>11</v>
      </c>
      <c r="E27" s="3" t="s">
        <v>12</v>
      </c>
      <c r="F27" s="3" t="s">
        <v>13</v>
      </c>
      <c r="G27" s="3" t="s">
        <v>14</v>
      </c>
      <c r="H27" s="3" t="s">
        <v>15</v>
      </c>
      <c r="I27" s="3" t="s">
        <v>16</v>
      </c>
      <c r="J27" s="3" t="s">
        <v>17</v>
      </c>
      <c r="K27" s="3" t="s">
        <v>18</v>
      </c>
      <c r="L27" s="3" t="s">
        <v>19</v>
      </c>
      <c r="M27" s="3" t="s">
        <v>20</v>
      </c>
      <c r="N27" s="3" t="s">
        <v>21</v>
      </c>
    </row>
    <row r="28" spans="1:15">
      <c r="A28" s="4" t="s">
        <v>22</v>
      </c>
      <c r="B28" s="5" t="s">
        <v>23</v>
      </c>
      <c r="C28" s="6">
        <f>IF(SUM(O29:O53)=0,0,SUM(C29:C53)/SUM(O29:O53))</f>
        <v/>
      </c>
      <c r="D28" s="6">
        <f>IF(SUM(O29:O53)=0,0,SUM(D29:D53)/SUM(O29:O53))</f>
        <v/>
      </c>
      <c r="E28" s="6">
        <f>IF(SUM(O29:O53)=0,0,SUM(E29:E53)/SUM(O29:O53))</f>
        <v/>
      </c>
      <c r="F28" s="6">
        <f>IF(SUM(O29:O53)=0,0,SUM(F29:F53)/SUM(O29:O53))</f>
        <v/>
      </c>
      <c r="G28" s="6">
        <f>IF(SUM(O29:O53)=0,0,SUM(G29:G53)/SUM(O29:O53))</f>
        <v/>
      </c>
      <c r="H28" s="6">
        <f>IF(SUM(O29:O53)=0,0,SUM(H29:H53)/SUM(O29:O53))</f>
        <v/>
      </c>
      <c r="I28" s="6">
        <f>IF(SUM(O29:O53)=0,0,SUM(I29:I53)/SUM(O29:O53))</f>
        <v/>
      </c>
      <c r="J28" s="6">
        <f>IF(SUM(O29:O53)=0,0,SUM(J29:J53)/SUM(O29:O53))</f>
        <v/>
      </c>
      <c r="K28" s="6">
        <f>IF(SUM(O29:O53)=0,0,SUM(K29:K53)/SUM(O29:O53))</f>
        <v/>
      </c>
      <c r="L28" s="6">
        <f>IF(SUM(O29:O53)=0,0,SUM(L29:L53)/SUM(O29:O53))</f>
        <v/>
      </c>
      <c r="M28" s="6">
        <f>IF(SUM(O29:O53)=0,0,SUM(M29:M53)/SUM(O29:O53))</f>
        <v/>
      </c>
      <c r="N28" s="6">
        <f>IF(SUM(O29:O53)=0,0,SUM(N29:N53)/SUM(O29:O53))</f>
        <v/>
      </c>
    </row>
    <row r="29" spans="1:15">
      <c r="A29" s="4" t="s">
        <v>24</v>
      </c>
      <c r="B29" s="7">
        <v>0</v>
      </c>
      <c r="C29" s="6">
        <f>IF(O29=1,1.0,0)</f>
        <v/>
      </c>
      <c r="D29" s="6">
        <f>IF(O29=1,0.8,0)</f>
        <v/>
      </c>
      <c r="E29" s="5" t="s">
        <v>23</v>
      </c>
      <c r="F29" s="5" t="s">
        <v>23</v>
      </c>
      <c r="G29" s="6">
        <f>IF(O29=1,0.9,0)</f>
        <v/>
      </c>
      <c r="H29" s="6">
        <f>IF(O29=1,0.9,0)</f>
        <v/>
      </c>
      <c r="I29" s="5" t="s">
        <v>23</v>
      </c>
      <c r="J29" s="5" t="s">
        <v>23</v>
      </c>
      <c r="K29" s="5" t="s">
        <v>23</v>
      </c>
      <c r="L29" s="5" t="s">
        <v>23</v>
      </c>
      <c r="M29" s="5" t="s">
        <v>23</v>
      </c>
      <c r="N29" s="5" t="s">
        <v>23</v>
      </c>
      <c r="O29" s="8">
        <f>IF(OR(LOOKUP(A29,characters!A:A,characters!B:B)=-1, LOOKUP(A29,characters!A:A,characters!B:B)+0.1&gt;=B29),1,0)</f>
        <v/>
      </c>
    </row>
    <row r="30" spans="1:15">
      <c r="A30" s="4" t="s">
        <v>25</v>
      </c>
      <c r="B30" s="7">
        <v>0</v>
      </c>
      <c r="C30" s="6">
        <f>IF(O30=1,0.99,0)</f>
        <v/>
      </c>
      <c r="D30" s="6">
        <f>IF(O30=1,0.69,0)</f>
        <v/>
      </c>
      <c r="E30" s="6">
        <f>IF(O30=1,1.0,0)</f>
        <v/>
      </c>
      <c r="F30" s="5" t="s">
        <v>23</v>
      </c>
      <c r="G30" s="5" t="s">
        <v>23</v>
      </c>
      <c r="H30" s="5" t="s">
        <v>23</v>
      </c>
      <c r="I30" s="5" t="s">
        <v>23</v>
      </c>
      <c r="J30" s="5" t="s">
        <v>23</v>
      </c>
      <c r="K30" s="5" t="s">
        <v>23</v>
      </c>
      <c r="L30" s="6">
        <f>IF(O30=1,0.89,0)</f>
        <v/>
      </c>
      <c r="M30" s="5" t="s">
        <v>23</v>
      </c>
      <c r="N30" s="6">
        <f>IF(O30=1,0.79,0)</f>
        <v/>
      </c>
      <c r="O30" s="8">
        <f>IF(OR(LOOKUP(A30,characters!A:A,characters!B:B)=-1, LOOKUP(A30,characters!A:A,characters!B:B)+0.1&gt;=B30),1,0)</f>
        <v/>
      </c>
    </row>
    <row r="31" spans="1:15">
      <c r="A31" s="4" t="s">
        <v>26</v>
      </c>
      <c r="B31" s="7">
        <v>0</v>
      </c>
      <c r="C31" s="6">
        <f>IF(O31=1,1.0,0)</f>
        <v/>
      </c>
      <c r="D31" s="6">
        <f>IF(O31=1,0.8,0)</f>
        <v/>
      </c>
      <c r="E31" s="6">
        <f>IF(O31=1,0.8,0)</f>
        <v/>
      </c>
      <c r="F31" s="6">
        <f>IF(O31=1,0.9,0)</f>
        <v/>
      </c>
      <c r="G31" s="5" t="s">
        <v>23</v>
      </c>
      <c r="H31" s="5" t="s">
        <v>23</v>
      </c>
      <c r="I31" s="5" t="s">
        <v>23</v>
      </c>
      <c r="J31" s="5" t="s">
        <v>23</v>
      </c>
      <c r="K31" s="5" t="s">
        <v>23</v>
      </c>
      <c r="L31" s="5" t="s">
        <v>23</v>
      </c>
      <c r="M31" s="5" t="s">
        <v>23</v>
      </c>
      <c r="N31" s="5" t="s">
        <v>23</v>
      </c>
      <c r="O31" s="8">
        <f>IF(OR(LOOKUP(A31,characters!A:A,characters!B:B)=-1, LOOKUP(A31,characters!A:A,characters!B:B)+0.1&gt;=B31),1,0)</f>
        <v/>
      </c>
    </row>
    <row r="32" spans="1:15">
      <c r="A32" s="4" t="s">
        <v>27</v>
      </c>
      <c r="B32" s="7">
        <v>0</v>
      </c>
      <c r="C32" s="6">
        <f>IF(O32=1,1.0,0)</f>
        <v/>
      </c>
      <c r="D32" s="6">
        <f>IF(O32=1,0.7,0)</f>
        <v/>
      </c>
      <c r="E32" s="5" t="s">
        <v>23</v>
      </c>
      <c r="F32" s="5" t="s">
        <v>23</v>
      </c>
      <c r="G32" s="6">
        <f>IF(O32=1,0.8,0)</f>
        <v/>
      </c>
      <c r="H32" s="6">
        <f>IF(O32=1,0.8,0)</f>
        <v/>
      </c>
      <c r="I32" s="5" t="s">
        <v>23</v>
      </c>
      <c r="J32" s="5" t="s">
        <v>23</v>
      </c>
      <c r="K32" s="5" t="s">
        <v>23</v>
      </c>
      <c r="L32" s="6">
        <f>IF(O32=1,0.9,0)</f>
        <v/>
      </c>
      <c r="M32" s="5" t="s">
        <v>23</v>
      </c>
      <c r="N32" s="5" t="s">
        <v>23</v>
      </c>
      <c r="O32" s="8">
        <f>IF(OR(LOOKUP(A32,characters!A:A,characters!B:B)=-1, LOOKUP(A32,characters!A:A,characters!B:B)+0.1&gt;=B32),1,0)</f>
        <v/>
      </c>
    </row>
    <row r="33" spans="1:15">
      <c r="A33" s="4" t="s">
        <v>28</v>
      </c>
      <c r="B33" s="7">
        <v>0</v>
      </c>
      <c r="C33" s="6">
        <f>IF(O33=1,1.0,0)</f>
        <v/>
      </c>
      <c r="D33" s="6">
        <f>IF(O33=1,0.89,0)</f>
        <v/>
      </c>
      <c r="E33" s="6">
        <f>IF(O33=1,0.99,0)</f>
        <v/>
      </c>
      <c r="F33" s="6">
        <f>IF(O33=1,1.0,0)</f>
        <v/>
      </c>
      <c r="G33" s="5" t="s">
        <v>23</v>
      </c>
      <c r="H33" s="5" t="s">
        <v>23</v>
      </c>
      <c r="I33" s="5" t="s">
        <v>23</v>
      </c>
      <c r="J33" s="5" t="s">
        <v>23</v>
      </c>
      <c r="K33" s="5" t="s">
        <v>23</v>
      </c>
      <c r="L33" s="5" t="s">
        <v>23</v>
      </c>
      <c r="M33" s="5" t="s">
        <v>23</v>
      </c>
      <c r="N33" s="5" t="s">
        <v>23</v>
      </c>
      <c r="O33" s="8">
        <f>IF(OR(LOOKUP(A33,characters!A:A,characters!B:B)=-1, LOOKUP(A33,characters!A:A,characters!B:B)+0.1&gt;=B33),1,0)</f>
        <v/>
      </c>
    </row>
    <row r="34" spans="1:15">
      <c r="A34" s="4" t="s">
        <v>29</v>
      </c>
      <c r="B34" s="7">
        <v>0</v>
      </c>
      <c r="C34" s="6">
        <f>IF(O34=1,1.0,0)</f>
        <v/>
      </c>
      <c r="D34" s="6">
        <f>IF(O34=1,0.8,0)</f>
        <v/>
      </c>
      <c r="E34" s="6">
        <f>IF(O34=1,0.7,0)</f>
        <v/>
      </c>
      <c r="F34" s="6">
        <f>IF(O34=1,0.7,0)</f>
        <v/>
      </c>
      <c r="G34" s="5" t="s">
        <v>23</v>
      </c>
      <c r="H34" s="5" t="s">
        <v>23</v>
      </c>
      <c r="I34" s="5" t="s">
        <v>23</v>
      </c>
      <c r="J34" s="5" t="s">
        <v>23</v>
      </c>
      <c r="K34" s="6">
        <f>IF(O34=1,0.9,0)</f>
        <v/>
      </c>
      <c r="L34" s="5" t="s">
        <v>23</v>
      </c>
      <c r="M34" s="5" t="s">
        <v>23</v>
      </c>
      <c r="N34" s="5" t="s">
        <v>23</v>
      </c>
      <c r="O34" s="8">
        <f>IF(OR(LOOKUP(A34,characters!A:A,characters!B:B)=-1, LOOKUP(A34,characters!A:A,characters!B:B)+0.1&gt;=B34),1,0)</f>
        <v/>
      </c>
    </row>
    <row r="35" spans="1:15">
      <c r="A35" s="4" t="s">
        <v>30</v>
      </c>
      <c r="B35" s="7">
        <v>0</v>
      </c>
      <c r="C35" s="6">
        <f>IF(O35=1,1.0,0)</f>
        <v/>
      </c>
      <c r="D35" s="6">
        <f>IF(O35=1,0.9,0)</f>
        <v/>
      </c>
      <c r="E35" s="6">
        <f>IF(O35=1,1.0,0)</f>
        <v/>
      </c>
      <c r="F35" s="6">
        <f>IF(O35=1,0.9,0)</f>
        <v/>
      </c>
      <c r="G35" s="5" t="s">
        <v>23</v>
      </c>
      <c r="H35" s="5" t="s">
        <v>23</v>
      </c>
      <c r="I35" s="5" t="s">
        <v>23</v>
      </c>
      <c r="J35" s="5" t="s">
        <v>23</v>
      </c>
      <c r="K35" s="5" t="s">
        <v>23</v>
      </c>
      <c r="L35" s="5" t="s">
        <v>23</v>
      </c>
      <c r="M35" s="5" t="s">
        <v>23</v>
      </c>
      <c r="N35" s="5" t="s">
        <v>23</v>
      </c>
      <c r="O35" s="8">
        <f>IF(OR(LOOKUP(A35,characters!A:A,characters!B:B)=-1, LOOKUP(A35,characters!A:A,characters!B:B)+0.1&gt;=B35),1,0)</f>
        <v/>
      </c>
    </row>
    <row r="36" spans="1:15">
      <c r="A36" s="4" t="s">
        <v>31</v>
      </c>
      <c r="B36" s="7">
        <v>0</v>
      </c>
      <c r="C36" s="6">
        <f>IF(O36=1,0.9,0)</f>
        <v/>
      </c>
      <c r="D36" s="5" t="s">
        <v>23</v>
      </c>
      <c r="E36" s="6">
        <f>IF(O36=1,0.7,0)</f>
        <v/>
      </c>
      <c r="F36" s="6">
        <f>IF(O36=1,0.7,0)</f>
        <v/>
      </c>
      <c r="G36" s="5" t="s">
        <v>23</v>
      </c>
      <c r="H36" s="5" t="s">
        <v>23</v>
      </c>
      <c r="I36" s="6">
        <f>IF(O36=1,1.0,0)</f>
        <v/>
      </c>
      <c r="J36" s="6">
        <f>IF(O36=1,0.8,0)</f>
        <v/>
      </c>
      <c r="K36" s="6">
        <f>IF(O36=1,0.7,0)</f>
        <v/>
      </c>
      <c r="L36" s="5" t="s">
        <v>23</v>
      </c>
      <c r="M36" s="5" t="s">
        <v>23</v>
      </c>
      <c r="N36" s="5" t="s">
        <v>23</v>
      </c>
      <c r="O36" s="8">
        <f>IF(OR(LOOKUP(A36,characters!A:A,characters!B:B)=-1, LOOKUP(A36,characters!A:A,characters!B:B)+0.1&gt;=B36),1,0)</f>
        <v/>
      </c>
    </row>
    <row r="37" spans="1:15">
      <c r="A37" s="4" t="s">
        <v>32</v>
      </c>
      <c r="B37" s="7">
        <v>0</v>
      </c>
      <c r="C37" s="6">
        <f>IF(O37=1,1.0,0)</f>
        <v/>
      </c>
      <c r="D37" s="6">
        <f>IF(O37=1,0.8,0)</f>
        <v/>
      </c>
      <c r="E37" s="5" t="s">
        <v>23</v>
      </c>
      <c r="F37" s="5" t="s">
        <v>23</v>
      </c>
      <c r="G37" s="6">
        <f>IF(O37=1,0.9,0)</f>
        <v/>
      </c>
      <c r="H37" s="6">
        <f>IF(O37=1,0.9,0)</f>
        <v/>
      </c>
      <c r="I37" s="5" t="s">
        <v>23</v>
      </c>
      <c r="J37" s="5" t="s">
        <v>23</v>
      </c>
      <c r="K37" s="6">
        <f>IF(O37=1,0.8,0)</f>
        <v/>
      </c>
      <c r="L37" s="5" t="s">
        <v>23</v>
      </c>
      <c r="M37" s="5" t="s">
        <v>23</v>
      </c>
      <c r="N37" s="5" t="s">
        <v>23</v>
      </c>
      <c r="O37" s="8">
        <f>IF(OR(LOOKUP(A37,characters!A:A,characters!B:B)=-1, LOOKUP(A37,characters!A:A,characters!B:B)+0.1&gt;=B37),1,0)</f>
        <v/>
      </c>
    </row>
    <row r="38" spans="1:15">
      <c r="A38" s="4" t="s">
        <v>33</v>
      </c>
      <c r="B38" s="7">
        <v>0</v>
      </c>
      <c r="C38" s="6">
        <f>IF(O38=1,1.0,0)</f>
        <v/>
      </c>
      <c r="D38" s="6">
        <f>IF(O38=1,0.8,0)</f>
        <v/>
      </c>
      <c r="E38" s="6">
        <f>IF(O38=1,0.8,0)</f>
        <v/>
      </c>
      <c r="F38" s="6">
        <f>IF(O38=1,0.9,0)</f>
        <v/>
      </c>
      <c r="G38" s="5" t="s">
        <v>23</v>
      </c>
      <c r="H38" s="5" t="s">
        <v>23</v>
      </c>
      <c r="I38" s="5" t="s">
        <v>23</v>
      </c>
      <c r="J38" s="5" t="s">
        <v>23</v>
      </c>
      <c r="K38" s="5" t="s">
        <v>23</v>
      </c>
      <c r="L38" s="5" t="s">
        <v>23</v>
      </c>
      <c r="M38" s="5" t="s">
        <v>23</v>
      </c>
      <c r="N38" s="5" t="s">
        <v>23</v>
      </c>
      <c r="O38" s="8">
        <f>IF(OR(LOOKUP(A38,characters!A:A,characters!B:B)=-1, LOOKUP(A38,characters!A:A,characters!B:B)+0.1&gt;=B38),1,0)</f>
        <v/>
      </c>
    </row>
    <row r="39" spans="1:15">
      <c r="A39" s="4" t="s">
        <v>34</v>
      </c>
      <c r="B39" s="7">
        <v>0</v>
      </c>
      <c r="C39" s="6">
        <f>IF(O39=1,0.9,0)</f>
        <v/>
      </c>
      <c r="D39" s="5" t="s">
        <v>23</v>
      </c>
      <c r="E39" s="5" t="s">
        <v>23</v>
      </c>
      <c r="F39" s="5" t="s">
        <v>23</v>
      </c>
      <c r="G39" s="5" t="s">
        <v>23</v>
      </c>
      <c r="H39" s="5" t="s">
        <v>23</v>
      </c>
      <c r="I39" s="6">
        <f>IF(O39=1,1.0,0)</f>
        <v/>
      </c>
      <c r="J39" s="6">
        <f>IF(O39=1,0.8,0)</f>
        <v/>
      </c>
      <c r="K39" s="5" t="s">
        <v>23</v>
      </c>
      <c r="L39" s="5" t="s">
        <v>23</v>
      </c>
      <c r="M39" s="5" t="s">
        <v>23</v>
      </c>
      <c r="N39" s="5" t="s">
        <v>23</v>
      </c>
      <c r="O39" s="8">
        <f>IF(OR(LOOKUP(A39,characters!A:A,characters!B:B)=-1, LOOKUP(A39,characters!A:A,characters!B:B)+0.1&gt;=B39),1,0)</f>
        <v/>
      </c>
    </row>
    <row r="40" spans="1:15">
      <c r="A40" s="4" t="s">
        <v>35</v>
      </c>
      <c r="B40" s="7">
        <v>0</v>
      </c>
      <c r="C40" s="6">
        <f>IF(O40=1,1.0,0)</f>
        <v/>
      </c>
      <c r="D40" s="5" t="s">
        <v>23</v>
      </c>
      <c r="E40" s="5" t="s">
        <v>23</v>
      </c>
      <c r="F40" s="5" t="s">
        <v>23</v>
      </c>
      <c r="G40" s="5" t="s">
        <v>23</v>
      </c>
      <c r="H40" s="5" t="s">
        <v>23</v>
      </c>
      <c r="I40" s="5" t="s">
        <v>23</v>
      </c>
      <c r="J40" s="6">
        <f>IF(O40=1,0.89,0)</f>
        <v/>
      </c>
      <c r="K40" s="5" t="s">
        <v>23</v>
      </c>
      <c r="L40" s="5" t="s">
        <v>23</v>
      </c>
      <c r="M40" s="6">
        <f>IF(O40=1,0.9,0)</f>
        <v/>
      </c>
      <c r="N40" s="5" t="s">
        <v>23</v>
      </c>
      <c r="O40" s="8">
        <f>IF(OR(LOOKUP(A40,characters!A:A,characters!B:B)=-1, LOOKUP(A40,characters!A:A,characters!B:B)+0.1&gt;=B40),1,0)</f>
        <v/>
      </c>
    </row>
    <row r="41" spans="1:15">
      <c r="A41" s="4" t="s">
        <v>36</v>
      </c>
      <c r="B41" s="7">
        <v>0</v>
      </c>
      <c r="C41" s="6">
        <f>IF(O41=1,1.0,0)</f>
        <v/>
      </c>
      <c r="D41" s="6">
        <f>IF(O41=1,0.7,0)</f>
        <v/>
      </c>
      <c r="E41" s="6">
        <f>IF(O41=1,0.8,0)</f>
        <v/>
      </c>
      <c r="F41" s="6">
        <f>IF(O41=1,0.8,0)</f>
        <v/>
      </c>
      <c r="G41" s="5" t="s">
        <v>23</v>
      </c>
      <c r="H41" s="5" t="s">
        <v>23</v>
      </c>
      <c r="I41" s="5" t="s">
        <v>23</v>
      </c>
      <c r="J41" s="6">
        <f>IF(O41=1,0.9,0)</f>
        <v/>
      </c>
      <c r="K41" s="5" t="s">
        <v>23</v>
      </c>
      <c r="L41" s="5" t="s">
        <v>23</v>
      </c>
      <c r="M41" s="5" t="s">
        <v>23</v>
      </c>
      <c r="N41" s="5" t="s">
        <v>23</v>
      </c>
      <c r="O41" s="8">
        <f>IF(OR(LOOKUP(A41,characters!A:A,characters!B:B)=-1, LOOKUP(A41,characters!A:A,characters!B:B)+0.1&gt;=B41),1,0)</f>
        <v/>
      </c>
    </row>
    <row r="42" spans="1:15">
      <c r="A42" s="4" t="s">
        <v>37</v>
      </c>
      <c r="B42" s="7">
        <v>0</v>
      </c>
      <c r="C42" s="6">
        <f>IF(O42=1,1.0,0)</f>
        <v/>
      </c>
      <c r="D42" s="6">
        <f>IF(O42=1,0.8,0)</f>
        <v/>
      </c>
      <c r="E42" s="6">
        <f>IF(O42=1,0.7,0)</f>
        <v/>
      </c>
      <c r="F42" s="6">
        <f>IF(O42=1,0.9,0)</f>
        <v/>
      </c>
      <c r="G42" s="5" t="s">
        <v>23</v>
      </c>
      <c r="H42" s="5" t="s">
        <v>23</v>
      </c>
      <c r="I42" s="5" t="s">
        <v>23</v>
      </c>
      <c r="J42" s="5" t="s">
        <v>23</v>
      </c>
      <c r="K42" s="5" t="s">
        <v>23</v>
      </c>
      <c r="L42" s="5" t="s">
        <v>23</v>
      </c>
      <c r="M42" s="5" t="s">
        <v>23</v>
      </c>
      <c r="N42" s="5" t="s">
        <v>23</v>
      </c>
      <c r="O42" s="8">
        <f>IF(OR(LOOKUP(A42,characters!A:A,characters!B:B)=-1, LOOKUP(A42,characters!A:A,characters!B:B)+0.1&gt;=B42),1,0)</f>
        <v/>
      </c>
    </row>
    <row r="43" spans="1:15">
      <c r="A43" s="4" t="s">
        <v>38</v>
      </c>
      <c r="B43" s="7">
        <v>0</v>
      </c>
      <c r="C43" s="6">
        <f>IF(O43=1,1.0,0)</f>
        <v/>
      </c>
      <c r="D43" s="6">
        <f>IF(O43=1,0.8,0)</f>
        <v/>
      </c>
      <c r="E43" s="6">
        <f>IF(O43=1,0.9,0)</f>
        <v/>
      </c>
      <c r="F43" s="6">
        <f>IF(O43=1,0.8,0)</f>
        <v/>
      </c>
      <c r="G43" s="5" t="s">
        <v>23</v>
      </c>
      <c r="H43" s="5" t="s">
        <v>23</v>
      </c>
      <c r="I43" s="6">
        <f>IF(O43=1,1.0,0)</f>
        <v/>
      </c>
      <c r="J43" s="5" t="s">
        <v>23</v>
      </c>
      <c r="K43" s="5" t="s">
        <v>23</v>
      </c>
      <c r="L43" s="5" t="s">
        <v>23</v>
      </c>
      <c r="M43" s="5" t="s">
        <v>23</v>
      </c>
      <c r="N43" s="5" t="s">
        <v>23</v>
      </c>
      <c r="O43" s="8">
        <f>IF(OR(LOOKUP(A43,characters!A:A,characters!B:B)=-1, LOOKUP(A43,characters!A:A,characters!B:B)+0.1&gt;=B43),1,0)</f>
        <v/>
      </c>
    </row>
    <row r="44" spans="1:15">
      <c r="A44" s="4" t="s">
        <v>39</v>
      </c>
      <c r="B44" s="7">
        <v>0</v>
      </c>
      <c r="C44" s="6">
        <f>IF(O44=1,1.0,0)</f>
        <v/>
      </c>
      <c r="D44" s="6">
        <f>IF(O44=1,0.8,0)</f>
        <v/>
      </c>
      <c r="E44" s="6">
        <f>IF(O44=1,0.8,0)</f>
        <v/>
      </c>
      <c r="F44" s="6">
        <f>IF(O44=1,0.9,0)</f>
        <v/>
      </c>
      <c r="G44" s="5" t="s">
        <v>23</v>
      </c>
      <c r="H44" s="5" t="s">
        <v>23</v>
      </c>
      <c r="I44" s="5" t="s">
        <v>23</v>
      </c>
      <c r="J44" s="5" t="s">
        <v>23</v>
      </c>
      <c r="K44" s="5" t="s">
        <v>23</v>
      </c>
      <c r="L44" s="5" t="s">
        <v>23</v>
      </c>
      <c r="M44" s="5" t="s">
        <v>23</v>
      </c>
      <c r="N44" s="5" t="s">
        <v>23</v>
      </c>
      <c r="O44" s="8">
        <f>IF(OR(LOOKUP(A44,characters!A:A,characters!B:B)=-1, LOOKUP(A44,characters!A:A,characters!B:B)+0.1&gt;=B44),1,0)</f>
        <v/>
      </c>
    </row>
    <row r="45" spans="1:15">
      <c r="A45" s="4" t="s">
        <v>40</v>
      </c>
      <c r="B45" s="7">
        <v>0</v>
      </c>
      <c r="C45" s="6">
        <f>IF(O45=1,1.0,0)</f>
        <v/>
      </c>
      <c r="D45" s="6">
        <f>IF(O45=1,0.8,0)</f>
        <v/>
      </c>
      <c r="E45" s="5" t="s">
        <v>23</v>
      </c>
      <c r="F45" s="5" t="s">
        <v>23</v>
      </c>
      <c r="G45" s="6">
        <f>IF(O45=1,0.9,0)</f>
        <v/>
      </c>
      <c r="H45" s="6">
        <f>IF(O45=1,0.9,0)</f>
        <v/>
      </c>
      <c r="I45" s="6">
        <f>IF(O45=1,1.0,0)</f>
        <v/>
      </c>
      <c r="J45" s="5" t="s">
        <v>23</v>
      </c>
      <c r="K45" s="5" t="s">
        <v>23</v>
      </c>
      <c r="L45" s="5" t="s">
        <v>23</v>
      </c>
      <c r="M45" s="5" t="s">
        <v>23</v>
      </c>
      <c r="N45" s="5" t="s">
        <v>23</v>
      </c>
      <c r="O45" s="8">
        <f>IF(OR(LOOKUP(A45,characters!A:A,characters!B:B)=-1, LOOKUP(A45,characters!A:A,characters!B:B)+0.1&gt;=B45),1,0)</f>
        <v/>
      </c>
    </row>
    <row r="46" spans="1:15">
      <c r="A46" s="4" t="s">
        <v>41</v>
      </c>
      <c r="B46" s="7">
        <v>0</v>
      </c>
      <c r="C46" s="6">
        <f>IF(O46=1,0.99,0)</f>
        <v/>
      </c>
      <c r="D46" s="5" t="s">
        <v>23</v>
      </c>
      <c r="E46" s="6">
        <f>IF(O46=1,0.89,0)</f>
        <v/>
      </c>
      <c r="F46" s="6">
        <f>IF(O46=1,0.89,0)</f>
        <v/>
      </c>
      <c r="G46" s="5" t="s">
        <v>23</v>
      </c>
      <c r="H46" s="5" t="s">
        <v>23</v>
      </c>
      <c r="I46" s="5" t="s">
        <v>23</v>
      </c>
      <c r="J46" s="6">
        <f>IF(O46=1,1.0,0)</f>
        <v/>
      </c>
      <c r="K46" s="5" t="s">
        <v>23</v>
      </c>
      <c r="L46" s="5" t="s">
        <v>23</v>
      </c>
      <c r="M46" s="5" t="s">
        <v>23</v>
      </c>
      <c r="N46" s="5" t="s">
        <v>23</v>
      </c>
      <c r="O46" s="8">
        <f>IF(OR(LOOKUP(A46,characters!A:A,characters!B:B)=-1, LOOKUP(A46,characters!A:A,characters!B:B)+0.1&gt;=B46),1,0)</f>
        <v/>
      </c>
    </row>
    <row r="47" spans="1:15">
      <c r="A47" s="4" t="s">
        <v>42</v>
      </c>
      <c r="B47" s="7">
        <v>0</v>
      </c>
      <c r="C47" s="6">
        <f>IF(O47=1,0.9,0)</f>
        <v/>
      </c>
      <c r="D47" s="6">
        <f>IF(O47=1,0.7,0)</f>
        <v/>
      </c>
      <c r="E47" s="6">
        <f>IF(O47=1,0.8,0)</f>
        <v/>
      </c>
      <c r="F47" s="6">
        <f>IF(O47=1,0.8,0)</f>
        <v/>
      </c>
      <c r="G47" s="5" t="s">
        <v>23</v>
      </c>
      <c r="H47" s="5" t="s">
        <v>23</v>
      </c>
      <c r="I47" s="5" t="s">
        <v>23</v>
      </c>
      <c r="J47" s="5" t="s">
        <v>23</v>
      </c>
      <c r="K47" s="6">
        <f>IF(O47=1,1.0,0)</f>
        <v/>
      </c>
      <c r="L47" s="5" t="s">
        <v>23</v>
      </c>
      <c r="M47" s="5" t="s">
        <v>23</v>
      </c>
      <c r="N47" s="5" t="s">
        <v>23</v>
      </c>
      <c r="O47" s="8">
        <f>IF(OR(LOOKUP(A47,characters!A:A,characters!B:B)=-1, LOOKUP(A47,characters!A:A,characters!B:B)+0.1&gt;=B47),1,0)</f>
        <v/>
      </c>
    </row>
    <row r="48" spans="1:15">
      <c r="A48" s="4" t="s">
        <v>43</v>
      </c>
      <c r="B48" s="7">
        <v>0</v>
      </c>
      <c r="C48" s="6">
        <f>IF(O48=1,1.0,0)</f>
        <v/>
      </c>
      <c r="D48" s="6">
        <f>IF(O48=1,0.8,0)</f>
        <v/>
      </c>
      <c r="E48" s="5" t="s">
        <v>23</v>
      </c>
      <c r="F48" s="5" t="s">
        <v>23</v>
      </c>
      <c r="G48" s="6">
        <f>IF(O48=1,0.9,0)</f>
        <v/>
      </c>
      <c r="H48" s="6">
        <f>IF(O48=1,0.9,0)</f>
        <v/>
      </c>
      <c r="I48" s="6">
        <f>IF(O48=1,1.0,0)</f>
        <v/>
      </c>
      <c r="J48" s="5" t="s">
        <v>23</v>
      </c>
      <c r="K48" s="6">
        <f>IF(O48=1,0.9,0)</f>
        <v/>
      </c>
      <c r="L48" s="5" t="s">
        <v>23</v>
      </c>
      <c r="M48" s="5" t="s">
        <v>23</v>
      </c>
      <c r="N48" s="5" t="s">
        <v>23</v>
      </c>
      <c r="O48" s="8">
        <f>IF(OR(LOOKUP(A48,characters!A:A,characters!B:B)=-1, LOOKUP(A48,characters!A:A,characters!B:B)+0.1&gt;=B48),1,0)</f>
        <v/>
      </c>
    </row>
    <row r="49" spans="1:15">
      <c r="A49" s="4" t="s">
        <v>44</v>
      </c>
      <c r="B49" s="7">
        <v>0</v>
      </c>
      <c r="C49" s="6">
        <f>IF(O49=1,1.0,0)</f>
        <v/>
      </c>
      <c r="D49" s="6">
        <f>IF(O49=1,0.8,0)</f>
        <v/>
      </c>
      <c r="E49" s="5" t="s">
        <v>23</v>
      </c>
      <c r="F49" s="5" t="s">
        <v>23</v>
      </c>
      <c r="G49" s="6">
        <f>IF(O49=1,0.8,0)</f>
        <v/>
      </c>
      <c r="H49" s="6">
        <f>IF(O49=1,0.8,0)</f>
        <v/>
      </c>
      <c r="I49" s="5" t="s">
        <v>23</v>
      </c>
      <c r="J49" s="5" t="s">
        <v>23</v>
      </c>
      <c r="K49" s="5" t="s">
        <v>23</v>
      </c>
      <c r="L49" s="6">
        <f>IF(O49=1,0.9,0)</f>
        <v/>
      </c>
      <c r="M49" s="5" t="s">
        <v>23</v>
      </c>
      <c r="N49" s="5" t="s">
        <v>23</v>
      </c>
      <c r="O49" s="8">
        <f>IF(OR(LOOKUP(A49,characters!A:A,characters!B:B)=-1, LOOKUP(A49,characters!A:A,characters!B:B)+0.1&gt;=B49),1,0)</f>
        <v/>
      </c>
    </row>
    <row r="50" spans="1:15">
      <c r="A50" s="4" t="s">
        <v>45</v>
      </c>
      <c r="B50" s="7">
        <v>0</v>
      </c>
      <c r="C50" s="6">
        <f>IF(O50=1,1.0,0)</f>
        <v/>
      </c>
      <c r="D50" s="6">
        <f>IF(O50=1,0.8,0)</f>
        <v/>
      </c>
      <c r="E50" s="5" t="s">
        <v>23</v>
      </c>
      <c r="F50" s="5" t="s">
        <v>23</v>
      </c>
      <c r="G50" s="6">
        <f>IF(O50=1,0.9,0)</f>
        <v/>
      </c>
      <c r="H50" s="6">
        <f>IF(O50=1,0.9,0)</f>
        <v/>
      </c>
      <c r="I50" s="5" t="s">
        <v>23</v>
      </c>
      <c r="J50" s="6">
        <f>IF(O50=1,1.0,0)</f>
        <v/>
      </c>
      <c r="K50" s="5" t="s">
        <v>23</v>
      </c>
      <c r="L50" s="5" t="s">
        <v>23</v>
      </c>
      <c r="M50" s="5" t="s">
        <v>23</v>
      </c>
      <c r="N50" s="5" t="s">
        <v>23</v>
      </c>
      <c r="O50" s="8">
        <f>IF(OR(LOOKUP(A50,characters!A:A,characters!B:B)=-1, LOOKUP(A50,characters!A:A,characters!B:B)+0.1&gt;=B50),1,0)</f>
        <v/>
      </c>
    </row>
    <row r="51" spans="1:15">
      <c r="A51" s="4" t="s">
        <v>46</v>
      </c>
      <c r="B51" s="7">
        <v>0</v>
      </c>
      <c r="C51" s="6">
        <f>IF(O51=1,1.0,0)</f>
        <v/>
      </c>
      <c r="D51" s="5" t="s">
        <v>23</v>
      </c>
      <c r="E51" s="6">
        <f>IF(O51=1,0.9,0)</f>
        <v/>
      </c>
      <c r="F51" s="6">
        <f>IF(O51=1,0.9,0)</f>
        <v/>
      </c>
      <c r="G51" s="5" t="s">
        <v>23</v>
      </c>
      <c r="H51" s="5" t="s">
        <v>23</v>
      </c>
      <c r="I51" s="5" t="s">
        <v>23</v>
      </c>
      <c r="J51" s="5" t="s">
        <v>23</v>
      </c>
      <c r="K51" s="6">
        <f>IF(O51=1,1.0,0)</f>
        <v/>
      </c>
      <c r="L51" s="5" t="s">
        <v>23</v>
      </c>
      <c r="M51" s="5" t="s">
        <v>23</v>
      </c>
      <c r="N51" s="5" t="s">
        <v>23</v>
      </c>
      <c r="O51" s="8">
        <f>IF(OR(LOOKUP(A51,characters!A:A,characters!B:B)=-1, LOOKUP(A51,characters!A:A,characters!B:B)+0.1&gt;=B51),1,0)</f>
        <v/>
      </c>
    </row>
    <row r="52" spans="1:15">
      <c r="A52" s="4" t="s">
        <v>47</v>
      </c>
      <c r="B52" s="7">
        <v>0</v>
      </c>
      <c r="C52" s="6">
        <f>IF(O52=1,0.9,0)</f>
        <v/>
      </c>
      <c r="D52" s="6">
        <f>IF(O52=1,1.0,0)</f>
        <v/>
      </c>
      <c r="E52" s="6">
        <f>IF(O52=1,0.8,0)</f>
        <v/>
      </c>
      <c r="F52" s="6">
        <f>IF(O52=1,0.7,0)</f>
        <v/>
      </c>
      <c r="G52" s="5" t="s">
        <v>23</v>
      </c>
      <c r="H52" s="5" t="s">
        <v>23</v>
      </c>
      <c r="I52" s="6">
        <f>IF(O52=1,0.6,0)</f>
        <v/>
      </c>
      <c r="J52" s="5" t="s">
        <v>23</v>
      </c>
      <c r="K52" s="5" t="s">
        <v>23</v>
      </c>
      <c r="L52" s="5" t="s">
        <v>23</v>
      </c>
      <c r="M52" s="5" t="s">
        <v>23</v>
      </c>
      <c r="N52" s="5" t="s">
        <v>23</v>
      </c>
      <c r="O52" s="8">
        <f>IF(OR(LOOKUP(A52,characters!A:A,characters!B:B)=-1, LOOKUP(A52,characters!A:A,characters!B:B)+0.1&gt;=B52),1,0)</f>
        <v/>
      </c>
    </row>
    <row r="53" spans="1:15">
      <c r="A53" s="4" t="s">
        <v>48</v>
      </c>
      <c r="B53" s="7">
        <v>0</v>
      </c>
      <c r="C53" s="6">
        <f>IF(O53=1,1.0,0)</f>
        <v/>
      </c>
      <c r="D53" s="6">
        <f>IF(O53=1,0.8,0)</f>
        <v/>
      </c>
      <c r="E53" s="5" t="s">
        <v>23</v>
      </c>
      <c r="F53" s="5" t="s">
        <v>23</v>
      </c>
      <c r="G53" s="6">
        <f>IF(O53=1,0.9,0)</f>
        <v/>
      </c>
      <c r="H53" s="6">
        <f>IF(O53=1,0.9,0)</f>
        <v/>
      </c>
      <c r="I53" s="5" t="s">
        <v>23</v>
      </c>
      <c r="J53" s="5" t="s">
        <v>23</v>
      </c>
      <c r="K53" s="5" t="s">
        <v>23</v>
      </c>
      <c r="L53" s="5" t="s">
        <v>23</v>
      </c>
      <c r="M53" s="5" t="s">
        <v>23</v>
      </c>
      <c r="N53" s="5" t="s">
        <v>23</v>
      </c>
      <c r="O53" s="8">
        <f>IF(OR(LOOKUP(A53,characters!A:A,characters!B:B)=-1, LOOKUP(A53,characters!A:A,characters!B:B)+0.1&gt;=B53),1,0)</f>
        <v/>
      </c>
    </row>
    <row r="55" spans="1:15">
      <c r="A55" s="3" t="s">
        <v>49</v>
      </c>
      <c r="B55" s="3" t="s">
        <v>9</v>
      </c>
      <c r="C55" s="3" t="s">
        <v>13</v>
      </c>
      <c r="D55" s="3" t="s">
        <v>12</v>
      </c>
      <c r="E55" s="3" t="s">
        <v>19</v>
      </c>
      <c r="F55" s="3" t="s">
        <v>50</v>
      </c>
      <c r="G55" s="3" t="s">
        <v>17</v>
      </c>
      <c r="H55" s="3" t="s">
        <v>16</v>
      </c>
      <c r="I55" s="3" t="s">
        <v>51</v>
      </c>
      <c r="J55" s="3" t="s">
        <v>21</v>
      </c>
    </row>
    <row r="56" spans="1:15">
      <c r="A56" s="4" t="s">
        <v>22</v>
      </c>
      <c r="B56" s="5" t="s">
        <v>23</v>
      </c>
      <c r="C56" s="6">
        <f>IF(SUM(K57:K81)=0,0,SUM(C57:C81)/SUM(K57:K81))</f>
        <v/>
      </c>
      <c r="D56" s="6">
        <f>IF(SUM(K57:K81)=0,0,SUM(D57:D81)/SUM(K57:K81))</f>
        <v/>
      </c>
      <c r="E56" s="6">
        <f>IF(SUM(K57:K81)=0,0,SUM(E57:E81)/SUM(K57:K81))</f>
        <v/>
      </c>
      <c r="F56" s="6">
        <f>IF(SUM(K57:K81)=0,0,SUM(F57:F81)/SUM(K57:K81))</f>
        <v/>
      </c>
      <c r="G56" s="6">
        <f>IF(SUM(K57:K81)=0,0,SUM(G57:G81)/SUM(K57:K81))</f>
        <v/>
      </c>
      <c r="H56" s="6">
        <f>IF(SUM(K57:K81)=0,0,SUM(H57:H81)/SUM(K57:K81))</f>
        <v/>
      </c>
      <c r="I56" s="6">
        <f>IF(SUM(K57:K81)=0,0,SUM(I57:I81)/SUM(K57:K81))</f>
        <v/>
      </c>
      <c r="J56" s="6">
        <f>IF(SUM(K57:K81)=0,0,SUM(J57:J81)/SUM(K57:K81))</f>
        <v/>
      </c>
    </row>
    <row r="57" spans="1:15">
      <c r="A57" s="4" t="s">
        <v>24</v>
      </c>
      <c r="B57" s="7">
        <v>0</v>
      </c>
      <c r="C57" s="6">
        <f>IF(K57=1,1.0,0)</f>
        <v/>
      </c>
      <c r="D57" s="6">
        <f>IF(K57=1,0.9,0)</f>
        <v/>
      </c>
      <c r="E57" s="5" t="s">
        <v>23</v>
      </c>
      <c r="F57" s="5" t="s">
        <v>23</v>
      </c>
      <c r="G57" s="5" t="s">
        <v>23</v>
      </c>
      <c r="H57" s="5" t="s">
        <v>23</v>
      </c>
      <c r="I57" s="5" t="s">
        <v>23</v>
      </c>
      <c r="J57" s="5" t="s">
        <v>23</v>
      </c>
      <c r="K57" s="8">
        <f>IF(OR(LOOKUP(A57,characters!A:A,characters!B:B)=-1, LOOKUP(A57,characters!A:A,characters!B:B)+0.1&gt;=B57),1,0)</f>
        <v/>
      </c>
    </row>
    <row r="58" spans="1:15">
      <c r="A58" s="4" t="s">
        <v>25</v>
      </c>
      <c r="B58" s="7">
        <v>0</v>
      </c>
      <c r="C58" s="5" t="s">
        <v>23</v>
      </c>
      <c r="D58" s="6">
        <f>IF(K58=1,1.0,0)</f>
        <v/>
      </c>
      <c r="E58" s="6">
        <f>IF(K58=1,1.0,0)</f>
        <v/>
      </c>
      <c r="F58" s="5" t="s">
        <v>23</v>
      </c>
      <c r="G58" s="5" t="s">
        <v>23</v>
      </c>
      <c r="H58" s="5" t="s">
        <v>23</v>
      </c>
      <c r="I58" s="5" t="s">
        <v>23</v>
      </c>
      <c r="J58" s="5" t="s">
        <v>23</v>
      </c>
      <c r="K58" s="8">
        <f>IF(OR(LOOKUP(A58,characters!A:A,characters!B:B)=-1, LOOKUP(A58,characters!A:A,characters!B:B)+0.1&gt;=B58),1,0)</f>
        <v/>
      </c>
    </row>
    <row r="59" spans="1:15">
      <c r="A59" s="4" t="s">
        <v>26</v>
      </c>
      <c r="B59" s="7">
        <v>0</v>
      </c>
      <c r="C59" s="6">
        <f>IF(K59=1,0.9,0)</f>
        <v/>
      </c>
      <c r="D59" s="5" t="s">
        <v>23</v>
      </c>
      <c r="E59" s="5" t="s">
        <v>23</v>
      </c>
      <c r="F59" s="6">
        <f>IF(K59=1,1.0,0)</f>
        <v/>
      </c>
      <c r="G59" s="5" t="s">
        <v>23</v>
      </c>
      <c r="H59" s="5" t="s">
        <v>23</v>
      </c>
      <c r="I59" s="5" t="s">
        <v>23</v>
      </c>
      <c r="J59" s="5" t="s">
        <v>23</v>
      </c>
      <c r="K59" s="8">
        <f>IF(OR(LOOKUP(A59,characters!A:A,characters!B:B)=-1, LOOKUP(A59,characters!A:A,characters!B:B)+0.1&gt;=B59),1,0)</f>
        <v/>
      </c>
    </row>
    <row r="60" spans="1:15">
      <c r="A60" s="4" t="s">
        <v>27</v>
      </c>
      <c r="B60" s="7">
        <v>0</v>
      </c>
      <c r="C60" s="5" t="s">
        <v>23</v>
      </c>
      <c r="D60" s="5" t="s">
        <v>23</v>
      </c>
      <c r="E60" s="6">
        <f>IF(K60=1,1.0,0)</f>
        <v/>
      </c>
      <c r="F60" s="5" t="s">
        <v>23</v>
      </c>
      <c r="G60" s="5" t="s">
        <v>23</v>
      </c>
      <c r="H60" s="5" t="s">
        <v>23</v>
      </c>
      <c r="I60" s="5" t="s">
        <v>23</v>
      </c>
      <c r="J60" s="5" t="s">
        <v>23</v>
      </c>
      <c r="K60" s="8">
        <f>IF(OR(LOOKUP(A60,characters!A:A,characters!B:B)=-1, LOOKUP(A60,characters!A:A,characters!B:B)+0.1&gt;=B60),1,0)</f>
        <v/>
      </c>
    </row>
    <row r="61" spans="1:15">
      <c r="A61" s="4" t="s">
        <v>28</v>
      </c>
      <c r="B61" s="7">
        <v>0</v>
      </c>
      <c r="C61" s="6">
        <f>IF(K61=1,1.0,0)</f>
        <v/>
      </c>
      <c r="D61" s="6">
        <f>IF(K61=1,0.9,0)</f>
        <v/>
      </c>
      <c r="E61" s="5" t="s">
        <v>23</v>
      </c>
      <c r="F61" s="5" t="s">
        <v>23</v>
      </c>
      <c r="G61" s="5" t="s">
        <v>23</v>
      </c>
      <c r="H61" s="5" t="s">
        <v>23</v>
      </c>
      <c r="I61" s="5" t="s">
        <v>23</v>
      </c>
      <c r="J61" s="5" t="s">
        <v>23</v>
      </c>
      <c r="K61" s="8">
        <f>IF(OR(LOOKUP(A61,characters!A:A,characters!B:B)=-1, LOOKUP(A61,characters!A:A,characters!B:B)+0.1&gt;=B61),1,0)</f>
        <v/>
      </c>
    </row>
    <row r="62" spans="1:15">
      <c r="A62" s="4" t="s">
        <v>29</v>
      </c>
      <c r="B62" s="7">
        <v>0</v>
      </c>
      <c r="C62" s="5" t="s">
        <v>23</v>
      </c>
      <c r="D62" s="5" t="s">
        <v>23</v>
      </c>
      <c r="E62" s="5" t="s">
        <v>23</v>
      </c>
      <c r="F62" s="6">
        <f>IF(K62=1,1.0,0)</f>
        <v/>
      </c>
      <c r="G62" s="5" t="s">
        <v>23</v>
      </c>
      <c r="H62" s="5" t="s">
        <v>23</v>
      </c>
      <c r="I62" s="5" t="s">
        <v>23</v>
      </c>
      <c r="J62" s="5" t="s">
        <v>23</v>
      </c>
      <c r="K62" s="8">
        <f>IF(OR(LOOKUP(A62,characters!A:A,characters!B:B)=-1, LOOKUP(A62,characters!A:A,characters!B:B)+0.1&gt;=B62),1,0)</f>
        <v/>
      </c>
    </row>
    <row r="63" spans="1:15">
      <c r="A63" s="4" t="s">
        <v>30</v>
      </c>
      <c r="B63" s="7">
        <v>0</v>
      </c>
      <c r="C63" s="5" t="s">
        <v>23</v>
      </c>
      <c r="D63" s="6">
        <f>IF(K63=1,1.0,0)</f>
        <v/>
      </c>
      <c r="E63" s="5" t="s">
        <v>23</v>
      </c>
      <c r="F63" s="5" t="s">
        <v>23</v>
      </c>
      <c r="G63" s="5" t="s">
        <v>23</v>
      </c>
      <c r="H63" s="5" t="s">
        <v>23</v>
      </c>
      <c r="I63" s="5" t="s">
        <v>23</v>
      </c>
      <c r="J63" s="5" t="s">
        <v>23</v>
      </c>
      <c r="K63" s="8">
        <f>IF(OR(LOOKUP(A63,characters!A:A,characters!B:B)=-1, LOOKUP(A63,characters!A:A,characters!B:B)+0.1&gt;=B63),1,0)</f>
        <v/>
      </c>
    </row>
    <row r="64" spans="1:15">
      <c r="A64" s="4" t="s">
        <v>31</v>
      </c>
      <c r="B64" s="7">
        <v>0</v>
      </c>
      <c r="C64" s="5" t="s">
        <v>23</v>
      </c>
      <c r="D64" s="5" t="s">
        <v>23</v>
      </c>
      <c r="E64" s="5" t="s">
        <v>23</v>
      </c>
      <c r="F64" s="5" t="s">
        <v>23</v>
      </c>
      <c r="G64" s="6">
        <f>IF(K64=1,1.0,0)</f>
        <v/>
      </c>
      <c r="H64" s="6">
        <f>IF(K64=1,0.9,0)</f>
        <v/>
      </c>
      <c r="I64" s="5" t="s">
        <v>23</v>
      </c>
      <c r="J64" s="5" t="s">
        <v>23</v>
      </c>
      <c r="K64" s="8">
        <f>IF(OR(LOOKUP(A64,characters!A:A,characters!B:B)=-1, LOOKUP(A64,characters!A:A,characters!B:B)+0.1&gt;=B64),1,0)</f>
        <v/>
      </c>
    </row>
    <row r="65" spans="1:11">
      <c r="A65" s="4" t="s">
        <v>32</v>
      </c>
      <c r="B65" s="7">
        <v>0</v>
      </c>
      <c r="C65" s="6">
        <f>IF(K65=1,1.0,0)</f>
        <v/>
      </c>
      <c r="D65" s="6">
        <f>IF(K65=1,0.9,0)</f>
        <v/>
      </c>
      <c r="E65" s="5" t="s">
        <v>23</v>
      </c>
      <c r="F65" s="5" t="s">
        <v>23</v>
      </c>
      <c r="G65" s="5" t="s">
        <v>23</v>
      </c>
      <c r="H65" s="5" t="s">
        <v>23</v>
      </c>
      <c r="I65" s="5" t="s">
        <v>23</v>
      </c>
      <c r="J65" s="5" t="s">
        <v>23</v>
      </c>
      <c r="K65" s="8">
        <f>IF(OR(LOOKUP(A65,characters!A:A,characters!B:B)=-1, LOOKUP(A65,characters!A:A,characters!B:B)+0.1&gt;=B65),1,0)</f>
        <v/>
      </c>
    </row>
    <row r="66" spans="1:11">
      <c r="A66" s="4" t="s">
        <v>33</v>
      </c>
      <c r="B66" s="7">
        <v>0</v>
      </c>
      <c r="C66" s="6">
        <f>IF(K66=1,0.9,0)</f>
        <v/>
      </c>
      <c r="D66" s="5" t="s">
        <v>23</v>
      </c>
      <c r="E66" s="5" t="s">
        <v>23</v>
      </c>
      <c r="F66" s="6">
        <f>IF(K66=1,1.0,0)</f>
        <v/>
      </c>
      <c r="G66" s="5" t="s">
        <v>23</v>
      </c>
      <c r="H66" s="5" t="s">
        <v>23</v>
      </c>
      <c r="I66" s="5" t="s">
        <v>23</v>
      </c>
      <c r="J66" s="5" t="s">
        <v>23</v>
      </c>
      <c r="K66" s="8">
        <f>IF(OR(LOOKUP(A66,characters!A:A,characters!B:B)=-1, LOOKUP(A66,characters!A:A,characters!B:B)+0.1&gt;=B66),1,0)</f>
        <v/>
      </c>
    </row>
    <row r="67" spans="1:11">
      <c r="A67" s="4" t="s">
        <v>34</v>
      </c>
      <c r="B67" s="7">
        <v>0</v>
      </c>
      <c r="C67" s="5" t="s">
        <v>23</v>
      </c>
      <c r="D67" s="5" t="s">
        <v>23</v>
      </c>
      <c r="E67" s="5" t="s">
        <v>23</v>
      </c>
      <c r="F67" s="5" t="s">
        <v>23</v>
      </c>
      <c r="G67" s="5" t="s">
        <v>23</v>
      </c>
      <c r="H67" s="6">
        <f>IF(K67=1,1.0,0)</f>
        <v/>
      </c>
      <c r="I67" s="5" t="s">
        <v>23</v>
      </c>
      <c r="J67" s="5" t="s">
        <v>23</v>
      </c>
      <c r="K67" s="8">
        <f>IF(OR(LOOKUP(A67,characters!A:A,characters!B:B)=-1, LOOKUP(A67,characters!A:A,characters!B:B)+0.1&gt;=B67),1,0)</f>
        <v/>
      </c>
    </row>
    <row r="68" spans="1:11">
      <c r="A68" s="4" t="s">
        <v>35</v>
      </c>
      <c r="B68" s="7">
        <v>0</v>
      </c>
      <c r="C68" s="5" t="s">
        <v>23</v>
      </c>
      <c r="D68" s="5" t="s">
        <v>23</v>
      </c>
      <c r="E68" s="5" t="s">
        <v>23</v>
      </c>
      <c r="F68" s="6">
        <f>IF(K68=1,1.0,0)</f>
        <v/>
      </c>
      <c r="G68" s="5" t="s">
        <v>23</v>
      </c>
      <c r="H68" s="5" t="s">
        <v>23</v>
      </c>
      <c r="I68" s="5" t="s">
        <v>23</v>
      </c>
      <c r="J68" s="5" t="s">
        <v>23</v>
      </c>
      <c r="K68" s="8">
        <f>IF(OR(LOOKUP(A68,characters!A:A,characters!B:B)=-1, LOOKUP(A68,characters!A:A,characters!B:B)+0.1&gt;=B68),1,0)</f>
        <v/>
      </c>
    </row>
    <row r="69" spans="1:11">
      <c r="A69" s="4" t="s">
        <v>36</v>
      </c>
      <c r="B69" s="7">
        <v>0</v>
      </c>
      <c r="C69" s="5" t="s">
        <v>23</v>
      </c>
      <c r="D69" s="5" t="s">
        <v>23</v>
      </c>
      <c r="E69" s="5" t="s">
        <v>23</v>
      </c>
      <c r="F69" s="6">
        <f>IF(K69=1,1.0,0)</f>
        <v/>
      </c>
      <c r="G69" s="5" t="s">
        <v>23</v>
      </c>
      <c r="H69" s="5" t="s">
        <v>23</v>
      </c>
      <c r="I69" s="5" t="s">
        <v>23</v>
      </c>
      <c r="J69" s="5" t="s">
        <v>23</v>
      </c>
      <c r="K69" s="8">
        <f>IF(OR(LOOKUP(A69,characters!A:A,characters!B:B)=-1, LOOKUP(A69,characters!A:A,characters!B:B)+0.1&gt;=B69),1,0)</f>
        <v/>
      </c>
    </row>
    <row r="70" spans="1:11">
      <c r="A70" s="4" t="s">
        <v>37</v>
      </c>
      <c r="B70" s="7">
        <v>0</v>
      </c>
      <c r="C70" s="6">
        <f>IF(K70=1,0.9,0)</f>
        <v/>
      </c>
      <c r="D70" s="5" t="s">
        <v>23</v>
      </c>
      <c r="E70" s="5" t="s">
        <v>23</v>
      </c>
      <c r="F70" s="6">
        <f>IF(K70=1,1.0,0)</f>
        <v/>
      </c>
      <c r="G70" s="5" t="s">
        <v>23</v>
      </c>
      <c r="H70" s="5" t="s">
        <v>23</v>
      </c>
      <c r="I70" s="5" t="s">
        <v>23</v>
      </c>
      <c r="J70" s="5" t="s">
        <v>23</v>
      </c>
      <c r="K70" s="8">
        <f>IF(OR(LOOKUP(A70,characters!A:A,characters!B:B)=-1, LOOKUP(A70,characters!A:A,characters!B:B)+0.1&gt;=B70),1,0)</f>
        <v/>
      </c>
    </row>
    <row r="71" spans="1:11">
      <c r="A71" s="4" t="s">
        <v>38</v>
      </c>
      <c r="B71" s="7">
        <v>0</v>
      </c>
      <c r="C71" s="5" t="s">
        <v>23</v>
      </c>
      <c r="D71" s="6">
        <f>IF(K71=1,0.99,0)</f>
        <v/>
      </c>
      <c r="E71" s="5" t="s">
        <v>23</v>
      </c>
      <c r="F71" s="5" t="s">
        <v>23</v>
      </c>
      <c r="G71" s="5" t="s">
        <v>23</v>
      </c>
      <c r="H71" s="6">
        <f>IF(K71=1,1.0,0)</f>
        <v/>
      </c>
      <c r="I71" s="5" t="s">
        <v>23</v>
      </c>
      <c r="J71" s="5" t="s">
        <v>23</v>
      </c>
      <c r="K71" s="8">
        <f>IF(OR(LOOKUP(A71,characters!A:A,characters!B:B)=-1, LOOKUP(A71,characters!A:A,characters!B:B)+0.1&gt;=B71),1,0)</f>
        <v/>
      </c>
    </row>
    <row r="72" spans="1:11">
      <c r="A72" s="4" t="s">
        <v>39</v>
      </c>
      <c r="B72" s="7">
        <v>0</v>
      </c>
      <c r="C72" s="6">
        <f>IF(K72=1,0.9,0)</f>
        <v/>
      </c>
      <c r="D72" s="5" t="s">
        <v>23</v>
      </c>
      <c r="E72" s="5" t="s">
        <v>23</v>
      </c>
      <c r="F72" s="6">
        <f>IF(K72=1,1.0,0)</f>
        <v/>
      </c>
      <c r="G72" s="5" t="s">
        <v>23</v>
      </c>
      <c r="H72" s="5" t="s">
        <v>23</v>
      </c>
      <c r="I72" s="5" t="s">
        <v>23</v>
      </c>
      <c r="J72" s="5" t="s">
        <v>23</v>
      </c>
      <c r="K72" s="8">
        <f>IF(OR(LOOKUP(A72,characters!A:A,characters!B:B)=-1, LOOKUP(A72,characters!A:A,characters!B:B)+0.1&gt;=B72),1,0)</f>
        <v/>
      </c>
    </row>
    <row r="73" spans="1:11">
      <c r="A73" s="4" t="s">
        <v>40</v>
      </c>
      <c r="B73" s="7">
        <v>0</v>
      </c>
      <c r="C73" s="6">
        <f>IF(K73=1,0.9,0)</f>
        <v/>
      </c>
      <c r="D73" s="5" t="s">
        <v>23</v>
      </c>
      <c r="E73" s="5" t="s">
        <v>23</v>
      </c>
      <c r="F73" s="5" t="s">
        <v>23</v>
      </c>
      <c r="G73" s="5" t="s">
        <v>23</v>
      </c>
      <c r="H73" s="6">
        <f>IF(K73=1,1.0,0)</f>
        <v/>
      </c>
      <c r="I73" s="5" t="s">
        <v>23</v>
      </c>
      <c r="J73" s="5" t="s">
        <v>23</v>
      </c>
      <c r="K73" s="8">
        <f>IF(OR(LOOKUP(A73,characters!A:A,characters!B:B)=-1, LOOKUP(A73,characters!A:A,characters!B:B)+0.1&gt;=B73),1,0)</f>
        <v/>
      </c>
    </row>
    <row r="74" spans="1:11">
      <c r="A74" s="4" t="s">
        <v>41</v>
      </c>
      <c r="B74" s="7">
        <v>0</v>
      </c>
      <c r="C74" s="5" t="s">
        <v>23</v>
      </c>
      <c r="D74" s="5" t="s">
        <v>23</v>
      </c>
      <c r="E74" s="5" t="s">
        <v>23</v>
      </c>
      <c r="F74" s="5" t="s">
        <v>23</v>
      </c>
      <c r="G74" s="5" t="s">
        <v>23</v>
      </c>
      <c r="H74" s="5" t="s">
        <v>23</v>
      </c>
      <c r="I74" s="6">
        <f>IF(K74=1,1.0,0)</f>
        <v/>
      </c>
      <c r="J74" s="5" t="s">
        <v>23</v>
      </c>
      <c r="K74" s="8">
        <f>IF(OR(LOOKUP(A74,characters!A:A,characters!B:B)=-1, LOOKUP(A74,characters!A:A,characters!B:B)+0.1&gt;=B74),1,0)</f>
        <v/>
      </c>
    </row>
    <row r="75" spans="1:11">
      <c r="A75" s="4" t="s">
        <v>42</v>
      </c>
      <c r="B75" s="7">
        <v>0</v>
      </c>
      <c r="C75" s="6">
        <f>IF(K75=1,1.0,0)</f>
        <v/>
      </c>
      <c r="D75" s="6">
        <f>IF(K75=1,0.9,0)</f>
        <v/>
      </c>
      <c r="E75" s="5" t="s">
        <v>23</v>
      </c>
      <c r="F75" s="5" t="s">
        <v>23</v>
      </c>
      <c r="G75" s="5" t="s">
        <v>23</v>
      </c>
      <c r="H75" s="5" t="s">
        <v>23</v>
      </c>
      <c r="I75" s="5" t="s">
        <v>23</v>
      </c>
      <c r="J75" s="5" t="s">
        <v>23</v>
      </c>
      <c r="K75" s="8">
        <f>IF(OR(LOOKUP(A75,characters!A:A,characters!B:B)=-1, LOOKUP(A75,characters!A:A,characters!B:B)+0.1&gt;=B75),1,0)</f>
        <v/>
      </c>
    </row>
    <row r="76" spans="1:11">
      <c r="A76" s="4" t="s">
        <v>43</v>
      </c>
      <c r="B76" s="7">
        <v>0</v>
      </c>
      <c r="C76" s="5" t="s">
        <v>23</v>
      </c>
      <c r="D76" s="5" t="s">
        <v>23</v>
      </c>
      <c r="E76" s="5" t="s">
        <v>23</v>
      </c>
      <c r="F76" s="5" t="s">
        <v>23</v>
      </c>
      <c r="G76" s="5" t="s">
        <v>23</v>
      </c>
      <c r="H76" s="6">
        <f>IF(K76=1,1.0,0)</f>
        <v/>
      </c>
      <c r="I76" s="5" t="s">
        <v>23</v>
      </c>
      <c r="J76" s="5" t="s">
        <v>23</v>
      </c>
      <c r="K76" s="8">
        <f>IF(OR(LOOKUP(A76,characters!A:A,characters!B:B)=-1, LOOKUP(A76,characters!A:A,characters!B:B)+0.1&gt;=B76),1,0)</f>
        <v/>
      </c>
    </row>
    <row r="77" spans="1:11">
      <c r="A77" s="4" t="s">
        <v>44</v>
      </c>
      <c r="B77" s="7">
        <v>0</v>
      </c>
      <c r="C77" s="5" t="s">
        <v>23</v>
      </c>
      <c r="D77" s="5" t="s">
        <v>23</v>
      </c>
      <c r="E77" s="6">
        <f>IF(K77=1,1.0,0)</f>
        <v/>
      </c>
      <c r="F77" s="5" t="s">
        <v>23</v>
      </c>
      <c r="G77" s="5" t="s">
        <v>23</v>
      </c>
      <c r="H77" s="5" t="s">
        <v>23</v>
      </c>
      <c r="I77" s="5" t="s">
        <v>23</v>
      </c>
      <c r="J77" s="5" t="s">
        <v>23</v>
      </c>
      <c r="K77" s="8">
        <f>IF(OR(LOOKUP(A77,characters!A:A,characters!B:B)=-1, LOOKUP(A77,characters!A:A,characters!B:B)+0.1&gt;=B77),1,0)</f>
        <v/>
      </c>
    </row>
    <row r="78" spans="1:11">
      <c r="A78" s="4" t="s">
        <v>45</v>
      </c>
      <c r="B78" s="7">
        <v>0</v>
      </c>
      <c r="C78" s="6">
        <f>IF(K78=1,0.9,0)</f>
        <v/>
      </c>
      <c r="D78" s="5" t="s">
        <v>23</v>
      </c>
      <c r="E78" s="5" t="s">
        <v>23</v>
      </c>
      <c r="F78" s="5" t="s">
        <v>23</v>
      </c>
      <c r="G78" s="6">
        <f>IF(K78=1,1.0,0)</f>
        <v/>
      </c>
      <c r="H78" s="5" t="s">
        <v>23</v>
      </c>
      <c r="I78" s="5" t="s">
        <v>23</v>
      </c>
      <c r="J78" s="5" t="s">
        <v>23</v>
      </c>
      <c r="K78" s="8">
        <f>IF(OR(LOOKUP(A78,characters!A:A,characters!B:B)=-1, LOOKUP(A78,characters!A:A,characters!B:B)+0.1&gt;=B78),1,0)</f>
        <v/>
      </c>
    </row>
    <row r="79" spans="1:11">
      <c r="A79" s="4" t="s">
        <v>46</v>
      </c>
      <c r="B79" s="7">
        <v>0</v>
      </c>
      <c r="C79" s="6">
        <f>IF(K79=1,1.0,0)</f>
        <v/>
      </c>
      <c r="D79" s="6">
        <f>IF(K79=1,0.9,0)</f>
        <v/>
      </c>
      <c r="E79" s="5" t="s">
        <v>23</v>
      </c>
      <c r="F79" s="5" t="s">
        <v>23</v>
      </c>
      <c r="G79" s="5" t="s">
        <v>23</v>
      </c>
      <c r="H79" s="5" t="s">
        <v>23</v>
      </c>
      <c r="I79" s="5" t="s">
        <v>23</v>
      </c>
      <c r="J79" s="5" t="s">
        <v>23</v>
      </c>
      <c r="K79" s="8">
        <f>IF(OR(LOOKUP(A79,characters!A:A,characters!B:B)=-1, LOOKUP(A79,characters!A:A,characters!B:B)+0.1&gt;=B79),1,0)</f>
        <v/>
      </c>
    </row>
    <row r="80" spans="1:11">
      <c r="A80" s="4" t="s">
        <v>47</v>
      </c>
      <c r="B80" s="7">
        <v>0</v>
      </c>
      <c r="C80" s="5" t="s">
        <v>23</v>
      </c>
      <c r="D80" s="6">
        <f>IF(K80=1,1.0,0)</f>
        <v/>
      </c>
      <c r="E80" s="5" t="s">
        <v>23</v>
      </c>
      <c r="F80" s="5" t="s">
        <v>23</v>
      </c>
      <c r="G80" s="5" t="s">
        <v>23</v>
      </c>
      <c r="H80" s="5" t="s">
        <v>23</v>
      </c>
      <c r="I80" s="5" t="s">
        <v>23</v>
      </c>
      <c r="J80" s="5" t="s">
        <v>23</v>
      </c>
      <c r="K80" s="8">
        <f>IF(OR(LOOKUP(A80,characters!A:A,characters!B:B)=-1, LOOKUP(A80,characters!A:A,characters!B:B)+0.1&gt;=B80),1,0)</f>
        <v/>
      </c>
    </row>
    <row r="81" spans="1:11">
      <c r="A81" s="4" t="s">
        <v>48</v>
      </c>
      <c r="B81" s="7">
        <v>0</v>
      </c>
      <c r="C81" s="5" t="s">
        <v>23</v>
      </c>
      <c r="D81" s="5" t="s">
        <v>23</v>
      </c>
      <c r="E81" s="6">
        <f>IF(K81=1,0.99,0)</f>
        <v/>
      </c>
      <c r="F81" s="5" t="s">
        <v>23</v>
      </c>
      <c r="G81" s="5" t="s">
        <v>23</v>
      </c>
      <c r="H81" s="5" t="s">
        <v>23</v>
      </c>
      <c r="I81" s="5" t="s">
        <v>23</v>
      </c>
      <c r="J81" s="6">
        <f>IF(K81=1,1.0,0)</f>
        <v/>
      </c>
      <c r="K81" s="8">
        <f>IF(OR(LOOKUP(A81,characters!A:A,characters!B:B)=-1, LOOKUP(A81,characters!A:A,characters!B:B)+0.1&gt;=B81),1,0)</f>
        <v/>
      </c>
    </row>
    <row r="83" spans="1:11">
      <c r="A83" s="3" t="s">
        <v>52</v>
      </c>
      <c r="B83" s="3" t="s">
        <v>9</v>
      </c>
      <c r="C83" s="3" t="s">
        <v>10</v>
      </c>
      <c r="D83" s="3" t="s">
        <v>12</v>
      </c>
      <c r="E83" s="3" t="s">
        <v>13</v>
      </c>
      <c r="F83" s="3" t="s">
        <v>17</v>
      </c>
    </row>
    <row r="84" spans="1:11">
      <c r="A84" s="4" t="s">
        <v>22</v>
      </c>
      <c r="B84" s="5" t="s">
        <v>23</v>
      </c>
      <c r="C84" s="6">
        <f>IF(SUM(G85:G109)=0,0,SUM(C85:C109)/SUM(G85:G109))</f>
        <v/>
      </c>
      <c r="D84" s="6">
        <f>IF(SUM(G85:G109)=0,0,SUM(D85:D109)/SUM(G85:G109))</f>
        <v/>
      </c>
      <c r="E84" s="6">
        <f>IF(SUM(G85:G109)=0,0,SUM(E85:E109)/SUM(G85:G109))</f>
        <v/>
      </c>
      <c r="F84" s="6">
        <f>IF(SUM(G85:G109)=0,0,SUM(F85:F109)/SUM(G85:G109))</f>
        <v/>
      </c>
    </row>
    <row r="85" spans="1:11">
      <c r="A85" s="4" t="s">
        <v>24</v>
      </c>
      <c r="B85" s="7">
        <v>0</v>
      </c>
      <c r="C85" s="6">
        <f>IF(G85=1,1.0,0)</f>
        <v/>
      </c>
      <c r="D85" s="5" t="s">
        <v>23</v>
      </c>
      <c r="E85" s="5" t="s">
        <v>23</v>
      </c>
      <c r="F85" s="5" t="s">
        <v>23</v>
      </c>
      <c r="G85" s="8">
        <f>IF(OR(LOOKUP(A85,characters!A:A,characters!B:B)=-1, LOOKUP(A85,characters!A:A,characters!B:B)+0.1&gt;=B85),1,0)</f>
        <v/>
      </c>
    </row>
    <row r="86" spans="1:11">
      <c r="A86" s="4" t="s">
        <v>25</v>
      </c>
      <c r="B86" s="7">
        <v>0</v>
      </c>
      <c r="C86" s="6">
        <f>IF(G86=1,1.0,0)</f>
        <v/>
      </c>
      <c r="D86" s="6">
        <f>IF(G86=1,0.99,0)</f>
        <v/>
      </c>
      <c r="E86" s="5" t="s">
        <v>23</v>
      </c>
      <c r="F86" s="5" t="s">
        <v>23</v>
      </c>
      <c r="G86" s="8">
        <f>IF(OR(LOOKUP(A86,characters!A:A,characters!B:B)=-1, LOOKUP(A86,characters!A:A,characters!B:B)+0.1&gt;=B86),1,0)</f>
        <v/>
      </c>
    </row>
    <row r="87" spans="1:11">
      <c r="A87" s="4" t="s">
        <v>26</v>
      </c>
      <c r="B87" s="7">
        <v>0</v>
      </c>
      <c r="C87" s="6">
        <f>IF(G87=1,1.0,0)</f>
        <v/>
      </c>
      <c r="D87" s="5" t="s">
        <v>23</v>
      </c>
      <c r="E87" s="5" t="s">
        <v>23</v>
      </c>
      <c r="F87" s="5" t="s">
        <v>23</v>
      </c>
      <c r="G87" s="8">
        <f>IF(OR(LOOKUP(A87,characters!A:A,characters!B:B)=-1, LOOKUP(A87,characters!A:A,characters!B:B)+0.1&gt;=B87),1,0)</f>
        <v/>
      </c>
    </row>
    <row r="88" spans="1:11">
      <c r="A88" s="4" t="s">
        <v>27</v>
      </c>
      <c r="B88" s="7">
        <v>0</v>
      </c>
      <c r="C88" s="6">
        <f>IF(G88=1,1.0,0)</f>
        <v/>
      </c>
      <c r="D88" s="5" t="s">
        <v>23</v>
      </c>
      <c r="E88" s="5" t="s">
        <v>23</v>
      </c>
      <c r="F88" s="5" t="s">
        <v>23</v>
      </c>
      <c r="G88" s="8">
        <f>IF(OR(LOOKUP(A88,characters!A:A,characters!B:B)=-1, LOOKUP(A88,characters!A:A,characters!B:B)+0.1&gt;=B88),1,0)</f>
        <v/>
      </c>
    </row>
    <row r="89" spans="1:11">
      <c r="A89" s="4" t="s">
        <v>28</v>
      </c>
      <c r="B89" s="7">
        <v>0</v>
      </c>
      <c r="C89" s="6">
        <f>IF(G89=1,1.0,0)</f>
        <v/>
      </c>
      <c r="D89" s="5" t="s">
        <v>23</v>
      </c>
      <c r="E89" s="6">
        <f>IF(G89=1,0.9,0)</f>
        <v/>
      </c>
      <c r="F89" s="5" t="s">
        <v>23</v>
      </c>
      <c r="G89" s="8">
        <f>IF(OR(LOOKUP(A89,characters!A:A,characters!B:B)=-1, LOOKUP(A89,characters!A:A,characters!B:B)+0.1&gt;=B89),1,0)</f>
        <v/>
      </c>
    </row>
    <row r="90" spans="1:11">
      <c r="A90" s="4" t="s">
        <v>29</v>
      </c>
      <c r="B90" s="7">
        <v>0</v>
      </c>
      <c r="C90" s="6">
        <f>IF(G90=1,1.0,0)</f>
        <v/>
      </c>
      <c r="D90" s="5" t="s">
        <v>23</v>
      </c>
      <c r="E90" s="5" t="s">
        <v>23</v>
      </c>
      <c r="F90" s="5" t="s">
        <v>23</v>
      </c>
      <c r="G90" s="8">
        <f>IF(OR(LOOKUP(A90,characters!A:A,characters!B:B)=-1, LOOKUP(A90,characters!A:A,characters!B:B)+0.1&gt;=B90),1,0)</f>
        <v/>
      </c>
    </row>
    <row r="91" spans="1:11">
      <c r="A91" s="4" t="s">
        <v>30</v>
      </c>
      <c r="B91" s="7">
        <v>0</v>
      </c>
      <c r="C91" s="6">
        <f>IF(G91=1,1.0,0)</f>
        <v/>
      </c>
      <c r="D91" s="5" t="s">
        <v>23</v>
      </c>
      <c r="E91" s="5" t="s">
        <v>23</v>
      </c>
      <c r="F91" s="5" t="s">
        <v>23</v>
      </c>
      <c r="G91" s="8">
        <f>IF(OR(LOOKUP(A91,characters!A:A,characters!B:B)=-1, LOOKUP(A91,characters!A:A,characters!B:B)+0.1&gt;=B91),1,0)</f>
        <v/>
      </c>
    </row>
    <row r="92" spans="1:11">
      <c r="A92" s="4" t="s">
        <v>31</v>
      </c>
      <c r="B92" s="7">
        <v>0</v>
      </c>
      <c r="C92" s="6">
        <f>IF(G92=1,1.0,0)</f>
        <v/>
      </c>
      <c r="D92" s="5" t="s">
        <v>23</v>
      </c>
      <c r="E92" s="5" t="s">
        <v>23</v>
      </c>
      <c r="F92" s="5" t="s">
        <v>23</v>
      </c>
      <c r="G92" s="8">
        <f>IF(OR(LOOKUP(A92,characters!A:A,characters!B:B)=-1, LOOKUP(A92,characters!A:A,characters!B:B)+0.1&gt;=B92),1,0)</f>
        <v/>
      </c>
    </row>
    <row r="93" spans="1:11">
      <c r="A93" s="4" t="s">
        <v>32</v>
      </c>
      <c r="B93" s="7">
        <v>0</v>
      </c>
      <c r="C93" s="6">
        <f>IF(G93=1,1.0,0)</f>
        <v/>
      </c>
      <c r="D93" s="5" t="s">
        <v>23</v>
      </c>
      <c r="E93" s="5" t="s">
        <v>23</v>
      </c>
      <c r="F93" s="5" t="s">
        <v>23</v>
      </c>
      <c r="G93" s="8">
        <f>IF(OR(LOOKUP(A93,characters!A:A,characters!B:B)=-1, LOOKUP(A93,characters!A:A,characters!B:B)+0.1&gt;=B93),1,0)</f>
        <v/>
      </c>
    </row>
    <row r="94" spans="1:11">
      <c r="A94" s="4" t="s">
        <v>33</v>
      </c>
      <c r="B94" s="7">
        <v>0</v>
      </c>
      <c r="C94" s="6">
        <f>IF(G94=1,1.0,0)</f>
        <v/>
      </c>
      <c r="D94" s="5" t="s">
        <v>23</v>
      </c>
      <c r="E94" s="5" t="s">
        <v>23</v>
      </c>
      <c r="F94" s="5" t="s">
        <v>23</v>
      </c>
      <c r="G94" s="8">
        <f>IF(OR(LOOKUP(A94,characters!A:A,characters!B:B)=-1, LOOKUP(A94,characters!A:A,characters!B:B)+0.1&gt;=B94),1,0)</f>
        <v/>
      </c>
    </row>
    <row r="95" spans="1:11">
      <c r="A95" s="4" t="s">
        <v>34</v>
      </c>
      <c r="B95" s="7">
        <v>0</v>
      </c>
      <c r="C95" s="6">
        <f>IF(G95=1,1.0,0)</f>
        <v/>
      </c>
      <c r="D95" s="5" t="s">
        <v>23</v>
      </c>
      <c r="E95" s="5" t="s">
        <v>23</v>
      </c>
      <c r="F95" s="5" t="s">
        <v>23</v>
      </c>
      <c r="G95" s="8">
        <f>IF(OR(LOOKUP(A95,characters!A:A,characters!B:B)=-1, LOOKUP(A95,characters!A:A,characters!B:B)+0.1&gt;=B95),1,0)</f>
        <v/>
      </c>
    </row>
    <row r="96" spans="1:11">
      <c r="A96" s="4" t="s">
        <v>35</v>
      </c>
      <c r="B96" s="7">
        <v>0</v>
      </c>
      <c r="C96" s="6">
        <f>IF(G96=1,1.0,0)</f>
        <v/>
      </c>
      <c r="D96" s="5" t="s">
        <v>23</v>
      </c>
      <c r="E96" s="5" t="s">
        <v>23</v>
      </c>
      <c r="F96" s="5" t="s">
        <v>23</v>
      </c>
      <c r="G96" s="8">
        <f>IF(OR(LOOKUP(A96,characters!A:A,characters!B:B)=-1, LOOKUP(A96,characters!A:A,characters!B:B)+0.1&gt;=B96),1,0)</f>
        <v/>
      </c>
    </row>
    <row r="97" spans="1:7">
      <c r="A97" s="4" t="s">
        <v>36</v>
      </c>
      <c r="B97" s="7">
        <v>0</v>
      </c>
      <c r="C97" s="6">
        <f>IF(G97=1,1.0,0)</f>
        <v/>
      </c>
      <c r="D97" s="5" t="s">
        <v>23</v>
      </c>
      <c r="E97" s="5" t="s">
        <v>23</v>
      </c>
      <c r="F97" s="5" t="s">
        <v>23</v>
      </c>
      <c r="G97" s="8">
        <f>IF(OR(LOOKUP(A97,characters!A:A,characters!B:B)=-1, LOOKUP(A97,characters!A:A,characters!B:B)+0.1&gt;=B97),1,0)</f>
        <v/>
      </c>
    </row>
    <row r="98" spans="1:7">
      <c r="A98" s="4" t="s">
        <v>37</v>
      </c>
      <c r="B98" s="7">
        <v>0</v>
      </c>
      <c r="C98" s="6">
        <f>IF(G98=1,1.0,0)</f>
        <v/>
      </c>
      <c r="D98" s="5" t="s">
        <v>23</v>
      </c>
      <c r="E98" s="5" t="s">
        <v>23</v>
      </c>
      <c r="F98" s="5" t="s">
        <v>23</v>
      </c>
      <c r="G98" s="8">
        <f>IF(OR(LOOKUP(A98,characters!A:A,characters!B:B)=-1, LOOKUP(A98,characters!A:A,characters!B:B)+0.1&gt;=B98),1,0)</f>
        <v/>
      </c>
    </row>
    <row r="99" spans="1:7">
      <c r="A99" s="4" t="s">
        <v>38</v>
      </c>
      <c r="B99" s="7">
        <v>0</v>
      </c>
      <c r="C99" s="6">
        <f>IF(G99=1,1.0,0)</f>
        <v/>
      </c>
      <c r="D99" s="5" t="s">
        <v>23</v>
      </c>
      <c r="E99" s="5" t="s">
        <v>23</v>
      </c>
      <c r="F99" s="5" t="s">
        <v>23</v>
      </c>
      <c r="G99" s="8">
        <f>IF(OR(LOOKUP(A99,characters!A:A,characters!B:B)=-1, LOOKUP(A99,characters!A:A,characters!B:B)+0.1&gt;=B99),1,0)</f>
        <v/>
      </c>
    </row>
    <row r="100" spans="1:7">
      <c r="A100" s="4" t="s">
        <v>39</v>
      </c>
      <c r="B100" s="7">
        <v>0</v>
      </c>
      <c r="C100" s="6">
        <f>IF(G100=1,1.0,0)</f>
        <v/>
      </c>
      <c r="D100" s="5" t="s">
        <v>23</v>
      </c>
      <c r="E100" s="5" t="s">
        <v>23</v>
      </c>
      <c r="F100" s="5" t="s">
        <v>23</v>
      </c>
      <c r="G100" s="8">
        <f>IF(OR(LOOKUP(A100,characters!A:A,characters!B:B)=-1, LOOKUP(A100,characters!A:A,characters!B:B)+0.1&gt;=B100),1,0)</f>
        <v/>
      </c>
    </row>
    <row r="101" spans="1:7">
      <c r="A101" s="4" t="s">
        <v>40</v>
      </c>
      <c r="B101" s="7">
        <v>0</v>
      </c>
      <c r="C101" s="6">
        <f>IF(G101=1,1.0,0)</f>
        <v/>
      </c>
      <c r="D101" s="5" t="s">
        <v>23</v>
      </c>
      <c r="E101" s="5" t="s">
        <v>23</v>
      </c>
      <c r="F101" s="5" t="s">
        <v>23</v>
      </c>
      <c r="G101" s="8">
        <f>IF(OR(LOOKUP(A101,characters!A:A,characters!B:B)=-1, LOOKUP(A101,characters!A:A,characters!B:B)+0.1&gt;=B101),1,0)</f>
        <v/>
      </c>
    </row>
    <row r="102" spans="1:7">
      <c r="A102" s="4" t="s">
        <v>41</v>
      </c>
      <c r="B102" s="7">
        <v>0</v>
      </c>
      <c r="C102" s="5" t="s">
        <v>23</v>
      </c>
      <c r="D102" s="5" t="s">
        <v>23</v>
      </c>
      <c r="E102" s="5" t="s">
        <v>23</v>
      </c>
      <c r="F102" s="6">
        <f>IF(G102=1,1.0,0)</f>
        <v/>
      </c>
      <c r="G102" s="8">
        <f>IF(OR(LOOKUP(A102,characters!A:A,characters!B:B)=-1, LOOKUP(A102,characters!A:A,characters!B:B)+0.1&gt;=B102),1,0)</f>
        <v/>
      </c>
    </row>
    <row r="103" spans="1:7">
      <c r="A103" s="4" t="s">
        <v>42</v>
      </c>
      <c r="B103" s="7">
        <v>0</v>
      </c>
      <c r="C103" s="6">
        <f>IF(G103=1,1.0,0)</f>
        <v/>
      </c>
      <c r="D103" s="5" t="s">
        <v>23</v>
      </c>
      <c r="E103" s="5" t="s">
        <v>23</v>
      </c>
      <c r="F103" s="5" t="s">
        <v>23</v>
      </c>
      <c r="G103" s="8">
        <f>IF(OR(LOOKUP(A103,characters!A:A,characters!B:B)=-1, LOOKUP(A103,characters!A:A,characters!B:B)+0.1&gt;=B103),1,0)</f>
        <v/>
      </c>
    </row>
    <row r="104" spans="1:7">
      <c r="A104" s="4" t="s">
        <v>43</v>
      </c>
      <c r="B104" s="7">
        <v>0</v>
      </c>
      <c r="C104" s="6">
        <f>IF(G104=1,1.0,0)</f>
        <v/>
      </c>
      <c r="D104" s="5" t="s">
        <v>23</v>
      </c>
      <c r="E104" s="5" t="s">
        <v>23</v>
      </c>
      <c r="F104" s="5" t="s">
        <v>23</v>
      </c>
      <c r="G104" s="8">
        <f>IF(OR(LOOKUP(A104,characters!A:A,characters!B:B)=-1, LOOKUP(A104,characters!A:A,characters!B:B)+0.1&gt;=B104),1,0)</f>
        <v/>
      </c>
    </row>
    <row r="105" spans="1:7">
      <c r="A105" s="4" t="s">
        <v>44</v>
      </c>
      <c r="B105" s="7">
        <v>0</v>
      </c>
      <c r="C105" s="6">
        <f>IF(G105=1,1.0,0)</f>
        <v/>
      </c>
      <c r="D105" s="5" t="s">
        <v>23</v>
      </c>
      <c r="E105" s="5" t="s">
        <v>23</v>
      </c>
      <c r="F105" s="5" t="s">
        <v>23</v>
      </c>
      <c r="G105" s="8">
        <f>IF(OR(LOOKUP(A105,characters!A:A,characters!B:B)=-1, LOOKUP(A105,characters!A:A,characters!B:B)+0.1&gt;=B105),1,0)</f>
        <v/>
      </c>
    </row>
    <row r="106" spans="1:7">
      <c r="A106" s="4" t="s">
        <v>45</v>
      </c>
      <c r="B106" s="7">
        <v>0</v>
      </c>
      <c r="C106" s="6">
        <f>IF(G106=1,1.0,0)</f>
        <v/>
      </c>
      <c r="D106" s="5" t="s">
        <v>23</v>
      </c>
      <c r="E106" s="5" t="s">
        <v>23</v>
      </c>
      <c r="F106" s="5" t="s">
        <v>23</v>
      </c>
      <c r="G106" s="8">
        <f>IF(OR(LOOKUP(A106,characters!A:A,characters!B:B)=-1, LOOKUP(A106,characters!A:A,characters!B:B)+0.1&gt;=B106),1,0)</f>
        <v/>
      </c>
    </row>
    <row r="107" spans="1:7">
      <c r="A107" s="4" t="s">
        <v>46</v>
      </c>
      <c r="B107" s="7">
        <v>0</v>
      </c>
      <c r="C107" s="6">
        <f>IF(G107=1,1.0,0)</f>
        <v/>
      </c>
      <c r="D107" s="5" t="s">
        <v>23</v>
      </c>
      <c r="E107" s="5" t="s">
        <v>23</v>
      </c>
      <c r="F107" s="5" t="s">
        <v>23</v>
      </c>
      <c r="G107" s="8">
        <f>IF(OR(LOOKUP(A107,characters!A:A,characters!B:B)=-1, LOOKUP(A107,characters!A:A,characters!B:B)+0.1&gt;=B107),1,0)</f>
        <v/>
      </c>
    </row>
    <row r="108" spans="1:7">
      <c r="A108" s="4" t="s">
        <v>47</v>
      </c>
      <c r="B108" s="7">
        <v>0</v>
      </c>
      <c r="C108" s="6">
        <f>IF(G108=1,1.0,0)</f>
        <v/>
      </c>
      <c r="D108" s="6">
        <f>IF(G108=1,0.99,0)</f>
        <v/>
      </c>
      <c r="E108" s="5" t="s">
        <v>23</v>
      </c>
      <c r="F108" s="5" t="s">
        <v>23</v>
      </c>
      <c r="G108" s="8">
        <f>IF(OR(LOOKUP(A108,characters!A:A,characters!B:B)=-1, LOOKUP(A108,characters!A:A,characters!B:B)+0.1&gt;=B108),1,0)</f>
        <v/>
      </c>
    </row>
    <row r="109" spans="1:7">
      <c r="A109" s="4" t="s">
        <v>48</v>
      </c>
      <c r="B109" s="7">
        <v>0</v>
      </c>
      <c r="C109" s="6">
        <f>IF(G109=1,1.0,0)</f>
        <v/>
      </c>
      <c r="D109" s="5" t="s">
        <v>23</v>
      </c>
      <c r="E109" s="5" t="s">
        <v>23</v>
      </c>
      <c r="F109" s="6">
        <f>IF(G109=1,0.99,0)</f>
        <v/>
      </c>
      <c r="G109" s="8">
        <f>IF(OR(LOOKUP(A109,characters!A:A,characters!B:B)=-1, LOOKUP(A109,characters!A:A,characters!B:B)+0.1&gt;=B109),1,0)</f>
        <v/>
      </c>
    </row>
    <row r="116" spans="1:15">
      <c r="A116" s="3" t="s">
        <v>53</v>
      </c>
    </row>
    <row r="117" spans="1:15">
      <c r="A117" s="3" t="s">
        <v>8</v>
      </c>
      <c r="B117" s="3" t="s">
        <v>9</v>
      </c>
      <c r="C117" s="3" t="s">
        <v>10</v>
      </c>
      <c r="D117" s="3" t="s">
        <v>11</v>
      </c>
      <c r="E117" s="3" t="s">
        <v>12</v>
      </c>
      <c r="F117" s="3" t="s">
        <v>13</v>
      </c>
      <c r="G117" s="3" t="s">
        <v>14</v>
      </c>
      <c r="H117" s="3" t="s">
        <v>15</v>
      </c>
      <c r="I117" s="3" t="s">
        <v>17</v>
      </c>
      <c r="J117" s="3" t="s">
        <v>18</v>
      </c>
      <c r="K117" s="3" t="s">
        <v>16</v>
      </c>
      <c r="L117" s="3" t="s">
        <v>19</v>
      </c>
      <c r="M117" s="3" t="s">
        <v>20</v>
      </c>
      <c r="N117" s="3" t="s">
        <v>21</v>
      </c>
    </row>
    <row r="118" spans="1:15">
      <c r="A118" s="4" t="s">
        <v>22</v>
      </c>
      <c r="B118" s="5" t="s">
        <v>23</v>
      </c>
      <c r="C118" s="6">
        <f>IF(SUM(O119:O142)=0,0,SUM(C119:C142)/SUM(O119:O142))</f>
        <v/>
      </c>
      <c r="D118" s="6">
        <f>IF(SUM(O119:O142)=0,0,SUM(D119:D142)/SUM(O119:O142))</f>
        <v/>
      </c>
      <c r="E118" s="6">
        <f>IF(SUM(O119:O142)=0,0,SUM(E119:E142)/SUM(O119:O142))</f>
        <v/>
      </c>
      <c r="F118" s="6">
        <f>IF(SUM(O119:O142)=0,0,SUM(F119:F142)/SUM(O119:O142))</f>
        <v/>
      </c>
      <c r="G118" s="6">
        <f>IF(SUM(O119:O142)=0,0,SUM(G119:G142)/SUM(O119:O142))</f>
        <v/>
      </c>
      <c r="H118" s="6">
        <f>IF(SUM(O119:O142)=0,0,SUM(H119:H142)/SUM(O119:O142))</f>
        <v/>
      </c>
      <c r="I118" s="6">
        <f>IF(SUM(O119:O142)=0,0,SUM(I119:I142)/SUM(O119:O142))</f>
        <v/>
      </c>
      <c r="J118" s="6">
        <f>IF(SUM(O119:O142)=0,0,SUM(J119:J142)/SUM(O119:O142))</f>
        <v/>
      </c>
      <c r="K118" s="6">
        <f>IF(SUM(O119:O142)=0,0,SUM(K119:K142)/SUM(O119:O142))</f>
        <v/>
      </c>
      <c r="L118" s="6">
        <f>IF(SUM(O119:O142)=0,0,SUM(L119:L142)/SUM(O119:O142))</f>
        <v/>
      </c>
      <c r="M118" s="6">
        <f>IF(SUM(O119:O142)=0,0,SUM(M119:M142)/SUM(O119:O142))</f>
        <v/>
      </c>
      <c r="N118" s="6">
        <f>IF(SUM(O119:O142)=0,0,SUM(N119:N142)/SUM(O119:O142))</f>
        <v/>
      </c>
    </row>
    <row r="119" spans="1:15">
      <c r="A119" s="4" t="s">
        <v>25</v>
      </c>
      <c r="B119" s="7">
        <v>0</v>
      </c>
      <c r="C119" s="6">
        <f>IF(O119=1,0.99,0)</f>
        <v/>
      </c>
      <c r="D119" s="6">
        <f>IF(O119=1,0.69,0)</f>
        <v/>
      </c>
      <c r="E119" s="6">
        <f>IF(O119=1,1.0,0)</f>
        <v/>
      </c>
      <c r="F119" s="5" t="s">
        <v>23</v>
      </c>
      <c r="G119" s="5" t="s">
        <v>23</v>
      </c>
      <c r="H119" s="5" t="s">
        <v>23</v>
      </c>
      <c r="I119" s="5" t="s">
        <v>23</v>
      </c>
      <c r="J119" s="5" t="s">
        <v>23</v>
      </c>
      <c r="K119" s="5" t="s">
        <v>23</v>
      </c>
      <c r="L119" s="6">
        <f>IF(O119=1,0.89,0)</f>
        <v/>
      </c>
      <c r="M119" s="5" t="s">
        <v>23</v>
      </c>
      <c r="N119" s="6">
        <f>IF(O119=1,0.79,0)</f>
        <v/>
      </c>
      <c r="O119" s="8">
        <f>IF(OR(LOOKUP(A119,characters!A:A,characters!B:B)=-1, LOOKUP(A119,characters!A:A,characters!B:B)+0.1&gt;=B119),1,0)</f>
        <v/>
      </c>
    </row>
    <row r="120" spans="1:15">
      <c r="A120" s="4" t="s">
        <v>26</v>
      </c>
      <c r="B120" s="7">
        <v>0</v>
      </c>
      <c r="C120" s="6">
        <f>IF(O120=1,1.0,0)</f>
        <v/>
      </c>
      <c r="D120" s="6">
        <f>IF(O120=1,0.8,0)</f>
        <v/>
      </c>
      <c r="E120" s="6">
        <f>IF(O120=1,0.8,0)</f>
        <v/>
      </c>
      <c r="F120" s="6">
        <f>IF(O120=1,0.9,0)</f>
        <v/>
      </c>
      <c r="G120" s="5" t="s">
        <v>23</v>
      </c>
      <c r="H120" s="5" t="s">
        <v>23</v>
      </c>
      <c r="I120" s="5" t="s">
        <v>23</v>
      </c>
      <c r="J120" s="5" t="s">
        <v>23</v>
      </c>
      <c r="K120" s="5" t="s">
        <v>23</v>
      </c>
      <c r="L120" s="5" t="s">
        <v>23</v>
      </c>
      <c r="M120" s="5" t="s">
        <v>23</v>
      </c>
      <c r="N120" s="5" t="s">
        <v>23</v>
      </c>
      <c r="O120" s="8">
        <f>IF(OR(LOOKUP(A120,characters!A:A,characters!B:B)=-1, LOOKUP(A120,characters!A:A,characters!B:B)+0.1&gt;=B120),1,0)</f>
        <v/>
      </c>
    </row>
    <row r="121" spans="1:15">
      <c r="A121" s="4" t="s">
        <v>27</v>
      </c>
      <c r="B121" s="7">
        <v>0</v>
      </c>
      <c r="C121" s="6">
        <f>IF(O121=1,1.0,0)</f>
        <v/>
      </c>
      <c r="D121" s="6">
        <f>IF(O121=1,0.7,0)</f>
        <v/>
      </c>
      <c r="E121" s="5" t="s">
        <v>23</v>
      </c>
      <c r="F121" s="5" t="s">
        <v>23</v>
      </c>
      <c r="G121" s="6">
        <f>IF(O121=1,0.8,0)</f>
        <v/>
      </c>
      <c r="H121" s="6">
        <f>IF(O121=1,0.8,0)</f>
        <v/>
      </c>
      <c r="I121" s="5" t="s">
        <v>23</v>
      </c>
      <c r="J121" s="5" t="s">
        <v>23</v>
      </c>
      <c r="K121" s="5" t="s">
        <v>23</v>
      </c>
      <c r="L121" s="6">
        <f>IF(O121=1,0.9,0)</f>
        <v/>
      </c>
      <c r="M121" s="5" t="s">
        <v>23</v>
      </c>
      <c r="N121" s="5" t="s">
        <v>23</v>
      </c>
      <c r="O121" s="8">
        <f>IF(OR(LOOKUP(A121,characters!A:A,characters!B:B)=-1, LOOKUP(A121,characters!A:A,characters!B:B)+0.1&gt;=B121),1,0)</f>
        <v/>
      </c>
    </row>
    <row r="122" spans="1:15">
      <c r="A122" s="4" t="s">
        <v>28</v>
      </c>
      <c r="B122" s="7">
        <v>0</v>
      </c>
      <c r="C122" s="6">
        <f>IF(O122=1,1.0,0)</f>
        <v/>
      </c>
      <c r="D122" s="6">
        <f>IF(O122=1,0.89,0)</f>
        <v/>
      </c>
      <c r="E122" s="6">
        <f>IF(O122=1,0.99,0)</f>
        <v/>
      </c>
      <c r="F122" s="6">
        <f>IF(O122=1,1.0,0)</f>
        <v/>
      </c>
      <c r="G122" s="5" t="s">
        <v>23</v>
      </c>
      <c r="H122" s="5" t="s">
        <v>23</v>
      </c>
      <c r="I122" s="5" t="s">
        <v>23</v>
      </c>
      <c r="J122" s="5" t="s">
        <v>23</v>
      </c>
      <c r="K122" s="5" t="s">
        <v>23</v>
      </c>
      <c r="L122" s="5" t="s">
        <v>23</v>
      </c>
      <c r="M122" s="5" t="s">
        <v>23</v>
      </c>
      <c r="N122" s="5" t="s">
        <v>23</v>
      </c>
      <c r="O122" s="8">
        <f>IF(OR(LOOKUP(A122,characters!A:A,characters!B:B)=-1, LOOKUP(A122,characters!A:A,characters!B:B)+0.1&gt;=B122),1,0)</f>
        <v/>
      </c>
    </row>
    <row r="123" spans="1:15">
      <c r="A123" s="4" t="s">
        <v>29</v>
      </c>
      <c r="B123" s="7">
        <v>0</v>
      </c>
      <c r="C123" s="6">
        <f>IF(O123=1,1.0,0)</f>
        <v/>
      </c>
      <c r="D123" s="6">
        <f>IF(O123=1,0.8,0)</f>
        <v/>
      </c>
      <c r="E123" s="6">
        <f>IF(O123=1,0.7,0)</f>
        <v/>
      </c>
      <c r="F123" s="6">
        <f>IF(O123=1,0.7,0)</f>
        <v/>
      </c>
      <c r="G123" s="5" t="s">
        <v>23</v>
      </c>
      <c r="H123" s="5" t="s">
        <v>23</v>
      </c>
      <c r="I123" s="5" t="s">
        <v>23</v>
      </c>
      <c r="J123" s="6">
        <f>IF(O123=1,0.9,0)</f>
        <v/>
      </c>
      <c r="K123" s="5" t="s">
        <v>23</v>
      </c>
      <c r="L123" s="5" t="s">
        <v>23</v>
      </c>
      <c r="M123" s="5" t="s">
        <v>23</v>
      </c>
      <c r="N123" s="5" t="s">
        <v>23</v>
      </c>
      <c r="O123" s="8">
        <f>IF(OR(LOOKUP(A123,characters!A:A,characters!B:B)=-1, LOOKUP(A123,characters!A:A,characters!B:B)+0.1&gt;=B123),1,0)</f>
        <v/>
      </c>
    </row>
    <row r="124" spans="1:15">
      <c r="A124" s="4" t="s">
        <v>30</v>
      </c>
      <c r="B124" s="7">
        <v>0</v>
      </c>
      <c r="C124" s="6">
        <f>IF(O124=1,1.0,0)</f>
        <v/>
      </c>
      <c r="D124" s="6">
        <f>IF(O124=1,0.9,0)</f>
        <v/>
      </c>
      <c r="E124" s="6">
        <f>IF(O124=1,1.0,0)</f>
        <v/>
      </c>
      <c r="F124" s="6">
        <f>IF(O124=1,0.9,0)</f>
        <v/>
      </c>
      <c r="G124" s="5" t="s">
        <v>23</v>
      </c>
      <c r="H124" s="5" t="s">
        <v>23</v>
      </c>
      <c r="I124" s="5" t="s">
        <v>23</v>
      </c>
      <c r="J124" s="5" t="s">
        <v>23</v>
      </c>
      <c r="K124" s="5" t="s">
        <v>23</v>
      </c>
      <c r="L124" s="5" t="s">
        <v>23</v>
      </c>
      <c r="M124" s="5" t="s">
        <v>23</v>
      </c>
      <c r="N124" s="5" t="s">
        <v>23</v>
      </c>
      <c r="O124" s="8">
        <f>IF(OR(LOOKUP(A124,characters!A:A,characters!B:B)=-1, LOOKUP(A124,characters!A:A,characters!B:B)+0.1&gt;=B124),1,0)</f>
        <v/>
      </c>
    </row>
    <row r="125" spans="1:15">
      <c r="A125" s="4" t="s">
        <v>31</v>
      </c>
      <c r="B125" s="7">
        <v>0</v>
      </c>
      <c r="C125" s="6">
        <f>IF(O125=1,0.9,0)</f>
        <v/>
      </c>
      <c r="D125" s="5" t="s">
        <v>23</v>
      </c>
      <c r="E125" s="6">
        <f>IF(O125=1,0.7,0)</f>
        <v/>
      </c>
      <c r="F125" s="6">
        <f>IF(O125=1,0.7,0)</f>
        <v/>
      </c>
      <c r="G125" s="5" t="s">
        <v>23</v>
      </c>
      <c r="H125" s="5" t="s">
        <v>23</v>
      </c>
      <c r="I125" s="6">
        <f>IF(O125=1,0.8,0)</f>
        <v/>
      </c>
      <c r="J125" s="6">
        <f>IF(O125=1,0.7,0)</f>
        <v/>
      </c>
      <c r="K125" s="6">
        <f>IF(O125=1,1.0,0)</f>
        <v/>
      </c>
      <c r="L125" s="5" t="s">
        <v>23</v>
      </c>
      <c r="M125" s="5" t="s">
        <v>23</v>
      </c>
      <c r="N125" s="5" t="s">
        <v>23</v>
      </c>
      <c r="O125" s="8">
        <f>IF(OR(LOOKUP(A125,characters!A:A,characters!B:B)=-1, LOOKUP(A125,characters!A:A,characters!B:B)+0.1&gt;=B125),1,0)</f>
        <v/>
      </c>
    </row>
    <row r="126" spans="1:15">
      <c r="A126" s="4" t="s">
        <v>33</v>
      </c>
      <c r="B126" s="7">
        <v>0</v>
      </c>
      <c r="C126" s="6">
        <f>IF(O126=1,1.0,0)</f>
        <v/>
      </c>
      <c r="D126" s="6">
        <f>IF(O126=1,0.8,0)</f>
        <v/>
      </c>
      <c r="E126" s="6">
        <f>IF(O126=1,0.8,0)</f>
        <v/>
      </c>
      <c r="F126" s="6">
        <f>IF(O126=1,0.9,0)</f>
        <v/>
      </c>
      <c r="G126" s="5" t="s">
        <v>23</v>
      </c>
      <c r="H126" s="5" t="s">
        <v>23</v>
      </c>
      <c r="I126" s="5" t="s">
        <v>23</v>
      </c>
      <c r="J126" s="5" t="s">
        <v>23</v>
      </c>
      <c r="K126" s="5" t="s">
        <v>23</v>
      </c>
      <c r="L126" s="5" t="s">
        <v>23</v>
      </c>
      <c r="M126" s="5" t="s">
        <v>23</v>
      </c>
      <c r="N126" s="5" t="s">
        <v>23</v>
      </c>
      <c r="O126" s="8">
        <f>IF(OR(LOOKUP(A126,characters!A:A,characters!B:B)=-1, LOOKUP(A126,characters!A:A,characters!B:B)+0.1&gt;=B126),1,0)</f>
        <v/>
      </c>
    </row>
    <row r="127" spans="1:15">
      <c r="A127" s="4" t="s">
        <v>34</v>
      </c>
      <c r="B127" s="7">
        <v>0</v>
      </c>
      <c r="C127" s="6">
        <f>IF(O127=1,0.9,0)</f>
        <v/>
      </c>
      <c r="D127" s="5" t="s">
        <v>23</v>
      </c>
      <c r="E127" s="5" t="s">
        <v>23</v>
      </c>
      <c r="F127" s="5" t="s">
        <v>23</v>
      </c>
      <c r="G127" s="5" t="s">
        <v>23</v>
      </c>
      <c r="H127" s="5" t="s">
        <v>23</v>
      </c>
      <c r="I127" s="6">
        <f>IF(O127=1,0.8,0)</f>
        <v/>
      </c>
      <c r="J127" s="5" t="s">
        <v>23</v>
      </c>
      <c r="K127" s="6">
        <f>IF(O127=1,1.0,0)</f>
        <v/>
      </c>
      <c r="L127" s="5" t="s">
        <v>23</v>
      </c>
      <c r="M127" s="5" t="s">
        <v>23</v>
      </c>
      <c r="N127" s="5" t="s">
        <v>23</v>
      </c>
      <c r="O127" s="8">
        <f>IF(OR(LOOKUP(A127,characters!A:A,characters!B:B)=-1, LOOKUP(A127,characters!A:A,characters!B:B)+0.1&gt;=B127),1,0)</f>
        <v/>
      </c>
    </row>
    <row r="128" spans="1:15">
      <c r="A128" s="4" t="s">
        <v>35</v>
      </c>
      <c r="B128" s="7">
        <v>0</v>
      </c>
      <c r="C128" s="6">
        <f>IF(O128=1,1.0,0)</f>
        <v/>
      </c>
      <c r="D128" s="5" t="s">
        <v>23</v>
      </c>
      <c r="E128" s="5" t="s">
        <v>23</v>
      </c>
      <c r="F128" s="5" t="s">
        <v>23</v>
      </c>
      <c r="G128" s="5" t="s">
        <v>23</v>
      </c>
      <c r="H128" s="5" t="s">
        <v>23</v>
      </c>
      <c r="I128" s="6">
        <f>IF(O128=1,0.89,0)</f>
        <v/>
      </c>
      <c r="J128" s="5" t="s">
        <v>23</v>
      </c>
      <c r="K128" s="5" t="s">
        <v>23</v>
      </c>
      <c r="L128" s="5" t="s">
        <v>23</v>
      </c>
      <c r="M128" s="6">
        <f>IF(O128=1,0.9,0)</f>
        <v/>
      </c>
      <c r="N128" s="5" t="s">
        <v>23</v>
      </c>
      <c r="O128" s="8">
        <f>IF(OR(LOOKUP(A128,characters!A:A,characters!B:B)=-1, LOOKUP(A128,characters!A:A,characters!B:B)+0.1&gt;=B128),1,0)</f>
        <v/>
      </c>
    </row>
    <row r="129" spans="1:15">
      <c r="A129" s="4" t="s">
        <v>36</v>
      </c>
      <c r="B129" s="7">
        <v>0</v>
      </c>
      <c r="C129" s="6">
        <f>IF(O129=1,1.0,0)</f>
        <v/>
      </c>
      <c r="D129" s="6">
        <f>IF(O129=1,0.7,0)</f>
        <v/>
      </c>
      <c r="E129" s="6">
        <f>IF(O129=1,0.8,0)</f>
        <v/>
      </c>
      <c r="F129" s="6">
        <f>IF(O129=1,0.8,0)</f>
        <v/>
      </c>
      <c r="G129" s="5" t="s">
        <v>23</v>
      </c>
      <c r="H129" s="5" t="s">
        <v>23</v>
      </c>
      <c r="I129" s="6">
        <f>IF(O129=1,0.9,0)</f>
        <v/>
      </c>
      <c r="J129" s="5" t="s">
        <v>23</v>
      </c>
      <c r="K129" s="5" t="s">
        <v>23</v>
      </c>
      <c r="L129" s="5" t="s">
        <v>23</v>
      </c>
      <c r="M129" s="5" t="s">
        <v>23</v>
      </c>
      <c r="N129" s="5" t="s">
        <v>23</v>
      </c>
      <c r="O129" s="8">
        <f>IF(OR(LOOKUP(A129,characters!A:A,characters!B:B)=-1, LOOKUP(A129,characters!A:A,characters!B:B)+0.1&gt;=B129),1,0)</f>
        <v/>
      </c>
    </row>
    <row r="130" spans="1:15">
      <c r="A130" s="4" t="s">
        <v>37</v>
      </c>
      <c r="B130" s="7">
        <v>0</v>
      </c>
      <c r="C130" s="6">
        <f>IF(O130=1,1.0,0)</f>
        <v/>
      </c>
      <c r="D130" s="6">
        <f>IF(O130=1,0.8,0)</f>
        <v/>
      </c>
      <c r="E130" s="6">
        <f>IF(O130=1,0.7,0)</f>
        <v/>
      </c>
      <c r="F130" s="6">
        <f>IF(O130=1,0.9,0)</f>
        <v/>
      </c>
      <c r="G130" s="5" t="s">
        <v>23</v>
      </c>
      <c r="H130" s="5" t="s">
        <v>23</v>
      </c>
      <c r="I130" s="5" t="s">
        <v>23</v>
      </c>
      <c r="J130" s="5" t="s">
        <v>23</v>
      </c>
      <c r="K130" s="5" t="s">
        <v>23</v>
      </c>
      <c r="L130" s="5" t="s">
        <v>23</v>
      </c>
      <c r="M130" s="5" t="s">
        <v>23</v>
      </c>
      <c r="N130" s="5" t="s">
        <v>23</v>
      </c>
      <c r="O130" s="8">
        <f>IF(OR(LOOKUP(A130,characters!A:A,characters!B:B)=-1, LOOKUP(A130,characters!A:A,characters!B:B)+0.1&gt;=B130),1,0)</f>
        <v/>
      </c>
    </row>
    <row r="131" spans="1:15">
      <c r="A131" s="4" t="s">
        <v>38</v>
      </c>
      <c r="B131" s="7">
        <v>0</v>
      </c>
      <c r="C131" s="6">
        <f>IF(O131=1,1.0,0)</f>
        <v/>
      </c>
      <c r="D131" s="6">
        <f>IF(O131=1,0.8,0)</f>
        <v/>
      </c>
      <c r="E131" s="6">
        <f>IF(O131=1,0.9,0)</f>
        <v/>
      </c>
      <c r="F131" s="6">
        <f>IF(O131=1,0.8,0)</f>
        <v/>
      </c>
      <c r="G131" s="5" t="s">
        <v>23</v>
      </c>
      <c r="H131" s="5" t="s">
        <v>23</v>
      </c>
      <c r="I131" s="5" t="s">
        <v>23</v>
      </c>
      <c r="J131" s="5" t="s">
        <v>23</v>
      </c>
      <c r="K131" s="6">
        <f>IF(O131=1,1.0,0)</f>
        <v/>
      </c>
      <c r="L131" s="5" t="s">
        <v>23</v>
      </c>
      <c r="M131" s="5" t="s">
        <v>23</v>
      </c>
      <c r="N131" s="5" t="s">
        <v>23</v>
      </c>
      <c r="O131" s="8">
        <f>IF(OR(LOOKUP(A131,characters!A:A,characters!B:B)=-1, LOOKUP(A131,characters!A:A,characters!B:B)+0.1&gt;=B131),1,0)</f>
        <v/>
      </c>
    </row>
    <row r="132" spans="1:15">
      <c r="A132" s="4" t="s">
        <v>39</v>
      </c>
      <c r="B132" s="7">
        <v>0</v>
      </c>
      <c r="C132" s="6">
        <f>IF(O132=1,1.0,0)</f>
        <v/>
      </c>
      <c r="D132" s="6">
        <f>IF(O132=1,0.8,0)</f>
        <v/>
      </c>
      <c r="E132" s="6">
        <f>IF(O132=1,0.8,0)</f>
        <v/>
      </c>
      <c r="F132" s="6">
        <f>IF(O132=1,0.9,0)</f>
        <v/>
      </c>
      <c r="G132" s="5" t="s">
        <v>23</v>
      </c>
      <c r="H132" s="5" t="s">
        <v>23</v>
      </c>
      <c r="I132" s="5" t="s">
        <v>23</v>
      </c>
      <c r="J132" s="5" t="s">
        <v>23</v>
      </c>
      <c r="K132" s="5" t="s">
        <v>23</v>
      </c>
      <c r="L132" s="5" t="s">
        <v>23</v>
      </c>
      <c r="M132" s="5" t="s">
        <v>23</v>
      </c>
      <c r="N132" s="5" t="s">
        <v>23</v>
      </c>
      <c r="O132" s="8">
        <f>IF(OR(LOOKUP(A132,characters!A:A,characters!B:B)=-1, LOOKUP(A132,characters!A:A,characters!B:B)+0.1&gt;=B132),1,0)</f>
        <v/>
      </c>
    </row>
    <row r="133" spans="1:15">
      <c r="A133" s="4" t="s">
        <v>41</v>
      </c>
      <c r="B133" s="7">
        <v>0</v>
      </c>
      <c r="C133" s="6">
        <f>IF(O133=1,0.99,0)</f>
        <v/>
      </c>
      <c r="D133" s="5" t="s">
        <v>23</v>
      </c>
      <c r="E133" s="6">
        <f>IF(O133=1,0.89,0)</f>
        <v/>
      </c>
      <c r="F133" s="6">
        <f>IF(O133=1,0.89,0)</f>
        <v/>
      </c>
      <c r="G133" s="5" t="s">
        <v>23</v>
      </c>
      <c r="H133" s="5" t="s">
        <v>23</v>
      </c>
      <c r="I133" s="6">
        <f>IF(O133=1,1.0,0)</f>
        <v/>
      </c>
      <c r="J133" s="5" t="s">
        <v>23</v>
      </c>
      <c r="K133" s="5" t="s">
        <v>23</v>
      </c>
      <c r="L133" s="5" t="s">
        <v>23</v>
      </c>
      <c r="M133" s="5" t="s">
        <v>23</v>
      </c>
      <c r="N133" s="5" t="s">
        <v>23</v>
      </c>
      <c r="O133" s="8">
        <f>IF(OR(LOOKUP(A133,characters!A:A,characters!B:B)=-1, LOOKUP(A133,characters!A:A,characters!B:B)+0.1&gt;=B133),1,0)</f>
        <v/>
      </c>
    </row>
    <row r="134" spans="1:15">
      <c r="A134" s="4" t="s">
        <v>42</v>
      </c>
      <c r="B134" s="7">
        <v>0</v>
      </c>
      <c r="C134" s="6">
        <f>IF(O134=1,0.9,0)</f>
        <v/>
      </c>
      <c r="D134" s="6">
        <f>IF(O134=1,0.7,0)</f>
        <v/>
      </c>
      <c r="E134" s="6">
        <f>IF(O134=1,0.8,0)</f>
        <v/>
      </c>
      <c r="F134" s="6">
        <f>IF(O134=1,0.8,0)</f>
        <v/>
      </c>
      <c r="G134" s="5" t="s">
        <v>23</v>
      </c>
      <c r="H134" s="5" t="s">
        <v>23</v>
      </c>
      <c r="I134" s="5" t="s">
        <v>23</v>
      </c>
      <c r="J134" s="6">
        <f>IF(O134=1,1.0,0)</f>
        <v/>
      </c>
      <c r="K134" s="5" t="s">
        <v>23</v>
      </c>
      <c r="L134" s="5" t="s">
        <v>23</v>
      </c>
      <c r="M134" s="5" t="s">
        <v>23</v>
      </c>
      <c r="N134" s="5" t="s">
        <v>23</v>
      </c>
      <c r="O134" s="8">
        <f>IF(OR(LOOKUP(A134,characters!A:A,characters!B:B)=-1, LOOKUP(A134,characters!A:A,characters!B:B)+0.1&gt;=B134),1,0)</f>
        <v/>
      </c>
    </row>
    <row r="135" spans="1:15">
      <c r="A135" s="4" t="s">
        <v>44</v>
      </c>
      <c r="B135" s="7">
        <v>0</v>
      </c>
      <c r="C135" s="6">
        <f>IF(O135=1,1.0,0)</f>
        <v/>
      </c>
      <c r="D135" s="6">
        <f>IF(O135=1,0.8,0)</f>
        <v/>
      </c>
      <c r="E135" s="5" t="s">
        <v>23</v>
      </c>
      <c r="F135" s="5" t="s">
        <v>23</v>
      </c>
      <c r="G135" s="6">
        <f>IF(O135=1,0.8,0)</f>
        <v/>
      </c>
      <c r="H135" s="6">
        <f>IF(O135=1,0.8,0)</f>
        <v/>
      </c>
      <c r="I135" s="5" t="s">
        <v>23</v>
      </c>
      <c r="J135" s="5" t="s">
        <v>23</v>
      </c>
      <c r="K135" s="5" t="s">
        <v>23</v>
      </c>
      <c r="L135" s="6">
        <f>IF(O135=1,0.9,0)</f>
        <v/>
      </c>
      <c r="M135" s="5" t="s">
        <v>23</v>
      </c>
      <c r="N135" s="5" t="s">
        <v>23</v>
      </c>
      <c r="O135" s="8">
        <f>IF(OR(LOOKUP(A135,characters!A:A,characters!B:B)=-1, LOOKUP(A135,characters!A:A,characters!B:B)+0.1&gt;=B135),1,0)</f>
        <v/>
      </c>
    </row>
    <row r="136" spans="1:15">
      <c r="A136" s="4" t="s">
        <v>46</v>
      </c>
      <c r="B136" s="7">
        <v>0</v>
      </c>
      <c r="C136" s="6">
        <f>IF(O136=1,1.0,0)</f>
        <v/>
      </c>
      <c r="D136" s="5" t="s">
        <v>23</v>
      </c>
      <c r="E136" s="6">
        <f>IF(O136=1,0.9,0)</f>
        <v/>
      </c>
      <c r="F136" s="6">
        <f>IF(O136=1,0.9,0)</f>
        <v/>
      </c>
      <c r="G136" s="5" t="s">
        <v>23</v>
      </c>
      <c r="H136" s="5" t="s">
        <v>23</v>
      </c>
      <c r="I136" s="5" t="s">
        <v>23</v>
      </c>
      <c r="J136" s="6">
        <f>IF(O136=1,1.0,0)</f>
        <v/>
      </c>
      <c r="K136" s="5" t="s">
        <v>23</v>
      </c>
      <c r="L136" s="5" t="s">
        <v>23</v>
      </c>
      <c r="M136" s="5" t="s">
        <v>23</v>
      </c>
      <c r="N136" s="5" t="s">
        <v>23</v>
      </c>
      <c r="O136" s="8">
        <f>IF(OR(LOOKUP(A136,characters!A:A,characters!B:B)=-1, LOOKUP(A136,characters!A:A,characters!B:B)+0.1&gt;=B136),1,0)</f>
        <v/>
      </c>
    </row>
    <row r="137" spans="1:15">
      <c r="A137" s="4" t="s">
        <v>47</v>
      </c>
      <c r="B137" s="7">
        <v>0</v>
      </c>
      <c r="C137" s="6">
        <f>IF(O137=1,0.9,0)</f>
        <v/>
      </c>
      <c r="D137" s="6">
        <f>IF(O137=1,1.0,0)</f>
        <v/>
      </c>
      <c r="E137" s="6">
        <f>IF(O137=1,0.8,0)</f>
        <v/>
      </c>
      <c r="F137" s="6">
        <f>IF(O137=1,0.7,0)</f>
        <v/>
      </c>
      <c r="G137" s="5" t="s">
        <v>23</v>
      </c>
      <c r="H137" s="5" t="s">
        <v>23</v>
      </c>
      <c r="I137" s="5" t="s">
        <v>23</v>
      </c>
      <c r="J137" s="5" t="s">
        <v>23</v>
      </c>
      <c r="K137" s="6">
        <f>IF(O137=1,0.6,0)</f>
        <v/>
      </c>
      <c r="L137" s="5" t="s">
        <v>23</v>
      </c>
      <c r="M137" s="5" t="s">
        <v>23</v>
      </c>
      <c r="N137" s="5" t="s">
        <v>23</v>
      </c>
      <c r="O137" s="8">
        <f>IF(OR(LOOKUP(A137,characters!A:A,characters!B:B)=-1, LOOKUP(A137,characters!A:A,characters!B:B)+0.1&gt;=B137),1,0)</f>
        <v/>
      </c>
    </row>
    <row r="138" spans="1:15">
      <c r="A138" s="4" t="s">
        <v>43</v>
      </c>
      <c r="B138" s="7">
        <v>1</v>
      </c>
      <c r="C138" s="6">
        <f>IF(O138=1,1.0,0)</f>
        <v/>
      </c>
      <c r="D138" s="6">
        <f>IF(O138=1,0.8,0)</f>
        <v/>
      </c>
      <c r="E138" s="5" t="s">
        <v>23</v>
      </c>
      <c r="F138" s="5" t="s">
        <v>23</v>
      </c>
      <c r="G138" s="6">
        <f>IF(O138=1,0.9,0)</f>
        <v/>
      </c>
      <c r="H138" s="6">
        <f>IF(O138=1,0.9,0)</f>
        <v/>
      </c>
      <c r="I138" s="5" t="s">
        <v>23</v>
      </c>
      <c r="J138" s="6">
        <f>IF(O138=1,0.9,0)</f>
        <v/>
      </c>
      <c r="K138" s="6">
        <f>IF(O138=1,1.0,0)</f>
        <v/>
      </c>
      <c r="L138" s="5" t="s">
        <v>23</v>
      </c>
      <c r="M138" s="5" t="s">
        <v>23</v>
      </c>
      <c r="N138" s="5" t="s">
        <v>23</v>
      </c>
      <c r="O138" s="8">
        <f>IF(OR(LOOKUP(A138,characters!A:A,characters!B:B)=-1, LOOKUP(A138,characters!A:A,characters!B:B)+0.1&gt;=B138),1,0)</f>
        <v/>
      </c>
    </row>
    <row r="139" spans="1:15">
      <c r="A139" s="4" t="s">
        <v>48</v>
      </c>
      <c r="B139" s="7">
        <v>1</v>
      </c>
      <c r="C139" s="6">
        <f>IF(O139=1,1.0,0)</f>
        <v/>
      </c>
      <c r="D139" s="6">
        <f>IF(O139=1,0.8,0)</f>
        <v/>
      </c>
      <c r="E139" s="5" t="s">
        <v>23</v>
      </c>
      <c r="F139" s="5" t="s">
        <v>23</v>
      </c>
      <c r="G139" s="6">
        <f>IF(O139=1,0.9,0)</f>
        <v/>
      </c>
      <c r="H139" s="6">
        <f>IF(O139=1,0.9,0)</f>
        <v/>
      </c>
      <c r="I139" s="5" t="s">
        <v>23</v>
      </c>
      <c r="J139" s="5" t="s">
        <v>23</v>
      </c>
      <c r="K139" s="5" t="s">
        <v>23</v>
      </c>
      <c r="L139" s="5" t="s">
        <v>23</v>
      </c>
      <c r="M139" s="5" t="s">
        <v>23</v>
      </c>
      <c r="N139" s="5" t="s">
        <v>23</v>
      </c>
      <c r="O139" s="8">
        <f>IF(OR(LOOKUP(A139,characters!A:A,characters!B:B)=-1, LOOKUP(A139,characters!A:A,characters!B:B)+0.1&gt;=B139),1,0)</f>
        <v/>
      </c>
    </row>
    <row r="140" spans="1:15">
      <c r="A140" s="4" t="s">
        <v>24</v>
      </c>
      <c r="B140" s="7">
        <v>2</v>
      </c>
      <c r="C140" s="6">
        <f>IF(O140=1,1.0,0)</f>
        <v/>
      </c>
      <c r="D140" s="6">
        <f>IF(O140=1,0.8,0)</f>
        <v/>
      </c>
      <c r="E140" s="5" t="s">
        <v>23</v>
      </c>
      <c r="F140" s="5" t="s">
        <v>23</v>
      </c>
      <c r="G140" s="6">
        <f>IF(O140=1,0.9,0)</f>
        <v/>
      </c>
      <c r="H140" s="6">
        <f>IF(O140=1,0.9,0)</f>
        <v/>
      </c>
      <c r="I140" s="5" t="s">
        <v>23</v>
      </c>
      <c r="J140" s="5" t="s">
        <v>23</v>
      </c>
      <c r="K140" s="5" t="s">
        <v>23</v>
      </c>
      <c r="L140" s="5" t="s">
        <v>23</v>
      </c>
      <c r="M140" s="5" t="s">
        <v>23</v>
      </c>
      <c r="N140" s="5" t="s">
        <v>23</v>
      </c>
      <c r="O140" s="8">
        <f>IF(OR(LOOKUP(A140,characters!A:A,characters!B:B)=-1, LOOKUP(A140,characters!A:A,characters!B:B)+0.1&gt;=B140),1,0)</f>
        <v/>
      </c>
    </row>
    <row r="141" spans="1:15">
      <c r="A141" s="4" t="s">
        <v>32</v>
      </c>
      <c r="B141" s="7">
        <v>2</v>
      </c>
      <c r="C141" s="6">
        <f>IF(O141=1,1.0,0)</f>
        <v/>
      </c>
      <c r="D141" s="6">
        <f>IF(O141=1,0.8,0)</f>
        <v/>
      </c>
      <c r="E141" s="5" t="s">
        <v>23</v>
      </c>
      <c r="F141" s="5" t="s">
        <v>23</v>
      </c>
      <c r="G141" s="6">
        <f>IF(O141=1,0.9,0)</f>
        <v/>
      </c>
      <c r="H141" s="6">
        <f>IF(O141=1,0.9,0)</f>
        <v/>
      </c>
      <c r="I141" s="5" t="s">
        <v>23</v>
      </c>
      <c r="J141" s="6">
        <f>IF(O141=1,0.8,0)</f>
        <v/>
      </c>
      <c r="K141" s="5" t="s">
        <v>23</v>
      </c>
      <c r="L141" s="5" t="s">
        <v>23</v>
      </c>
      <c r="M141" s="5" t="s">
        <v>23</v>
      </c>
      <c r="N141" s="5" t="s">
        <v>23</v>
      </c>
      <c r="O141" s="8">
        <f>IF(OR(LOOKUP(A141,characters!A:A,characters!B:B)=-1, LOOKUP(A141,characters!A:A,characters!B:B)+0.1&gt;=B141),1,0)</f>
        <v/>
      </c>
    </row>
    <row r="142" spans="1:15">
      <c r="A142" s="4" t="s">
        <v>45</v>
      </c>
      <c r="B142" s="7">
        <v>2</v>
      </c>
      <c r="C142" s="6">
        <f>IF(O142=1,1.0,0)</f>
        <v/>
      </c>
      <c r="D142" s="6">
        <f>IF(O142=1,0.8,0)</f>
        <v/>
      </c>
      <c r="E142" s="5" t="s">
        <v>23</v>
      </c>
      <c r="F142" s="5" t="s">
        <v>23</v>
      </c>
      <c r="G142" s="6">
        <f>IF(O142=1,0.9,0)</f>
        <v/>
      </c>
      <c r="H142" s="6">
        <f>IF(O142=1,0.9,0)</f>
        <v/>
      </c>
      <c r="I142" s="6">
        <f>IF(O142=1,1.0,0)</f>
        <v/>
      </c>
      <c r="J142" s="5" t="s">
        <v>23</v>
      </c>
      <c r="K142" s="5" t="s">
        <v>23</v>
      </c>
      <c r="L142" s="5" t="s">
        <v>23</v>
      </c>
      <c r="M142" s="5" t="s">
        <v>23</v>
      </c>
      <c r="N142" s="5" t="s">
        <v>23</v>
      </c>
      <c r="O142" s="8">
        <f>IF(OR(LOOKUP(A142,characters!A:A,characters!B:B)=-1, LOOKUP(A142,characters!A:A,characters!B:B)+0.1&gt;=B142),1,0)</f>
        <v/>
      </c>
    </row>
    <row r="144" spans="1:15">
      <c r="A144" s="3" t="s">
        <v>49</v>
      </c>
      <c r="B144" s="3" t="s">
        <v>9</v>
      </c>
      <c r="C144" s="3" t="s">
        <v>13</v>
      </c>
      <c r="D144" s="3" t="s">
        <v>12</v>
      </c>
      <c r="E144" s="3" t="s">
        <v>19</v>
      </c>
      <c r="F144" s="3" t="s">
        <v>50</v>
      </c>
      <c r="G144" s="3" t="s">
        <v>17</v>
      </c>
      <c r="H144" s="3" t="s">
        <v>16</v>
      </c>
      <c r="I144" s="3" t="s">
        <v>51</v>
      </c>
      <c r="J144" s="3" t="s">
        <v>21</v>
      </c>
    </row>
    <row r="145" spans="1:11">
      <c r="A145" s="4" t="s">
        <v>22</v>
      </c>
      <c r="B145" s="5" t="s">
        <v>23</v>
      </c>
      <c r="C145" s="6">
        <f>IF(SUM(K146:K169)=0,0,SUM(C146:C169)/SUM(K146:K169))</f>
        <v/>
      </c>
      <c r="D145" s="6">
        <f>IF(SUM(K146:K169)=0,0,SUM(D146:D169)/SUM(K146:K169))</f>
        <v/>
      </c>
      <c r="E145" s="6">
        <f>IF(SUM(K146:K169)=0,0,SUM(E146:E169)/SUM(K146:K169))</f>
        <v/>
      </c>
      <c r="F145" s="6">
        <f>IF(SUM(K146:K169)=0,0,SUM(F146:F169)/SUM(K146:K169))</f>
        <v/>
      </c>
      <c r="G145" s="6">
        <f>IF(SUM(K146:K169)=0,0,SUM(G146:G169)/SUM(K146:K169))</f>
        <v/>
      </c>
      <c r="H145" s="6">
        <f>IF(SUM(K146:K169)=0,0,SUM(H146:H169)/SUM(K146:K169))</f>
        <v/>
      </c>
      <c r="I145" s="6">
        <f>IF(SUM(K146:K169)=0,0,SUM(I146:I169)/SUM(K146:K169))</f>
        <v/>
      </c>
      <c r="J145" s="6">
        <f>IF(SUM(K146:K169)=0,0,SUM(J146:J169)/SUM(K146:K169))</f>
        <v/>
      </c>
    </row>
    <row r="146" spans="1:11">
      <c r="A146" s="4" t="s">
        <v>24</v>
      </c>
      <c r="B146" s="7">
        <v>2</v>
      </c>
      <c r="C146" s="6">
        <f>IF(K146=1,1.0,0)</f>
        <v/>
      </c>
      <c r="D146" s="6">
        <f>IF(K146=1,0.9,0)</f>
        <v/>
      </c>
      <c r="E146" s="5" t="s">
        <v>23</v>
      </c>
      <c r="F146" s="5" t="s">
        <v>23</v>
      </c>
      <c r="G146" s="5" t="s">
        <v>23</v>
      </c>
      <c r="H146" s="5" t="s">
        <v>23</v>
      </c>
      <c r="I146" s="5" t="s">
        <v>23</v>
      </c>
      <c r="J146" s="5" t="s">
        <v>23</v>
      </c>
      <c r="K146" s="8">
        <f>IF(OR(LOOKUP(A146,characters!A:A,characters!B:B)=-1, LOOKUP(A146,characters!A:A,characters!B:B)+0.1&gt;=B146),1,0)</f>
        <v/>
      </c>
    </row>
    <row r="147" spans="1:11">
      <c r="A147" s="4" t="s">
        <v>25</v>
      </c>
      <c r="B147" s="7">
        <v>0</v>
      </c>
      <c r="C147" s="5" t="s">
        <v>23</v>
      </c>
      <c r="D147" s="6">
        <f>IF(K147=1,1.0,0)</f>
        <v/>
      </c>
      <c r="E147" s="6">
        <f>IF(K147=1,1.0,0)</f>
        <v/>
      </c>
      <c r="F147" s="5" t="s">
        <v>23</v>
      </c>
      <c r="G147" s="5" t="s">
        <v>23</v>
      </c>
      <c r="H147" s="5" t="s">
        <v>23</v>
      </c>
      <c r="I147" s="5" t="s">
        <v>23</v>
      </c>
      <c r="J147" s="5" t="s">
        <v>23</v>
      </c>
      <c r="K147" s="8">
        <f>IF(OR(LOOKUP(A147,characters!A:A,characters!B:B)=-1, LOOKUP(A147,characters!A:A,characters!B:B)+0.1&gt;=B147),1,0)</f>
        <v/>
      </c>
    </row>
    <row r="148" spans="1:11">
      <c r="A148" s="4" t="s">
        <v>26</v>
      </c>
      <c r="B148" s="7">
        <v>0</v>
      </c>
      <c r="C148" s="6">
        <f>IF(K148=1,0.9,0)</f>
        <v/>
      </c>
      <c r="D148" s="5" t="s">
        <v>23</v>
      </c>
      <c r="E148" s="5" t="s">
        <v>23</v>
      </c>
      <c r="F148" s="6">
        <f>IF(K148=1,1.0,0)</f>
        <v/>
      </c>
      <c r="G148" s="5" t="s">
        <v>23</v>
      </c>
      <c r="H148" s="5" t="s">
        <v>23</v>
      </c>
      <c r="I148" s="5" t="s">
        <v>23</v>
      </c>
      <c r="J148" s="5" t="s">
        <v>23</v>
      </c>
      <c r="K148" s="8">
        <f>IF(OR(LOOKUP(A148,characters!A:A,characters!B:B)=-1, LOOKUP(A148,characters!A:A,characters!B:B)+0.1&gt;=B148),1,0)</f>
        <v/>
      </c>
    </row>
    <row r="149" spans="1:11">
      <c r="A149" s="4" t="s">
        <v>27</v>
      </c>
      <c r="B149" s="7">
        <v>0</v>
      </c>
      <c r="C149" s="5" t="s">
        <v>23</v>
      </c>
      <c r="D149" s="5" t="s">
        <v>23</v>
      </c>
      <c r="E149" s="6">
        <f>IF(K149=1,1.0,0)</f>
        <v/>
      </c>
      <c r="F149" s="5" t="s">
        <v>23</v>
      </c>
      <c r="G149" s="5" t="s">
        <v>23</v>
      </c>
      <c r="H149" s="5" t="s">
        <v>23</v>
      </c>
      <c r="I149" s="5" t="s">
        <v>23</v>
      </c>
      <c r="J149" s="5" t="s">
        <v>23</v>
      </c>
      <c r="K149" s="8">
        <f>IF(OR(LOOKUP(A149,characters!A:A,characters!B:B)=-1, LOOKUP(A149,characters!A:A,characters!B:B)+0.1&gt;=B149),1,0)</f>
        <v/>
      </c>
    </row>
    <row r="150" spans="1:11">
      <c r="A150" s="4" t="s">
        <v>28</v>
      </c>
      <c r="B150" s="7">
        <v>0</v>
      </c>
      <c r="C150" s="6">
        <f>IF(K150=1,1.0,0)</f>
        <v/>
      </c>
      <c r="D150" s="6">
        <f>IF(K150=1,0.9,0)</f>
        <v/>
      </c>
      <c r="E150" s="5" t="s">
        <v>23</v>
      </c>
      <c r="F150" s="5" t="s">
        <v>23</v>
      </c>
      <c r="G150" s="5" t="s">
        <v>23</v>
      </c>
      <c r="H150" s="5" t="s">
        <v>23</v>
      </c>
      <c r="I150" s="5" t="s">
        <v>23</v>
      </c>
      <c r="J150" s="5" t="s">
        <v>23</v>
      </c>
      <c r="K150" s="8">
        <f>IF(OR(LOOKUP(A150,characters!A:A,characters!B:B)=-1, LOOKUP(A150,characters!A:A,characters!B:B)+0.1&gt;=B150),1,0)</f>
        <v/>
      </c>
    </row>
    <row r="151" spans="1:11">
      <c r="A151" s="4" t="s">
        <v>29</v>
      </c>
      <c r="B151" s="7">
        <v>0</v>
      </c>
      <c r="C151" s="5" t="s">
        <v>23</v>
      </c>
      <c r="D151" s="5" t="s">
        <v>23</v>
      </c>
      <c r="E151" s="5" t="s">
        <v>23</v>
      </c>
      <c r="F151" s="6">
        <f>IF(K151=1,1.0,0)</f>
        <v/>
      </c>
      <c r="G151" s="5" t="s">
        <v>23</v>
      </c>
      <c r="H151" s="5" t="s">
        <v>23</v>
      </c>
      <c r="I151" s="5" t="s">
        <v>23</v>
      </c>
      <c r="J151" s="5" t="s">
        <v>23</v>
      </c>
      <c r="K151" s="8">
        <f>IF(OR(LOOKUP(A151,characters!A:A,characters!B:B)=-1, LOOKUP(A151,characters!A:A,characters!B:B)+0.1&gt;=B151),1,0)</f>
        <v/>
      </c>
    </row>
    <row r="152" spans="1:11">
      <c r="A152" s="4" t="s">
        <v>30</v>
      </c>
      <c r="B152" s="7">
        <v>0</v>
      </c>
      <c r="C152" s="5" t="s">
        <v>23</v>
      </c>
      <c r="D152" s="6">
        <f>IF(K152=1,1.0,0)</f>
        <v/>
      </c>
      <c r="E152" s="5" t="s">
        <v>23</v>
      </c>
      <c r="F152" s="5" t="s">
        <v>23</v>
      </c>
      <c r="G152" s="5" t="s">
        <v>23</v>
      </c>
      <c r="H152" s="5" t="s">
        <v>23</v>
      </c>
      <c r="I152" s="5" t="s">
        <v>23</v>
      </c>
      <c r="J152" s="5" t="s">
        <v>23</v>
      </c>
      <c r="K152" s="8">
        <f>IF(OR(LOOKUP(A152,characters!A:A,characters!B:B)=-1, LOOKUP(A152,characters!A:A,characters!B:B)+0.1&gt;=B152),1,0)</f>
        <v/>
      </c>
    </row>
    <row r="153" spans="1:11">
      <c r="A153" s="4" t="s">
        <v>31</v>
      </c>
      <c r="B153" s="7">
        <v>0</v>
      </c>
      <c r="C153" s="5" t="s">
        <v>23</v>
      </c>
      <c r="D153" s="5" t="s">
        <v>23</v>
      </c>
      <c r="E153" s="5" t="s">
        <v>23</v>
      </c>
      <c r="F153" s="5" t="s">
        <v>23</v>
      </c>
      <c r="G153" s="6">
        <f>IF(K153=1,1.0,0)</f>
        <v/>
      </c>
      <c r="H153" s="6">
        <f>IF(K153=1,0.9,0)</f>
        <v/>
      </c>
      <c r="I153" s="5" t="s">
        <v>23</v>
      </c>
      <c r="J153" s="5" t="s">
        <v>23</v>
      </c>
      <c r="K153" s="8">
        <f>IF(OR(LOOKUP(A153,characters!A:A,characters!B:B)=-1, LOOKUP(A153,characters!A:A,characters!B:B)+0.1&gt;=B153),1,0)</f>
        <v/>
      </c>
    </row>
    <row r="154" spans="1:11">
      <c r="A154" s="4" t="s">
        <v>32</v>
      </c>
      <c r="B154" s="7">
        <v>2</v>
      </c>
      <c r="C154" s="6">
        <f>IF(K154=1,1.0,0)</f>
        <v/>
      </c>
      <c r="D154" s="6">
        <f>IF(K154=1,0.9,0)</f>
        <v/>
      </c>
      <c r="E154" s="5" t="s">
        <v>23</v>
      </c>
      <c r="F154" s="5" t="s">
        <v>23</v>
      </c>
      <c r="G154" s="5" t="s">
        <v>23</v>
      </c>
      <c r="H154" s="5" t="s">
        <v>23</v>
      </c>
      <c r="I154" s="5" t="s">
        <v>23</v>
      </c>
      <c r="J154" s="5" t="s">
        <v>23</v>
      </c>
      <c r="K154" s="8">
        <f>IF(OR(LOOKUP(A154,characters!A:A,characters!B:B)=-1, LOOKUP(A154,characters!A:A,characters!B:B)+0.1&gt;=B154),1,0)</f>
        <v/>
      </c>
    </row>
    <row r="155" spans="1:11">
      <c r="A155" s="4" t="s">
        <v>33</v>
      </c>
      <c r="B155" s="7">
        <v>0</v>
      </c>
      <c r="C155" s="6">
        <f>IF(K155=1,0.9,0)</f>
        <v/>
      </c>
      <c r="D155" s="5" t="s">
        <v>23</v>
      </c>
      <c r="E155" s="5" t="s">
        <v>23</v>
      </c>
      <c r="F155" s="6">
        <f>IF(K155=1,1.0,0)</f>
        <v/>
      </c>
      <c r="G155" s="5" t="s">
        <v>23</v>
      </c>
      <c r="H155" s="5" t="s">
        <v>23</v>
      </c>
      <c r="I155" s="5" t="s">
        <v>23</v>
      </c>
      <c r="J155" s="5" t="s">
        <v>23</v>
      </c>
      <c r="K155" s="8">
        <f>IF(OR(LOOKUP(A155,characters!A:A,characters!B:B)=-1, LOOKUP(A155,characters!A:A,characters!B:B)+0.1&gt;=B155),1,0)</f>
        <v/>
      </c>
    </row>
    <row r="156" spans="1:11">
      <c r="A156" s="4" t="s">
        <v>34</v>
      </c>
      <c r="B156" s="7">
        <v>0</v>
      </c>
      <c r="C156" s="5" t="s">
        <v>23</v>
      </c>
      <c r="D156" s="5" t="s">
        <v>23</v>
      </c>
      <c r="E156" s="5" t="s">
        <v>23</v>
      </c>
      <c r="F156" s="5" t="s">
        <v>23</v>
      </c>
      <c r="G156" s="5" t="s">
        <v>23</v>
      </c>
      <c r="H156" s="6">
        <f>IF(K156=1,1.0,0)</f>
        <v/>
      </c>
      <c r="I156" s="5" t="s">
        <v>23</v>
      </c>
      <c r="J156" s="5" t="s">
        <v>23</v>
      </c>
      <c r="K156" s="8">
        <f>IF(OR(LOOKUP(A156,characters!A:A,characters!B:B)=-1, LOOKUP(A156,characters!A:A,characters!B:B)+0.1&gt;=B156),1,0)</f>
        <v/>
      </c>
    </row>
    <row r="157" spans="1:11">
      <c r="A157" s="4" t="s">
        <v>35</v>
      </c>
      <c r="B157" s="7">
        <v>0</v>
      </c>
      <c r="C157" s="5" t="s">
        <v>23</v>
      </c>
      <c r="D157" s="5" t="s">
        <v>23</v>
      </c>
      <c r="E157" s="5" t="s">
        <v>23</v>
      </c>
      <c r="F157" s="6">
        <f>IF(K157=1,1.0,0)</f>
        <v/>
      </c>
      <c r="G157" s="5" t="s">
        <v>23</v>
      </c>
      <c r="H157" s="5" t="s">
        <v>23</v>
      </c>
      <c r="I157" s="5" t="s">
        <v>23</v>
      </c>
      <c r="J157" s="5" t="s">
        <v>23</v>
      </c>
      <c r="K157" s="8">
        <f>IF(OR(LOOKUP(A157,characters!A:A,characters!B:B)=-1, LOOKUP(A157,characters!A:A,characters!B:B)+0.1&gt;=B157),1,0)</f>
        <v/>
      </c>
    </row>
    <row r="158" spans="1:11">
      <c r="A158" s="4" t="s">
        <v>36</v>
      </c>
      <c r="B158" s="7">
        <v>0</v>
      </c>
      <c r="C158" s="5" t="s">
        <v>23</v>
      </c>
      <c r="D158" s="5" t="s">
        <v>23</v>
      </c>
      <c r="E158" s="5" t="s">
        <v>23</v>
      </c>
      <c r="F158" s="6">
        <f>IF(K158=1,1.0,0)</f>
        <v/>
      </c>
      <c r="G158" s="5" t="s">
        <v>23</v>
      </c>
      <c r="H158" s="5" t="s">
        <v>23</v>
      </c>
      <c r="I158" s="5" t="s">
        <v>23</v>
      </c>
      <c r="J158" s="5" t="s">
        <v>23</v>
      </c>
      <c r="K158" s="8">
        <f>IF(OR(LOOKUP(A158,characters!A:A,characters!B:B)=-1, LOOKUP(A158,characters!A:A,characters!B:B)+0.1&gt;=B158),1,0)</f>
        <v/>
      </c>
    </row>
    <row r="159" spans="1:11">
      <c r="A159" s="4" t="s">
        <v>37</v>
      </c>
      <c r="B159" s="7">
        <v>0</v>
      </c>
      <c r="C159" s="6">
        <f>IF(K159=1,0.9,0)</f>
        <v/>
      </c>
      <c r="D159" s="5" t="s">
        <v>23</v>
      </c>
      <c r="E159" s="5" t="s">
        <v>23</v>
      </c>
      <c r="F159" s="6">
        <f>IF(K159=1,1.0,0)</f>
        <v/>
      </c>
      <c r="G159" s="5" t="s">
        <v>23</v>
      </c>
      <c r="H159" s="5" t="s">
        <v>23</v>
      </c>
      <c r="I159" s="5" t="s">
        <v>23</v>
      </c>
      <c r="J159" s="5" t="s">
        <v>23</v>
      </c>
      <c r="K159" s="8">
        <f>IF(OR(LOOKUP(A159,characters!A:A,characters!B:B)=-1, LOOKUP(A159,characters!A:A,characters!B:B)+0.1&gt;=B159),1,0)</f>
        <v/>
      </c>
    </row>
    <row r="160" spans="1:11">
      <c r="A160" s="4" t="s">
        <v>38</v>
      </c>
      <c r="B160" s="7">
        <v>0</v>
      </c>
      <c r="C160" s="5" t="s">
        <v>23</v>
      </c>
      <c r="D160" s="6">
        <f>IF(K160=1,0.99,0)</f>
        <v/>
      </c>
      <c r="E160" s="5" t="s">
        <v>23</v>
      </c>
      <c r="F160" s="5" t="s">
        <v>23</v>
      </c>
      <c r="G160" s="5" t="s">
        <v>23</v>
      </c>
      <c r="H160" s="6">
        <f>IF(K160=1,1.0,0)</f>
        <v/>
      </c>
      <c r="I160" s="5" t="s">
        <v>23</v>
      </c>
      <c r="J160" s="5" t="s">
        <v>23</v>
      </c>
      <c r="K160" s="8">
        <f>IF(OR(LOOKUP(A160,characters!A:A,characters!B:B)=-1, LOOKUP(A160,characters!A:A,characters!B:B)+0.1&gt;=B160),1,0)</f>
        <v/>
      </c>
    </row>
    <row r="161" spans="1:11">
      <c r="A161" s="4" t="s">
        <v>39</v>
      </c>
      <c r="B161" s="7">
        <v>0</v>
      </c>
      <c r="C161" s="6">
        <f>IF(K161=1,0.9,0)</f>
        <v/>
      </c>
      <c r="D161" s="5" t="s">
        <v>23</v>
      </c>
      <c r="E161" s="5" t="s">
        <v>23</v>
      </c>
      <c r="F161" s="6">
        <f>IF(K161=1,1.0,0)</f>
        <v/>
      </c>
      <c r="G161" s="5" t="s">
        <v>23</v>
      </c>
      <c r="H161" s="5" t="s">
        <v>23</v>
      </c>
      <c r="I161" s="5" t="s">
        <v>23</v>
      </c>
      <c r="J161" s="5" t="s">
        <v>23</v>
      </c>
      <c r="K161" s="8">
        <f>IF(OR(LOOKUP(A161,characters!A:A,characters!B:B)=-1, LOOKUP(A161,characters!A:A,characters!B:B)+0.1&gt;=B161),1,0)</f>
        <v/>
      </c>
    </row>
    <row r="162" spans="1:11">
      <c r="A162" s="4" t="s">
        <v>41</v>
      </c>
      <c r="B162" s="7">
        <v>0</v>
      </c>
      <c r="C162" s="5" t="s">
        <v>23</v>
      </c>
      <c r="D162" s="5" t="s">
        <v>23</v>
      </c>
      <c r="E162" s="5" t="s">
        <v>23</v>
      </c>
      <c r="F162" s="5" t="s">
        <v>23</v>
      </c>
      <c r="G162" s="5" t="s">
        <v>23</v>
      </c>
      <c r="H162" s="5" t="s">
        <v>23</v>
      </c>
      <c r="I162" s="6">
        <f>IF(K162=1,1.0,0)</f>
        <v/>
      </c>
      <c r="J162" s="5" t="s">
        <v>23</v>
      </c>
      <c r="K162" s="8">
        <f>IF(OR(LOOKUP(A162,characters!A:A,characters!B:B)=-1, LOOKUP(A162,characters!A:A,characters!B:B)+0.1&gt;=B162),1,0)</f>
        <v/>
      </c>
    </row>
    <row r="163" spans="1:11">
      <c r="A163" s="4" t="s">
        <v>42</v>
      </c>
      <c r="B163" s="7">
        <v>0</v>
      </c>
      <c r="C163" s="6">
        <f>IF(K163=1,1.0,0)</f>
        <v/>
      </c>
      <c r="D163" s="6">
        <f>IF(K163=1,0.9,0)</f>
        <v/>
      </c>
      <c r="E163" s="5" t="s">
        <v>23</v>
      </c>
      <c r="F163" s="5" t="s">
        <v>23</v>
      </c>
      <c r="G163" s="5" t="s">
        <v>23</v>
      </c>
      <c r="H163" s="5" t="s">
        <v>23</v>
      </c>
      <c r="I163" s="5" t="s">
        <v>23</v>
      </c>
      <c r="J163" s="5" t="s">
        <v>23</v>
      </c>
      <c r="K163" s="8">
        <f>IF(OR(LOOKUP(A163,characters!A:A,characters!B:B)=-1, LOOKUP(A163,characters!A:A,characters!B:B)+0.1&gt;=B163),1,0)</f>
        <v/>
      </c>
    </row>
    <row r="164" spans="1:11">
      <c r="A164" s="4" t="s">
        <v>43</v>
      </c>
      <c r="B164" s="7">
        <v>1</v>
      </c>
      <c r="C164" s="5" t="s">
        <v>23</v>
      </c>
      <c r="D164" s="5" t="s">
        <v>23</v>
      </c>
      <c r="E164" s="5" t="s">
        <v>23</v>
      </c>
      <c r="F164" s="5" t="s">
        <v>23</v>
      </c>
      <c r="G164" s="5" t="s">
        <v>23</v>
      </c>
      <c r="H164" s="6">
        <f>IF(K164=1,1.0,0)</f>
        <v/>
      </c>
      <c r="I164" s="5" t="s">
        <v>23</v>
      </c>
      <c r="J164" s="5" t="s">
        <v>23</v>
      </c>
      <c r="K164" s="8">
        <f>IF(OR(LOOKUP(A164,characters!A:A,characters!B:B)=-1, LOOKUP(A164,characters!A:A,characters!B:B)+0.1&gt;=B164),1,0)</f>
        <v/>
      </c>
    </row>
    <row r="165" spans="1:11">
      <c r="A165" s="4" t="s">
        <v>44</v>
      </c>
      <c r="B165" s="7">
        <v>0</v>
      </c>
      <c r="C165" s="5" t="s">
        <v>23</v>
      </c>
      <c r="D165" s="5" t="s">
        <v>23</v>
      </c>
      <c r="E165" s="6">
        <f>IF(K165=1,1.0,0)</f>
        <v/>
      </c>
      <c r="F165" s="5" t="s">
        <v>23</v>
      </c>
      <c r="G165" s="5" t="s">
        <v>23</v>
      </c>
      <c r="H165" s="5" t="s">
        <v>23</v>
      </c>
      <c r="I165" s="5" t="s">
        <v>23</v>
      </c>
      <c r="J165" s="5" t="s">
        <v>23</v>
      </c>
      <c r="K165" s="8">
        <f>IF(OR(LOOKUP(A165,characters!A:A,characters!B:B)=-1, LOOKUP(A165,characters!A:A,characters!B:B)+0.1&gt;=B165),1,0)</f>
        <v/>
      </c>
    </row>
    <row r="166" spans="1:11">
      <c r="A166" s="4" t="s">
        <v>45</v>
      </c>
      <c r="B166" s="7">
        <v>2</v>
      </c>
      <c r="C166" s="6">
        <f>IF(K166=1,0.9,0)</f>
        <v/>
      </c>
      <c r="D166" s="5" t="s">
        <v>23</v>
      </c>
      <c r="E166" s="5" t="s">
        <v>23</v>
      </c>
      <c r="F166" s="5" t="s">
        <v>23</v>
      </c>
      <c r="G166" s="6">
        <f>IF(K166=1,1.0,0)</f>
        <v/>
      </c>
      <c r="H166" s="5" t="s">
        <v>23</v>
      </c>
      <c r="I166" s="5" t="s">
        <v>23</v>
      </c>
      <c r="J166" s="5" t="s">
        <v>23</v>
      </c>
      <c r="K166" s="8">
        <f>IF(OR(LOOKUP(A166,characters!A:A,characters!B:B)=-1, LOOKUP(A166,characters!A:A,characters!B:B)+0.1&gt;=B166),1,0)</f>
        <v/>
      </c>
    </row>
    <row r="167" spans="1:11">
      <c r="A167" s="4" t="s">
        <v>46</v>
      </c>
      <c r="B167" s="7">
        <v>0</v>
      </c>
      <c r="C167" s="6">
        <f>IF(K167=1,1.0,0)</f>
        <v/>
      </c>
      <c r="D167" s="6">
        <f>IF(K167=1,0.9,0)</f>
        <v/>
      </c>
      <c r="E167" s="5" t="s">
        <v>23</v>
      </c>
      <c r="F167" s="5" t="s">
        <v>23</v>
      </c>
      <c r="G167" s="5" t="s">
        <v>23</v>
      </c>
      <c r="H167" s="5" t="s">
        <v>23</v>
      </c>
      <c r="I167" s="5" t="s">
        <v>23</v>
      </c>
      <c r="J167" s="5" t="s">
        <v>23</v>
      </c>
      <c r="K167" s="8">
        <f>IF(OR(LOOKUP(A167,characters!A:A,characters!B:B)=-1, LOOKUP(A167,characters!A:A,characters!B:B)+0.1&gt;=B167),1,0)</f>
        <v/>
      </c>
    </row>
    <row r="168" spans="1:11">
      <c r="A168" s="4" t="s">
        <v>47</v>
      </c>
      <c r="B168" s="7">
        <v>0</v>
      </c>
      <c r="C168" s="5" t="s">
        <v>23</v>
      </c>
      <c r="D168" s="6">
        <f>IF(K168=1,1.0,0)</f>
        <v/>
      </c>
      <c r="E168" s="5" t="s">
        <v>23</v>
      </c>
      <c r="F168" s="5" t="s">
        <v>23</v>
      </c>
      <c r="G168" s="5" t="s">
        <v>23</v>
      </c>
      <c r="H168" s="5" t="s">
        <v>23</v>
      </c>
      <c r="I168" s="5" t="s">
        <v>23</v>
      </c>
      <c r="J168" s="5" t="s">
        <v>23</v>
      </c>
      <c r="K168" s="8">
        <f>IF(OR(LOOKUP(A168,characters!A:A,characters!B:B)=-1, LOOKUP(A168,characters!A:A,characters!B:B)+0.1&gt;=B168),1,0)</f>
        <v/>
      </c>
    </row>
    <row r="169" spans="1:11">
      <c r="A169" s="4" t="s">
        <v>48</v>
      </c>
      <c r="B169" s="7">
        <v>1</v>
      </c>
      <c r="C169" s="5" t="s">
        <v>23</v>
      </c>
      <c r="D169" s="5" t="s">
        <v>23</v>
      </c>
      <c r="E169" s="6">
        <f>IF(K169=1,0.99,0)</f>
        <v/>
      </c>
      <c r="F169" s="5" t="s">
        <v>23</v>
      </c>
      <c r="G169" s="5" t="s">
        <v>23</v>
      </c>
      <c r="H169" s="5" t="s">
        <v>23</v>
      </c>
      <c r="I169" s="5" t="s">
        <v>23</v>
      </c>
      <c r="J169" s="6">
        <f>IF(K169=1,1.0,0)</f>
        <v/>
      </c>
      <c r="K169" s="8">
        <f>IF(OR(LOOKUP(A169,characters!A:A,characters!B:B)=-1, LOOKUP(A169,characters!A:A,characters!B:B)+0.1&gt;=B169),1,0)</f>
        <v/>
      </c>
    </row>
    <row r="171" spans="1:11">
      <c r="A171" s="3" t="s">
        <v>52</v>
      </c>
      <c r="B171" s="3" t="s">
        <v>9</v>
      </c>
      <c r="C171" s="3" t="s">
        <v>10</v>
      </c>
      <c r="D171" s="3" t="s">
        <v>12</v>
      </c>
      <c r="E171" s="3" t="s">
        <v>13</v>
      </c>
      <c r="F171" s="3" t="s">
        <v>17</v>
      </c>
    </row>
    <row r="172" spans="1:11">
      <c r="A172" s="4" t="s">
        <v>22</v>
      </c>
      <c r="B172" s="5" t="s">
        <v>23</v>
      </c>
      <c r="C172" s="6">
        <f>IF(SUM(G173:G196)=0,0,SUM(C173:C196)/SUM(G173:G196))</f>
        <v/>
      </c>
      <c r="D172" s="6">
        <f>IF(SUM(G173:G196)=0,0,SUM(D173:D196)/SUM(G173:G196))</f>
        <v/>
      </c>
      <c r="E172" s="6">
        <f>IF(SUM(G173:G196)=0,0,SUM(E173:E196)/SUM(G173:G196))</f>
        <v/>
      </c>
      <c r="F172" s="6">
        <f>IF(SUM(G173:G196)=0,0,SUM(F173:F196)/SUM(G173:G196))</f>
        <v/>
      </c>
    </row>
    <row r="173" spans="1:11">
      <c r="A173" s="4" t="s">
        <v>24</v>
      </c>
      <c r="B173" s="7">
        <v>2</v>
      </c>
      <c r="C173" s="6">
        <f>IF(G173=1,1.0,0)</f>
        <v/>
      </c>
      <c r="D173" s="5" t="s">
        <v>23</v>
      </c>
      <c r="E173" s="5" t="s">
        <v>23</v>
      </c>
      <c r="F173" s="5" t="s">
        <v>23</v>
      </c>
      <c r="G173" s="8">
        <f>IF(OR(LOOKUP(A173,characters!A:A,characters!B:B)=-1, LOOKUP(A173,characters!A:A,characters!B:B)+0.1&gt;=B173),1,0)</f>
        <v/>
      </c>
    </row>
    <row r="174" spans="1:11">
      <c r="A174" s="4" t="s">
        <v>25</v>
      </c>
      <c r="B174" s="7">
        <v>0</v>
      </c>
      <c r="C174" s="6">
        <f>IF(G174=1,1.0,0)</f>
        <v/>
      </c>
      <c r="D174" s="6">
        <f>IF(G174=1,0.99,0)</f>
        <v/>
      </c>
      <c r="E174" s="5" t="s">
        <v>23</v>
      </c>
      <c r="F174" s="5" t="s">
        <v>23</v>
      </c>
      <c r="G174" s="8">
        <f>IF(OR(LOOKUP(A174,characters!A:A,characters!B:B)=-1, LOOKUP(A174,characters!A:A,characters!B:B)+0.1&gt;=B174),1,0)</f>
        <v/>
      </c>
    </row>
    <row r="175" spans="1:11">
      <c r="A175" s="4" t="s">
        <v>26</v>
      </c>
      <c r="B175" s="7">
        <v>0</v>
      </c>
      <c r="C175" s="6">
        <f>IF(G175=1,1.0,0)</f>
        <v/>
      </c>
      <c r="D175" s="5" t="s">
        <v>23</v>
      </c>
      <c r="E175" s="5" t="s">
        <v>23</v>
      </c>
      <c r="F175" s="5" t="s">
        <v>23</v>
      </c>
      <c r="G175" s="8">
        <f>IF(OR(LOOKUP(A175,characters!A:A,characters!B:B)=-1, LOOKUP(A175,characters!A:A,characters!B:B)+0.1&gt;=B175),1,0)</f>
        <v/>
      </c>
    </row>
    <row r="176" spans="1:11">
      <c r="A176" s="4" t="s">
        <v>27</v>
      </c>
      <c r="B176" s="7">
        <v>0</v>
      </c>
      <c r="C176" s="6">
        <f>IF(G176=1,1.0,0)</f>
        <v/>
      </c>
      <c r="D176" s="5" t="s">
        <v>23</v>
      </c>
      <c r="E176" s="5" t="s">
        <v>23</v>
      </c>
      <c r="F176" s="5" t="s">
        <v>23</v>
      </c>
      <c r="G176" s="8">
        <f>IF(OR(LOOKUP(A176,characters!A:A,characters!B:B)=-1, LOOKUP(A176,characters!A:A,characters!B:B)+0.1&gt;=B176),1,0)</f>
        <v/>
      </c>
    </row>
    <row r="177" spans="1:7">
      <c r="A177" s="4" t="s">
        <v>28</v>
      </c>
      <c r="B177" s="7">
        <v>0</v>
      </c>
      <c r="C177" s="6">
        <f>IF(G177=1,1.0,0)</f>
        <v/>
      </c>
      <c r="D177" s="5" t="s">
        <v>23</v>
      </c>
      <c r="E177" s="6">
        <f>IF(G177=1,0.9,0)</f>
        <v/>
      </c>
      <c r="F177" s="5" t="s">
        <v>23</v>
      </c>
      <c r="G177" s="8">
        <f>IF(OR(LOOKUP(A177,characters!A:A,characters!B:B)=-1, LOOKUP(A177,characters!A:A,characters!B:B)+0.1&gt;=B177),1,0)</f>
        <v/>
      </c>
    </row>
    <row r="178" spans="1:7">
      <c r="A178" s="4" t="s">
        <v>29</v>
      </c>
      <c r="B178" s="7">
        <v>0</v>
      </c>
      <c r="C178" s="6">
        <f>IF(G178=1,1.0,0)</f>
        <v/>
      </c>
      <c r="D178" s="5" t="s">
        <v>23</v>
      </c>
      <c r="E178" s="5" t="s">
        <v>23</v>
      </c>
      <c r="F178" s="5" t="s">
        <v>23</v>
      </c>
      <c r="G178" s="8">
        <f>IF(OR(LOOKUP(A178,characters!A:A,characters!B:B)=-1, LOOKUP(A178,characters!A:A,characters!B:B)+0.1&gt;=B178),1,0)</f>
        <v/>
      </c>
    </row>
    <row r="179" spans="1:7">
      <c r="A179" s="4" t="s">
        <v>30</v>
      </c>
      <c r="B179" s="7">
        <v>0</v>
      </c>
      <c r="C179" s="6">
        <f>IF(G179=1,1.0,0)</f>
        <v/>
      </c>
      <c r="D179" s="5" t="s">
        <v>23</v>
      </c>
      <c r="E179" s="5" t="s">
        <v>23</v>
      </c>
      <c r="F179" s="5" t="s">
        <v>23</v>
      </c>
      <c r="G179" s="8">
        <f>IF(OR(LOOKUP(A179,characters!A:A,characters!B:B)=-1, LOOKUP(A179,characters!A:A,characters!B:B)+0.1&gt;=B179),1,0)</f>
        <v/>
      </c>
    </row>
    <row r="180" spans="1:7">
      <c r="A180" s="4" t="s">
        <v>31</v>
      </c>
      <c r="B180" s="7">
        <v>0</v>
      </c>
      <c r="C180" s="6">
        <f>IF(G180=1,1.0,0)</f>
        <v/>
      </c>
      <c r="D180" s="5" t="s">
        <v>23</v>
      </c>
      <c r="E180" s="5" t="s">
        <v>23</v>
      </c>
      <c r="F180" s="5" t="s">
        <v>23</v>
      </c>
      <c r="G180" s="8">
        <f>IF(OR(LOOKUP(A180,characters!A:A,characters!B:B)=-1, LOOKUP(A180,characters!A:A,characters!B:B)+0.1&gt;=B180),1,0)</f>
        <v/>
      </c>
    </row>
    <row r="181" spans="1:7">
      <c r="A181" s="4" t="s">
        <v>32</v>
      </c>
      <c r="B181" s="7">
        <v>2</v>
      </c>
      <c r="C181" s="6">
        <f>IF(G181=1,1.0,0)</f>
        <v/>
      </c>
      <c r="D181" s="5" t="s">
        <v>23</v>
      </c>
      <c r="E181" s="5" t="s">
        <v>23</v>
      </c>
      <c r="F181" s="5" t="s">
        <v>23</v>
      </c>
      <c r="G181" s="8">
        <f>IF(OR(LOOKUP(A181,characters!A:A,characters!B:B)=-1, LOOKUP(A181,characters!A:A,characters!B:B)+0.1&gt;=B181),1,0)</f>
        <v/>
      </c>
    </row>
    <row r="182" spans="1:7">
      <c r="A182" s="4" t="s">
        <v>33</v>
      </c>
      <c r="B182" s="7">
        <v>0</v>
      </c>
      <c r="C182" s="6">
        <f>IF(G182=1,1.0,0)</f>
        <v/>
      </c>
      <c r="D182" s="5" t="s">
        <v>23</v>
      </c>
      <c r="E182" s="5" t="s">
        <v>23</v>
      </c>
      <c r="F182" s="5" t="s">
        <v>23</v>
      </c>
      <c r="G182" s="8">
        <f>IF(OR(LOOKUP(A182,characters!A:A,characters!B:B)=-1, LOOKUP(A182,characters!A:A,characters!B:B)+0.1&gt;=B182),1,0)</f>
        <v/>
      </c>
    </row>
    <row r="183" spans="1:7">
      <c r="A183" s="4" t="s">
        <v>34</v>
      </c>
      <c r="B183" s="7">
        <v>0</v>
      </c>
      <c r="C183" s="6">
        <f>IF(G183=1,1.0,0)</f>
        <v/>
      </c>
      <c r="D183" s="5" t="s">
        <v>23</v>
      </c>
      <c r="E183" s="5" t="s">
        <v>23</v>
      </c>
      <c r="F183" s="5" t="s">
        <v>23</v>
      </c>
      <c r="G183" s="8">
        <f>IF(OR(LOOKUP(A183,characters!A:A,characters!B:B)=-1, LOOKUP(A183,characters!A:A,characters!B:B)+0.1&gt;=B183),1,0)</f>
        <v/>
      </c>
    </row>
    <row r="184" spans="1:7">
      <c r="A184" s="4" t="s">
        <v>35</v>
      </c>
      <c r="B184" s="7">
        <v>0</v>
      </c>
      <c r="C184" s="6">
        <f>IF(G184=1,1.0,0)</f>
        <v/>
      </c>
      <c r="D184" s="5" t="s">
        <v>23</v>
      </c>
      <c r="E184" s="5" t="s">
        <v>23</v>
      </c>
      <c r="F184" s="5" t="s">
        <v>23</v>
      </c>
      <c r="G184" s="8">
        <f>IF(OR(LOOKUP(A184,characters!A:A,characters!B:B)=-1, LOOKUP(A184,characters!A:A,characters!B:B)+0.1&gt;=B184),1,0)</f>
        <v/>
      </c>
    </row>
    <row r="185" spans="1:7">
      <c r="A185" s="4" t="s">
        <v>36</v>
      </c>
      <c r="B185" s="7">
        <v>0</v>
      </c>
      <c r="C185" s="6">
        <f>IF(G185=1,1.0,0)</f>
        <v/>
      </c>
      <c r="D185" s="5" t="s">
        <v>23</v>
      </c>
      <c r="E185" s="5" t="s">
        <v>23</v>
      </c>
      <c r="F185" s="5" t="s">
        <v>23</v>
      </c>
      <c r="G185" s="8">
        <f>IF(OR(LOOKUP(A185,characters!A:A,characters!B:B)=-1, LOOKUP(A185,characters!A:A,characters!B:B)+0.1&gt;=B185),1,0)</f>
        <v/>
      </c>
    </row>
    <row r="186" spans="1:7">
      <c r="A186" s="4" t="s">
        <v>37</v>
      </c>
      <c r="B186" s="7">
        <v>0</v>
      </c>
      <c r="C186" s="6">
        <f>IF(G186=1,1.0,0)</f>
        <v/>
      </c>
      <c r="D186" s="5" t="s">
        <v>23</v>
      </c>
      <c r="E186" s="5" t="s">
        <v>23</v>
      </c>
      <c r="F186" s="5" t="s">
        <v>23</v>
      </c>
      <c r="G186" s="8">
        <f>IF(OR(LOOKUP(A186,characters!A:A,characters!B:B)=-1, LOOKUP(A186,characters!A:A,characters!B:B)+0.1&gt;=B186),1,0)</f>
        <v/>
      </c>
    </row>
    <row r="187" spans="1:7">
      <c r="A187" s="4" t="s">
        <v>38</v>
      </c>
      <c r="B187" s="7">
        <v>0</v>
      </c>
      <c r="C187" s="6">
        <f>IF(G187=1,1.0,0)</f>
        <v/>
      </c>
      <c r="D187" s="5" t="s">
        <v>23</v>
      </c>
      <c r="E187" s="5" t="s">
        <v>23</v>
      </c>
      <c r="F187" s="5" t="s">
        <v>23</v>
      </c>
      <c r="G187" s="8">
        <f>IF(OR(LOOKUP(A187,characters!A:A,characters!B:B)=-1, LOOKUP(A187,characters!A:A,characters!B:B)+0.1&gt;=B187),1,0)</f>
        <v/>
      </c>
    </row>
    <row r="188" spans="1:7">
      <c r="A188" s="4" t="s">
        <v>39</v>
      </c>
      <c r="B188" s="7">
        <v>0</v>
      </c>
      <c r="C188" s="6">
        <f>IF(G188=1,1.0,0)</f>
        <v/>
      </c>
      <c r="D188" s="5" t="s">
        <v>23</v>
      </c>
      <c r="E188" s="5" t="s">
        <v>23</v>
      </c>
      <c r="F188" s="5" t="s">
        <v>23</v>
      </c>
      <c r="G188" s="8">
        <f>IF(OR(LOOKUP(A188,characters!A:A,characters!B:B)=-1, LOOKUP(A188,characters!A:A,characters!B:B)+0.1&gt;=B188),1,0)</f>
        <v/>
      </c>
    </row>
    <row r="189" spans="1:7">
      <c r="A189" s="4" t="s">
        <v>41</v>
      </c>
      <c r="B189" s="7">
        <v>0</v>
      </c>
      <c r="C189" s="5" t="s">
        <v>23</v>
      </c>
      <c r="D189" s="5" t="s">
        <v>23</v>
      </c>
      <c r="E189" s="5" t="s">
        <v>23</v>
      </c>
      <c r="F189" s="6">
        <f>IF(G189=1,1.0,0)</f>
        <v/>
      </c>
      <c r="G189" s="8">
        <f>IF(OR(LOOKUP(A189,characters!A:A,characters!B:B)=-1, LOOKUP(A189,characters!A:A,characters!B:B)+0.1&gt;=B189),1,0)</f>
        <v/>
      </c>
    </row>
    <row r="190" spans="1:7">
      <c r="A190" s="4" t="s">
        <v>42</v>
      </c>
      <c r="B190" s="7">
        <v>0</v>
      </c>
      <c r="C190" s="6">
        <f>IF(G190=1,1.0,0)</f>
        <v/>
      </c>
      <c r="D190" s="5" t="s">
        <v>23</v>
      </c>
      <c r="E190" s="5" t="s">
        <v>23</v>
      </c>
      <c r="F190" s="5" t="s">
        <v>23</v>
      </c>
      <c r="G190" s="8">
        <f>IF(OR(LOOKUP(A190,characters!A:A,characters!B:B)=-1, LOOKUP(A190,characters!A:A,characters!B:B)+0.1&gt;=B190),1,0)</f>
        <v/>
      </c>
    </row>
    <row r="191" spans="1:7">
      <c r="A191" s="4" t="s">
        <v>43</v>
      </c>
      <c r="B191" s="7">
        <v>1</v>
      </c>
      <c r="C191" s="6">
        <f>IF(G191=1,1.0,0)</f>
        <v/>
      </c>
      <c r="D191" s="5" t="s">
        <v>23</v>
      </c>
      <c r="E191" s="5" t="s">
        <v>23</v>
      </c>
      <c r="F191" s="5" t="s">
        <v>23</v>
      </c>
      <c r="G191" s="8">
        <f>IF(OR(LOOKUP(A191,characters!A:A,characters!B:B)=-1, LOOKUP(A191,characters!A:A,characters!B:B)+0.1&gt;=B191),1,0)</f>
        <v/>
      </c>
    </row>
    <row r="192" spans="1:7">
      <c r="A192" s="4" t="s">
        <v>44</v>
      </c>
      <c r="B192" s="7">
        <v>0</v>
      </c>
      <c r="C192" s="6">
        <f>IF(G192=1,1.0,0)</f>
        <v/>
      </c>
      <c r="D192" s="5" t="s">
        <v>23</v>
      </c>
      <c r="E192" s="5" t="s">
        <v>23</v>
      </c>
      <c r="F192" s="5" t="s">
        <v>23</v>
      </c>
      <c r="G192" s="8">
        <f>IF(OR(LOOKUP(A192,characters!A:A,characters!B:B)=-1, LOOKUP(A192,characters!A:A,characters!B:B)+0.1&gt;=B192),1,0)</f>
        <v/>
      </c>
    </row>
    <row r="193" spans="1:15">
      <c r="A193" s="4" t="s">
        <v>45</v>
      </c>
      <c r="B193" s="7">
        <v>2</v>
      </c>
      <c r="C193" s="6">
        <f>IF(G193=1,1.0,0)</f>
        <v/>
      </c>
      <c r="D193" s="5" t="s">
        <v>23</v>
      </c>
      <c r="E193" s="5" t="s">
        <v>23</v>
      </c>
      <c r="F193" s="5" t="s">
        <v>23</v>
      </c>
      <c r="G193" s="8">
        <f>IF(OR(LOOKUP(A193,characters!A:A,characters!B:B)=-1, LOOKUP(A193,characters!A:A,characters!B:B)+0.1&gt;=B193),1,0)</f>
        <v/>
      </c>
    </row>
    <row r="194" spans="1:15">
      <c r="A194" s="4" t="s">
        <v>46</v>
      </c>
      <c r="B194" s="7">
        <v>0</v>
      </c>
      <c r="C194" s="6">
        <f>IF(G194=1,1.0,0)</f>
        <v/>
      </c>
      <c r="D194" s="5" t="s">
        <v>23</v>
      </c>
      <c r="E194" s="5" t="s">
        <v>23</v>
      </c>
      <c r="F194" s="5" t="s">
        <v>23</v>
      </c>
      <c r="G194" s="8">
        <f>IF(OR(LOOKUP(A194,characters!A:A,characters!B:B)=-1, LOOKUP(A194,characters!A:A,characters!B:B)+0.1&gt;=B194),1,0)</f>
        <v/>
      </c>
    </row>
    <row r="195" spans="1:15">
      <c r="A195" s="4" t="s">
        <v>47</v>
      </c>
      <c r="B195" s="7">
        <v>0</v>
      </c>
      <c r="C195" s="6">
        <f>IF(G195=1,1.0,0)</f>
        <v/>
      </c>
      <c r="D195" s="6">
        <f>IF(G195=1,0.99,0)</f>
        <v/>
      </c>
      <c r="E195" s="5" t="s">
        <v>23</v>
      </c>
      <c r="F195" s="5" t="s">
        <v>23</v>
      </c>
      <c r="G195" s="8">
        <f>IF(OR(LOOKUP(A195,characters!A:A,characters!B:B)=-1, LOOKUP(A195,characters!A:A,characters!B:B)+0.1&gt;=B195),1,0)</f>
        <v/>
      </c>
    </row>
    <row r="196" spans="1:15">
      <c r="A196" s="4" t="s">
        <v>48</v>
      </c>
      <c r="B196" s="7">
        <v>1</v>
      </c>
      <c r="C196" s="6">
        <f>IF(G196=1,1.0,0)</f>
        <v/>
      </c>
      <c r="D196" s="5" t="s">
        <v>23</v>
      </c>
      <c r="E196" s="5" t="s">
        <v>23</v>
      </c>
      <c r="F196" s="6">
        <f>IF(G196=1,0.99,0)</f>
        <v/>
      </c>
      <c r="G196" s="8">
        <f>IF(OR(LOOKUP(A196,characters!A:A,characters!B:B)=-1, LOOKUP(A196,characters!A:A,characters!B:B)+0.1&gt;=B196),1,0)</f>
        <v/>
      </c>
    </row>
    <row r="203" spans="1:15">
      <c r="A203" s="3" t="s">
        <v>54</v>
      </c>
    </row>
    <row r="204" spans="1:15">
      <c r="A204" s="3" t="s">
        <v>8</v>
      </c>
      <c r="B204" s="3" t="s">
        <v>9</v>
      </c>
      <c r="C204" s="3" t="s">
        <v>10</v>
      </c>
      <c r="D204" s="3" t="s">
        <v>11</v>
      </c>
      <c r="E204" s="3" t="s">
        <v>12</v>
      </c>
      <c r="F204" s="3" t="s">
        <v>13</v>
      </c>
      <c r="G204" s="3" t="s">
        <v>16</v>
      </c>
      <c r="H204" s="3" t="s">
        <v>17</v>
      </c>
      <c r="I204" s="3" t="s">
        <v>18</v>
      </c>
      <c r="J204" s="3" t="s">
        <v>14</v>
      </c>
      <c r="K204" s="3" t="s">
        <v>15</v>
      </c>
      <c r="L204" s="3" t="s">
        <v>20</v>
      </c>
      <c r="M204" s="3" t="s">
        <v>19</v>
      </c>
      <c r="N204" s="3" t="s">
        <v>21</v>
      </c>
    </row>
    <row r="205" spans="1:15">
      <c r="A205" s="4" t="s">
        <v>22</v>
      </c>
      <c r="B205" s="5" t="s">
        <v>23</v>
      </c>
      <c r="C205" s="6">
        <f>IF(SUM(O206:O221)=0,0,SUM(C206:C221)/SUM(O206:O221))</f>
        <v/>
      </c>
      <c r="D205" s="6">
        <f>IF(SUM(O206:O221)=0,0,SUM(D206:D221)/SUM(O206:O221))</f>
        <v/>
      </c>
      <c r="E205" s="6">
        <f>IF(SUM(O206:O221)=0,0,SUM(E206:E221)/SUM(O206:O221))</f>
        <v/>
      </c>
      <c r="F205" s="6">
        <f>IF(SUM(O206:O221)=0,0,SUM(F206:F221)/SUM(O206:O221))</f>
        <v/>
      </c>
      <c r="G205" s="6">
        <f>IF(SUM(O206:O221)=0,0,SUM(G206:G221)/SUM(O206:O221))</f>
        <v/>
      </c>
      <c r="H205" s="6">
        <f>IF(SUM(O206:O221)=0,0,SUM(H206:H221)/SUM(O206:O221))</f>
        <v/>
      </c>
      <c r="I205" s="6">
        <f>IF(SUM(O206:O221)=0,0,SUM(I206:I221)/SUM(O206:O221))</f>
        <v/>
      </c>
      <c r="J205" s="6">
        <f>IF(SUM(O206:O221)=0,0,SUM(J206:J221)/SUM(O206:O221))</f>
        <v/>
      </c>
      <c r="K205" s="6">
        <f>IF(SUM(O206:O221)=0,0,SUM(K206:K221)/SUM(O206:O221))</f>
        <v/>
      </c>
      <c r="L205" s="6">
        <f>IF(SUM(O206:O221)=0,0,SUM(L206:L221)/SUM(O206:O221))</f>
        <v/>
      </c>
      <c r="M205" s="6">
        <f>IF(SUM(O206:O221)=0,0,SUM(M206:M221)/SUM(O206:O221))</f>
        <v/>
      </c>
      <c r="N205" s="6">
        <f>IF(SUM(O206:O221)=0,0,SUM(N206:N221)/SUM(O206:O221))</f>
        <v/>
      </c>
    </row>
    <row r="206" spans="1:15">
      <c r="A206" s="4" t="s">
        <v>25</v>
      </c>
      <c r="B206" s="7">
        <v>0</v>
      </c>
      <c r="C206" s="6">
        <f>IF(O206=1,0.99,0)</f>
        <v/>
      </c>
      <c r="D206" s="6">
        <f>IF(O206=1,0.69,0)</f>
        <v/>
      </c>
      <c r="E206" s="6">
        <f>IF(O206=1,1.0,0)</f>
        <v/>
      </c>
      <c r="F206" s="5" t="s">
        <v>23</v>
      </c>
      <c r="G206" s="5" t="s">
        <v>23</v>
      </c>
      <c r="H206" s="5" t="s">
        <v>23</v>
      </c>
      <c r="I206" s="5" t="s">
        <v>23</v>
      </c>
      <c r="J206" s="5" t="s">
        <v>23</v>
      </c>
      <c r="K206" s="5" t="s">
        <v>23</v>
      </c>
      <c r="L206" s="5" t="s">
        <v>23</v>
      </c>
      <c r="M206" s="6">
        <f>IF(O206=1,0.89,0)</f>
        <v/>
      </c>
      <c r="N206" s="6">
        <f>IF(O206=1,0.79,0)</f>
        <v/>
      </c>
      <c r="O206" s="8">
        <f>IF(OR(LOOKUP(A206,characters!A:A,characters!B:B)=-1, LOOKUP(A206,characters!A:A,characters!B:B)+0.1&gt;=B206),1,0)</f>
        <v/>
      </c>
    </row>
    <row r="207" spans="1:15">
      <c r="A207" s="4" t="s">
        <v>26</v>
      </c>
      <c r="B207" s="7">
        <v>0</v>
      </c>
      <c r="C207" s="6">
        <f>IF(O207=1,1.0,0)</f>
        <v/>
      </c>
      <c r="D207" s="6">
        <f>IF(O207=1,0.8,0)</f>
        <v/>
      </c>
      <c r="E207" s="6">
        <f>IF(O207=1,0.8,0)</f>
        <v/>
      </c>
      <c r="F207" s="6">
        <f>IF(O207=1,0.9,0)</f>
        <v/>
      </c>
      <c r="G207" s="5" t="s">
        <v>23</v>
      </c>
      <c r="H207" s="5" t="s">
        <v>23</v>
      </c>
      <c r="I207" s="5" t="s">
        <v>23</v>
      </c>
      <c r="J207" s="5" t="s">
        <v>23</v>
      </c>
      <c r="K207" s="5" t="s">
        <v>23</v>
      </c>
      <c r="L207" s="5" t="s">
        <v>23</v>
      </c>
      <c r="M207" s="5" t="s">
        <v>23</v>
      </c>
      <c r="N207" s="5" t="s">
        <v>23</v>
      </c>
      <c r="O207" s="8">
        <f>IF(OR(LOOKUP(A207,characters!A:A,characters!B:B)=-1, LOOKUP(A207,characters!A:A,characters!B:B)+0.1&gt;=B207),1,0)</f>
        <v/>
      </c>
    </row>
    <row r="208" spans="1:15">
      <c r="A208" s="4" t="s">
        <v>28</v>
      </c>
      <c r="B208" s="7">
        <v>0</v>
      </c>
      <c r="C208" s="6">
        <f>IF(O208=1,1.0,0)</f>
        <v/>
      </c>
      <c r="D208" s="6">
        <f>IF(O208=1,0.89,0)</f>
        <v/>
      </c>
      <c r="E208" s="6">
        <f>IF(O208=1,0.99,0)</f>
        <v/>
      </c>
      <c r="F208" s="6">
        <f>IF(O208=1,1.0,0)</f>
        <v/>
      </c>
      <c r="G208" s="5" t="s">
        <v>23</v>
      </c>
      <c r="H208" s="5" t="s">
        <v>23</v>
      </c>
      <c r="I208" s="5" t="s">
        <v>23</v>
      </c>
      <c r="J208" s="5" t="s">
        <v>23</v>
      </c>
      <c r="K208" s="5" t="s">
        <v>23</v>
      </c>
      <c r="L208" s="5" t="s">
        <v>23</v>
      </c>
      <c r="M208" s="5" t="s">
        <v>23</v>
      </c>
      <c r="N208" s="5" t="s">
        <v>23</v>
      </c>
      <c r="O208" s="8">
        <f>IF(OR(LOOKUP(A208,characters!A:A,characters!B:B)=-1, LOOKUP(A208,characters!A:A,characters!B:B)+0.1&gt;=B208),1,0)</f>
        <v/>
      </c>
    </row>
    <row r="209" spans="1:15">
      <c r="A209" s="4" t="s">
        <v>29</v>
      </c>
      <c r="B209" s="7">
        <v>0</v>
      </c>
      <c r="C209" s="6">
        <f>IF(O209=1,1.0,0)</f>
        <v/>
      </c>
      <c r="D209" s="6">
        <f>IF(O209=1,0.8,0)</f>
        <v/>
      </c>
      <c r="E209" s="6">
        <f>IF(O209=1,0.7,0)</f>
        <v/>
      </c>
      <c r="F209" s="6">
        <f>IF(O209=1,0.7,0)</f>
        <v/>
      </c>
      <c r="G209" s="5" t="s">
        <v>23</v>
      </c>
      <c r="H209" s="5" t="s">
        <v>23</v>
      </c>
      <c r="I209" s="6">
        <f>IF(O209=1,0.9,0)</f>
        <v/>
      </c>
      <c r="J209" s="5" t="s">
        <v>23</v>
      </c>
      <c r="K209" s="5" t="s">
        <v>23</v>
      </c>
      <c r="L209" s="5" t="s">
        <v>23</v>
      </c>
      <c r="M209" s="5" t="s">
        <v>23</v>
      </c>
      <c r="N209" s="5" t="s">
        <v>23</v>
      </c>
      <c r="O209" s="8">
        <f>IF(OR(LOOKUP(A209,characters!A:A,characters!B:B)=-1, LOOKUP(A209,characters!A:A,characters!B:B)+0.1&gt;=B209),1,0)</f>
        <v/>
      </c>
    </row>
    <row r="210" spans="1:15">
      <c r="A210" s="4" t="s">
        <v>30</v>
      </c>
      <c r="B210" s="7">
        <v>0</v>
      </c>
      <c r="C210" s="6">
        <f>IF(O210=1,1.0,0)</f>
        <v/>
      </c>
      <c r="D210" s="6">
        <f>IF(O210=1,0.9,0)</f>
        <v/>
      </c>
      <c r="E210" s="6">
        <f>IF(O210=1,1.0,0)</f>
        <v/>
      </c>
      <c r="F210" s="6">
        <f>IF(O210=1,0.9,0)</f>
        <v/>
      </c>
      <c r="G210" s="5" t="s">
        <v>23</v>
      </c>
      <c r="H210" s="5" t="s">
        <v>23</v>
      </c>
      <c r="I210" s="5" t="s">
        <v>23</v>
      </c>
      <c r="J210" s="5" t="s">
        <v>23</v>
      </c>
      <c r="K210" s="5" t="s">
        <v>23</v>
      </c>
      <c r="L210" s="5" t="s">
        <v>23</v>
      </c>
      <c r="M210" s="5" t="s">
        <v>23</v>
      </c>
      <c r="N210" s="5" t="s">
        <v>23</v>
      </c>
      <c r="O210" s="8">
        <f>IF(OR(LOOKUP(A210,characters!A:A,characters!B:B)=-1, LOOKUP(A210,characters!A:A,characters!B:B)+0.1&gt;=B210),1,0)</f>
        <v/>
      </c>
    </row>
    <row r="211" spans="1:15">
      <c r="A211" s="4" t="s">
        <v>33</v>
      </c>
      <c r="B211" s="7">
        <v>0</v>
      </c>
      <c r="C211" s="6">
        <f>IF(O211=1,1.0,0)</f>
        <v/>
      </c>
      <c r="D211" s="6">
        <f>IF(O211=1,0.8,0)</f>
        <v/>
      </c>
      <c r="E211" s="6">
        <f>IF(O211=1,0.8,0)</f>
        <v/>
      </c>
      <c r="F211" s="6">
        <f>IF(O211=1,0.9,0)</f>
        <v/>
      </c>
      <c r="G211" s="5" t="s">
        <v>23</v>
      </c>
      <c r="H211" s="5" t="s">
        <v>23</v>
      </c>
      <c r="I211" s="5" t="s">
        <v>23</v>
      </c>
      <c r="J211" s="5" t="s">
        <v>23</v>
      </c>
      <c r="K211" s="5" t="s">
        <v>23</v>
      </c>
      <c r="L211" s="5" t="s">
        <v>23</v>
      </c>
      <c r="M211" s="5" t="s">
        <v>23</v>
      </c>
      <c r="N211" s="5" t="s">
        <v>23</v>
      </c>
      <c r="O211" s="8">
        <f>IF(OR(LOOKUP(A211,characters!A:A,characters!B:B)=-1, LOOKUP(A211,characters!A:A,characters!B:B)+0.1&gt;=B211),1,0)</f>
        <v/>
      </c>
    </row>
    <row r="212" spans="1:15">
      <c r="A212" s="4" t="s">
        <v>35</v>
      </c>
      <c r="B212" s="7">
        <v>0</v>
      </c>
      <c r="C212" s="6">
        <f>IF(O212=1,1.0,0)</f>
        <v/>
      </c>
      <c r="D212" s="5" t="s">
        <v>23</v>
      </c>
      <c r="E212" s="5" t="s">
        <v>23</v>
      </c>
      <c r="F212" s="5" t="s">
        <v>23</v>
      </c>
      <c r="G212" s="5" t="s">
        <v>23</v>
      </c>
      <c r="H212" s="6">
        <f>IF(O212=1,0.89,0)</f>
        <v/>
      </c>
      <c r="I212" s="5" t="s">
        <v>23</v>
      </c>
      <c r="J212" s="5" t="s">
        <v>23</v>
      </c>
      <c r="K212" s="5" t="s">
        <v>23</v>
      </c>
      <c r="L212" s="6">
        <f>IF(O212=1,0.9,0)</f>
        <v/>
      </c>
      <c r="M212" s="5" t="s">
        <v>23</v>
      </c>
      <c r="N212" s="5" t="s">
        <v>23</v>
      </c>
      <c r="O212" s="8">
        <f>IF(OR(LOOKUP(A212,characters!A:A,characters!B:B)=-1, LOOKUP(A212,characters!A:A,characters!B:B)+0.1&gt;=B212),1,0)</f>
        <v/>
      </c>
    </row>
    <row r="213" spans="1:15">
      <c r="A213" s="4" t="s">
        <v>36</v>
      </c>
      <c r="B213" s="7">
        <v>0</v>
      </c>
      <c r="C213" s="6">
        <f>IF(O213=1,1.0,0)</f>
        <v/>
      </c>
      <c r="D213" s="6">
        <f>IF(O213=1,0.7,0)</f>
        <v/>
      </c>
      <c r="E213" s="6">
        <f>IF(O213=1,0.8,0)</f>
        <v/>
      </c>
      <c r="F213" s="6">
        <f>IF(O213=1,0.8,0)</f>
        <v/>
      </c>
      <c r="G213" s="5" t="s">
        <v>23</v>
      </c>
      <c r="H213" s="6">
        <f>IF(O213=1,0.9,0)</f>
        <v/>
      </c>
      <c r="I213" s="5" t="s">
        <v>23</v>
      </c>
      <c r="J213" s="5" t="s">
        <v>23</v>
      </c>
      <c r="K213" s="5" t="s">
        <v>23</v>
      </c>
      <c r="L213" s="5" t="s">
        <v>23</v>
      </c>
      <c r="M213" s="5" t="s">
        <v>23</v>
      </c>
      <c r="N213" s="5" t="s">
        <v>23</v>
      </c>
      <c r="O213" s="8">
        <f>IF(OR(LOOKUP(A213,characters!A:A,characters!B:B)=-1, LOOKUP(A213,characters!A:A,characters!B:B)+0.1&gt;=B213),1,0)</f>
        <v/>
      </c>
    </row>
    <row r="214" spans="1:15">
      <c r="A214" s="4" t="s">
        <v>37</v>
      </c>
      <c r="B214" s="7">
        <v>0</v>
      </c>
      <c r="C214" s="6">
        <f>IF(O214=1,1.0,0)</f>
        <v/>
      </c>
      <c r="D214" s="6">
        <f>IF(O214=1,0.8,0)</f>
        <v/>
      </c>
      <c r="E214" s="6">
        <f>IF(O214=1,0.7,0)</f>
        <v/>
      </c>
      <c r="F214" s="6">
        <f>IF(O214=1,0.9,0)</f>
        <v/>
      </c>
      <c r="G214" s="5" t="s">
        <v>23</v>
      </c>
      <c r="H214" s="5" t="s">
        <v>23</v>
      </c>
      <c r="I214" s="5" t="s">
        <v>23</v>
      </c>
      <c r="J214" s="5" t="s">
        <v>23</v>
      </c>
      <c r="K214" s="5" t="s">
        <v>23</v>
      </c>
      <c r="L214" s="5" t="s">
        <v>23</v>
      </c>
      <c r="M214" s="5" t="s">
        <v>23</v>
      </c>
      <c r="N214" s="5" t="s">
        <v>23</v>
      </c>
      <c r="O214" s="8">
        <f>IF(OR(LOOKUP(A214,characters!A:A,characters!B:B)=-1, LOOKUP(A214,characters!A:A,characters!B:B)+0.1&gt;=B214),1,0)</f>
        <v/>
      </c>
    </row>
    <row r="215" spans="1:15">
      <c r="A215" s="4" t="s">
        <v>39</v>
      </c>
      <c r="B215" s="7">
        <v>0</v>
      </c>
      <c r="C215" s="6">
        <f>IF(O215=1,1.0,0)</f>
        <v/>
      </c>
      <c r="D215" s="6">
        <f>IF(O215=1,0.8,0)</f>
        <v/>
      </c>
      <c r="E215" s="6">
        <f>IF(O215=1,0.8,0)</f>
        <v/>
      </c>
      <c r="F215" s="6">
        <f>IF(O215=1,0.9,0)</f>
        <v/>
      </c>
      <c r="G215" s="5" t="s">
        <v>23</v>
      </c>
      <c r="H215" s="5" t="s">
        <v>23</v>
      </c>
      <c r="I215" s="5" t="s">
        <v>23</v>
      </c>
      <c r="J215" s="5" t="s">
        <v>23</v>
      </c>
      <c r="K215" s="5" t="s">
        <v>23</v>
      </c>
      <c r="L215" s="5" t="s">
        <v>23</v>
      </c>
      <c r="M215" s="5" t="s">
        <v>23</v>
      </c>
      <c r="N215" s="5" t="s">
        <v>23</v>
      </c>
      <c r="O215" s="8">
        <f>IF(OR(LOOKUP(A215,characters!A:A,characters!B:B)=-1, LOOKUP(A215,characters!A:A,characters!B:B)+0.1&gt;=B215),1,0)</f>
        <v/>
      </c>
    </row>
    <row r="216" spans="1:15">
      <c r="A216" s="4" t="s">
        <v>40</v>
      </c>
      <c r="B216" s="7">
        <v>0</v>
      </c>
      <c r="C216" s="6">
        <f>IF(O216=1,1.0,0)</f>
        <v/>
      </c>
      <c r="D216" s="6">
        <f>IF(O216=1,0.8,0)</f>
        <v/>
      </c>
      <c r="E216" s="5" t="s">
        <v>23</v>
      </c>
      <c r="F216" s="5" t="s">
        <v>23</v>
      </c>
      <c r="G216" s="6">
        <f>IF(O216=1,1.0,0)</f>
        <v/>
      </c>
      <c r="H216" s="5" t="s">
        <v>23</v>
      </c>
      <c r="I216" s="5" t="s">
        <v>23</v>
      </c>
      <c r="J216" s="6">
        <f>IF(O216=1,0.9,0)</f>
        <v/>
      </c>
      <c r="K216" s="6">
        <f>IF(O216=1,0.9,0)</f>
        <v/>
      </c>
      <c r="L216" s="5" t="s">
        <v>23</v>
      </c>
      <c r="M216" s="5" t="s">
        <v>23</v>
      </c>
      <c r="N216" s="5" t="s">
        <v>23</v>
      </c>
      <c r="O216" s="8">
        <f>IF(OR(LOOKUP(A216,characters!A:A,characters!B:B)=-1, LOOKUP(A216,characters!A:A,characters!B:B)+0.1&gt;=B216),1,0)</f>
        <v/>
      </c>
    </row>
    <row r="217" spans="1:15">
      <c r="A217" s="4" t="s">
        <v>47</v>
      </c>
      <c r="B217" s="7">
        <v>0</v>
      </c>
      <c r="C217" s="6">
        <f>IF(O217=1,0.9,0)</f>
        <v/>
      </c>
      <c r="D217" s="6">
        <f>IF(O217=1,1.0,0)</f>
        <v/>
      </c>
      <c r="E217" s="6">
        <f>IF(O217=1,0.8,0)</f>
        <v/>
      </c>
      <c r="F217" s="6">
        <f>IF(O217=1,0.7,0)</f>
        <v/>
      </c>
      <c r="G217" s="6">
        <f>IF(O217=1,0.6,0)</f>
        <v/>
      </c>
      <c r="H217" s="5" t="s">
        <v>23</v>
      </c>
      <c r="I217" s="5" t="s">
        <v>23</v>
      </c>
      <c r="J217" s="5" t="s">
        <v>23</v>
      </c>
      <c r="K217" s="5" t="s">
        <v>23</v>
      </c>
      <c r="L217" s="5" t="s">
        <v>23</v>
      </c>
      <c r="M217" s="5" t="s">
        <v>23</v>
      </c>
      <c r="N217" s="5" t="s">
        <v>23</v>
      </c>
      <c r="O217" s="8">
        <f>IF(OR(LOOKUP(A217,characters!A:A,characters!B:B)=-1, LOOKUP(A217,characters!A:A,characters!B:B)+0.1&gt;=B217),1,0)</f>
        <v/>
      </c>
    </row>
    <row r="218" spans="1:15">
      <c r="A218" s="4" t="s">
        <v>31</v>
      </c>
      <c r="B218" s="7">
        <v>1</v>
      </c>
      <c r="C218" s="6">
        <f>IF(O218=1,0.9,0)</f>
        <v/>
      </c>
      <c r="D218" s="5" t="s">
        <v>23</v>
      </c>
      <c r="E218" s="6">
        <f>IF(O218=1,0.7,0)</f>
        <v/>
      </c>
      <c r="F218" s="6">
        <f>IF(O218=1,0.7,0)</f>
        <v/>
      </c>
      <c r="G218" s="6">
        <f>IF(O218=1,1.0,0)</f>
        <v/>
      </c>
      <c r="H218" s="6">
        <f>IF(O218=1,0.8,0)</f>
        <v/>
      </c>
      <c r="I218" s="6">
        <f>IF(O218=1,0.7,0)</f>
        <v/>
      </c>
      <c r="J218" s="5" t="s">
        <v>23</v>
      </c>
      <c r="K218" s="5" t="s">
        <v>23</v>
      </c>
      <c r="L218" s="5" t="s">
        <v>23</v>
      </c>
      <c r="M218" s="5" t="s">
        <v>23</v>
      </c>
      <c r="N218" s="5" t="s">
        <v>23</v>
      </c>
      <c r="O218" s="8">
        <f>IF(OR(LOOKUP(A218,characters!A:A,characters!B:B)=-1, LOOKUP(A218,characters!A:A,characters!B:B)+0.1&gt;=B218),1,0)</f>
        <v/>
      </c>
    </row>
    <row r="219" spans="1:15">
      <c r="A219" s="4" t="s">
        <v>34</v>
      </c>
      <c r="B219" s="7">
        <v>2</v>
      </c>
      <c r="C219" s="6">
        <f>IF(O219=1,0.9,0)</f>
        <v/>
      </c>
      <c r="D219" s="5" t="s">
        <v>23</v>
      </c>
      <c r="E219" s="5" t="s">
        <v>23</v>
      </c>
      <c r="F219" s="5" t="s">
        <v>23</v>
      </c>
      <c r="G219" s="6">
        <f>IF(O219=1,1.0,0)</f>
        <v/>
      </c>
      <c r="H219" s="6">
        <f>IF(O219=1,0.8,0)</f>
        <v/>
      </c>
      <c r="I219" s="5" t="s">
        <v>23</v>
      </c>
      <c r="J219" s="5" t="s">
        <v>23</v>
      </c>
      <c r="K219" s="5" t="s">
        <v>23</v>
      </c>
      <c r="L219" s="5" t="s">
        <v>23</v>
      </c>
      <c r="M219" s="5" t="s">
        <v>23</v>
      </c>
      <c r="N219" s="5" t="s">
        <v>23</v>
      </c>
      <c r="O219" s="8">
        <f>IF(OR(LOOKUP(A219,characters!A:A,characters!B:B)=-1, LOOKUP(A219,characters!A:A,characters!B:B)+0.1&gt;=B219),1,0)</f>
        <v/>
      </c>
    </row>
    <row r="220" spans="1:15">
      <c r="A220" s="4" t="s">
        <v>38</v>
      </c>
      <c r="B220" s="7">
        <v>2</v>
      </c>
      <c r="C220" s="6">
        <f>IF(O220=1,1.0,0)</f>
        <v/>
      </c>
      <c r="D220" s="6">
        <f>IF(O220=1,0.8,0)</f>
        <v/>
      </c>
      <c r="E220" s="6">
        <f>IF(O220=1,0.9,0)</f>
        <v/>
      </c>
      <c r="F220" s="6">
        <f>IF(O220=1,0.8,0)</f>
        <v/>
      </c>
      <c r="G220" s="6">
        <f>IF(O220=1,1.0,0)</f>
        <v/>
      </c>
      <c r="H220" s="5" t="s">
        <v>23</v>
      </c>
      <c r="I220" s="5" t="s">
        <v>23</v>
      </c>
      <c r="J220" s="5" t="s">
        <v>23</v>
      </c>
      <c r="K220" s="5" t="s">
        <v>23</v>
      </c>
      <c r="L220" s="5" t="s">
        <v>23</v>
      </c>
      <c r="M220" s="5" t="s">
        <v>23</v>
      </c>
      <c r="N220" s="5" t="s">
        <v>23</v>
      </c>
      <c r="O220" s="8">
        <f>IF(OR(LOOKUP(A220,characters!A:A,characters!B:B)=-1, LOOKUP(A220,characters!A:A,characters!B:B)+0.1&gt;=B220),1,0)</f>
        <v/>
      </c>
    </row>
    <row r="221" spans="1:15">
      <c r="A221" s="4" t="s">
        <v>43</v>
      </c>
      <c r="B221" s="7">
        <v>2</v>
      </c>
      <c r="C221" s="6">
        <f>IF(O221=1,1.0,0)</f>
        <v/>
      </c>
      <c r="D221" s="6">
        <f>IF(O221=1,0.8,0)</f>
        <v/>
      </c>
      <c r="E221" s="5" t="s">
        <v>23</v>
      </c>
      <c r="F221" s="5" t="s">
        <v>23</v>
      </c>
      <c r="G221" s="6">
        <f>IF(O221=1,1.0,0)</f>
        <v/>
      </c>
      <c r="H221" s="5" t="s">
        <v>23</v>
      </c>
      <c r="I221" s="6">
        <f>IF(O221=1,0.9,0)</f>
        <v/>
      </c>
      <c r="J221" s="6">
        <f>IF(O221=1,0.9,0)</f>
        <v/>
      </c>
      <c r="K221" s="6">
        <f>IF(O221=1,0.9,0)</f>
        <v/>
      </c>
      <c r="L221" s="5" t="s">
        <v>23</v>
      </c>
      <c r="M221" s="5" t="s">
        <v>23</v>
      </c>
      <c r="N221" s="5" t="s">
        <v>23</v>
      </c>
      <c r="O221" s="8">
        <f>IF(OR(LOOKUP(A221,characters!A:A,characters!B:B)=-1, LOOKUP(A221,characters!A:A,characters!B:B)+0.1&gt;=B221),1,0)</f>
        <v/>
      </c>
    </row>
    <row r="223" spans="1:15">
      <c r="A223" s="3" t="s">
        <v>49</v>
      </c>
      <c r="B223" s="3" t="s">
        <v>9</v>
      </c>
      <c r="C223" s="3" t="s">
        <v>12</v>
      </c>
      <c r="D223" s="3" t="s">
        <v>19</v>
      </c>
      <c r="E223" s="3" t="s">
        <v>50</v>
      </c>
      <c r="F223" s="3" t="s">
        <v>13</v>
      </c>
      <c r="G223" s="3" t="s">
        <v>17</v>
      </c>
      <c r="H223" s="3" t="s">
        <v>16</v>
      </c>
    </row>
    <row r="224" spans="1:15">
      <c r="A224" s="4" t="s">
        <v>22</v>
      </c>
      <c r="B224" s="5" t="s">
        <v>23</v>
      </c>
      <c r="C224" s="6">
        <f>IF(SUM(I225:I240)=0,0,SUM(C225:C240)/SUM(I225:I240))</f>
        <v/>
      </c>
      <c r="D224" s="6">
        <f>IF(SUM(I225:I240)=0,0,SUM(D225:D240)/SUM(I225:I240))</f>
        <v/>
      </c>
      <c r="E224" s="6">
        <f>IF(SUM(I225:I240)=0,0,SUM(E225:E240)/SUM(I225:I240))</f>
        <v/>
      </c>
      <c r="F224" s="6">
        <f>IF(SUM(I225:I240)=0,0,SUM(F225:F240)/SUM(I225:I240))</f>
        <v/>
      </c>
      <c r="G224" s="6">
        <f>IF(SUM(I225:I240)=0,0,SUM(G225:G240)/SUM(I225:I240))</f>
        <v/>
      </c>
      <c r="H224" s="6">
        <f>IF(SUM(I225:I240)=0,0,SUM(H225:H240)/SUM(I225:I240))</f>
        <v/>
      </c>
    </row>
    <row r="225" spans="1:9">
      <c r="A225" s="4" t="s">
        <v>25</v>
      </c>
      <c r="B225" s="7">
        <v>0</v>
      </c>
      <c r="C225" s="6">
        <f>IF(I225=1,1.0,0)</f>
        <v/>
      </c>
      <c r="D225" s="6">
        <f>IF(I225=1,1.0,0)</f>
        <v/>
      </c>
      <c r="E225" s="5" t="s">
        <v>23</v>
      </c>
      <c r="F225" s="5" t="s">
        <v>23</v>
      </c>
      <c r="G225" s="5" t="s">
        <v>23</v>
      </c>
      <c r="H225" s="5" t="s">
        <v>23</v>
      </c>
      <c r="I225" s="8">
        <f>IF(OR(LOOKUP(A225,characters!A:A,characters!B:B)=-1, LOOKUP(A225,characters!A:A,characters!B:B)+0.1&gt;=B225),1,0)</f>
        <v/>
      </c>
    </row>
    <row r="226" spans="1:9">
      <c r="A226" s="4" t="s">
        <v>26</v>
      </c>
      <c r="B226" s="7">
        <v>0</v>
      </c>
      <c r="C226" s="5" t="s">
        <v>23</v>
      </c>
      <c r="D226" s="5" t="s">
        <v>23</v>
      </c>
      <c r="E226" s="6">
        <f>IF(I226=1,1.0,0)</f>
        <v/>
      </c>
      <c r="F226" s="6">
        <f>IF(I226=1,0.9,0)</f>
        <v/>
      </c>
      <c r="G226" s="5" t="s">
        <v>23</v>
      </c>
      <c r="H226" s="5" t="s">
        <v>23</v>
      </c>
      <c r="I226" s="8">
        <f>IF(OR(LOOKUP(A226,characters!A:A,characters!B:B)=-1, LOOKUP(A226,characters!A:A,characters!B:B)+0.1&gt;=B226),1,0)</f>
        <v/>
      </c>
    </row>
    <row r="227" spans="1:9">
      <c r="A227" s="4" t="s">
        <v>28</v>
      </c>
      <c r="B227" s="7">
        <v>0</v>
      </c>
      <c r="C227" s="6">
        <f>IF(I227=1,0.9,0)</f>
        <v/>
      </c>
      <c r="D227" s="5" t="s">
        <v>23</v>
      </c>
      <c r="E227" s="5" t="s">
        <v>23</v>
      </c>
      <c r="F227" s="6">
        <f>IF(I227=1,1.0,0)</f>
        <v/>
      </c>
      <c r="G227" s="5" t="s">
        <v>23</v>
      </c>
      <c r="H227" s="5" t="s">
        <v>23</v>
      </c>
      <c r="I227" s="8">
        <f>IF(OR(LOOKUP(A227,characters!A:A,characters!B:B)=-1, LOOKUP(A227,characters!A:A,characters!B:B)+0.1&gt;=B227),1,0)</f>
        <v/>
      </c>
    </row>
    <row r="228" spans="1:9">
      <c r="A228" s="4" t="s">
        <v>29</v>
      </c>
      <c r="B228" s="7">
        <v>0</v>
      </c>
      <c r="C228" s="5" t="s">
        <v>23</v>
      </c>
      <c r="D228" s="5" t="s">
        <v>23</v>
      </c>
      <c r="E228" s="6">
        <f>IF(I228=1,1.0,0)</f>
        <v/>
      </c>
      <c r="F228" s="5" t="s">
        <v>23</v>
      </c>
      <c r="G228" s="5" t="s">
        <v>23</v>
      </c>
      <c r="H228" s="5" t="s">
        <v>23</v>
      </c>
      <c r="I228" s="8">
        <f>IF(OR(LOOKUP(A228,characters!A:A,characters!B:B)=-1, LOOKUP(A228,characters!A:A,characters!B:B)+0.1&gt;=B228),1,0)</f>
        <v/>
      </c>
    </row>
    <row r="229" spans="1:9">
      <c r="A229" s="4" t="s">
        <v>30</v>
      </c>
      <c r="B229" s="7">
        <v>0</v>
      </c>
      <c r="C229" s="6">
        <f>IF(I229=1,1.0,0)</f>
        <v/>
      </c>
      <c r="D229" s="5" t="s">
        <v>23</v>
      </c>
      <c r="E229" s="5" t="s">
        <v>23</v>
      </c>
      <c r="F229" s="5" t="s">
        <v>23</v>
      </c>
      <c r="G229" s="5" t="s">
        <v>23</v>
      </c>
      <c r="H229" s="5" t="s">
        <v>23</v>
      </c>
      <c r="I229" s="8">
        <f>IF(OR(LOOKUP(A229,characters!A:A,characters!B:B)=-1, LOOKUP(A229,characters!A:A,characters!B:B)+0.1&gt;=B229),1,0)</f>
        <v/>
      </c>
    </row>
    <row r="230" spans="1:9">
      <c r="A230" s="4" t="s">
        <v>31</v>
      </c>
      <c r="B230" s="7">
        <v>1</v>
      </c>
      <c r="C230" s="5" t="s">
        <v>23</v>
      </c>
      <c r="D230" s="5" t="s">
        <v>23</v>
      </c>
      <c r="E230" s="5" t="s">
        <v>23</v>
      </c>
      <c r="F230" s="5" t="s">
        <v>23</v>
      </c>
      <c r="G230" s="6">
        <f>IF(I230=1,1.0,0)</f>
        <v/>
      </c>
      <c r="H230" s="6">
        <f>IF(I230=1,0.9,0)</f>
        <v/>
      </c>
      <c r="I230" s="8">
        <f>IF(OR(LOOKUP(A230,characters!A:A,characters!B:B)=-1, LOOKUP(A230,characters!A:A,characters!B:B)+0.1&gt;=B230),1,0)</f>
        <v/>
      </c>
    </row>
    <row r="231" spans="1:9">
      <c r="A231" s="4" t="s">
        <v>33</v>
      </c>
      <c r="B231" s="7">
        <v>0</v>
      </c>
      <c r="C231" s="5" t="s">
        <v>23</v>
      </c>
      <c r="D231" s="5" t="s">
        <v>23</v>
      </c>
      <c r="E231" s="6">
        <f>IF(I231=1,1.0,0)</f>
        <v/>
      </c>
      <c r="F231" s="6">
        <f>IF(I231=1,0.9,0)</f>
        <v/>
      </c>
      <c r="G231" s="5" t="s">
        <v>23</v>
      </c>
      <c r="H231" s="5" t="s">
        <v>23</v>
      </c>
      <c r="I231" s="8">
        <f>IF(OR(LOOKUP(A231,characters!A:A,characters!B:B)=-1, LOOKUP(A231,characters!A:A,characters!B:B)+0.1&gt;=B231),1,0)</f>
        <v/>
      </c>
    </row>
    <row r="232" spans="1:9">
      <c r="A232" s="4" t="s">
        <v>34</v>
      </c>
      <c r="B232" s="7">
        <v>2</v>
      </c>
      <c r="C232" s="5" t="s">
        <v>23</v>
      </c>
      <c r="D232" s="5" t="s">
        <v>23</v>
      </c>
      <c r="E232" s="5" t="s">
        <v>23</v>
      </c>
      <c r="F232" s="5" t="s">
        <v>23</v>
      </c>
      <c r="G232" s="5" t="s">
        <v>23</v>
      </c>
      <c r="H232" s="6">
        <f>IF(I232=1,1.0,0)</f>
        <v/>
      </c>
      <c r="I232" s="8">
        <f>IF(OR(LOOKUP(A232,characters!A:A,characters!B:B)=-1, LOOKUP(A232,characters!A:A,characters!B:B)+0.1&gt;=B232),1,0)</f>
        <v/>
      </c>
    </row>
    <row r="233" spans="1:9">
      <c r="A233" s="4" t="s">
        <v>35</v>
      </c>
      <c r="B233" s="7">
        <v>0</v>
      </c>
      <c r="C233" s="5" t="s">
        <v>23</v>
      </c>
      <c r="D233" s="5" t="s">
        <v>23</v>
      </c>
      <c r="E233" s="6">
        <f>IF(I233=1,1.0,0)</f>
        <v/>
      </c>
      <c r="F233" s="5" t="s">
        <v>23</v>
      </c>
      <c r="G233" s="5" t="s">
        <v>23</v>
      </c>
      <c r="H233" s="5" t="s">
        <v>23</v>
      </c>
      <c r="I233" s="8">
        <f>IF(OR(LOOKUP(A233,characters!A:A,characters!B:B)=-1, LOOKUP(A233,characters!A:A,characters!B:B)+0.1&gt;=B233),1,0)</f>
        <v/>
      </c>
    </row>
    <row r="234" spans="1:9">
      <c r="A234" s="4" t="s">
        <v>36</v>
      </c>
      <c r="B234" s="7">
        <v>0</v>
      </c>
      <c r="C234" s="5" t="s">
        <v>23</v>
      </c>
      <c r="D234" s="5" t="s">
        <v>23</v>
      </c>
      <c r="E234" s="6">
        <f>IF(I234=1,1.0,0)</f>
        <v/>
      </c>
      <c r="F234" s="5" t="s">
        <v>23</v>
      </c>
      <c r="G234" s="5" t="s">
        <v>23</v>
      </c>
      <c r="H234" s="5" t="s">
        <v>23</v>
      </c>
      <c r="I234" s="8">
        <f>IF(OR(LOOKUP(A234,characters!A:A,characters!B:B)=-1, LOOKUP(A234,characters!A:A,characters!B:B)+0.1&gt;=B234),1,0)</f>
        <v/>
      </c>
    </row>
    <row r="235" spans="1:9">
      <c r="A235" s="4" t="s">
        <v>37</v>
      </c>
      <c r="B235" s="7">
        <v>0</v>
      </c>
      <c r="C235" s="5" t="s">
        <v>23</v>
      </c>
      <c r="D235" s="5" t="s">
        <v>23</v>
      </c>
      <c r="E235" s="6">
        <f>IF(I235=1,1.0,0)</f>
        <v/>
      </c>
      <c r="F235" s="6">
        <f>IF(I235=1,0.9,0)</f>
        <v/>
      </c>
      <c r="G235" s="5" t="s">
        <v>23</v>
      </c>
      <c r="H235" s="5" t="s">
        <v>23</v>
      </c>
      <c r="I235" s="8">
        <f>IF(OR(LOOKUP(A235,characters!A:A,characters!B:B)=-1, LOOKUP(A235,characters!A:A,characters!B:B)+0.1&gt;=B235),1,0)</f>
        <v/>
      </c>
    </row>
    <row r="236" spans="1:9">
      <c r="A236" s="4" t="s">
        <v>38</v>
      </c>
      <c r="B236" s="7">
        <v>2</v>
      </c>
      <c r="C236" s="6">
        <f>IF(I236=1,0.99,0)</f>
        <v/>
      </c>
      <c r="D236" s="5" t="s">
        <v>23</v>
      </c>
      <c r="E236" s="5" t="s">
        <v>23</v>
      </c>
      <c r="F236" s="5" t="s">
        <v>23</v>
      </c>
      <c r="G236" s="5" t="s">
        <v>23</v>
      </c>
      <c r="H236" s="6">
        <f>IF(I236=1,1.0,0)</f>
        <v/>
      </c>
      <c r="I236" s="8">
        <f>IF(OR(LOOKUP(A236,characters!A:A,characters!B:B)=-1, LOOKUP(A236,characters!A:A,characters!B:B)+0.1&gt;=B236),1,0)</f>
        <v/>
      </c>
    </row>
    <row r="237" spans="1:9">
      <c r="A237" s="4" t="s">
        <v>39</v>
      </c>
      <c r="B237" s="7">
        <v>0</v>
      </c>
      <c r="C237" s="5" t="s">
        <v>23</v>
      </c>
      <c r="D237" s="5" t="s">
        <v>23</v>
      </c>
      <c r="E237" s="6">
        <f>IF(I237=1,1.0,0)</f>
        <v/>
      </c>
      <c r="F237" s="6">
        <f>IF(I237=1,0.9,0)</f>
        <v/>
      </c>
      <c r="G237" s="5" t="s">
        <v>23</v>
      </c>
      <c r="H237" s="5" t="s">
        <v>23</v>
      </c>
      <c r="I237" s="8">
        <f>IF(OR(LOOKUP(A237,characters!A:A,characters!B:B)=-1, LOOKUP(A237,characters!A:A,characters!B:B)+0.1&gt;=B237),1,0)</f>
        <v/>
      </c>
    </row>
    <row r="238" spans="1:9">
      <c r="A238" s="4" t="s">
        <v>40</v>
      </c>
      <c r="B238" s="7">
        <v>0</v>
      </c>
      <c r="C238" s="5" t="s">
        <v>23</v>
      </c>
      <c r="D238" s="5" t="s">
        <v>23</v>
      </c>
      <c r="E238" s="5" t="s">
        <v>23</v>
      </c>
      <c r="F238" s="6">
        <f>IF(I238=1,0.9,0)</f>
        <v/>
      </c>
      <c r="G238" s="5" t="s">
        <v>23</v>
      </c>
      <c r="H238" s="6">
        <f>IF(I238=1,1.0,0)</f>
        <v/>
      </c>
      <c r="I238" s="8">
        <f>IF(OR(LOOKUP(A238,characters!A:A,characters!B:B)=-1, LOOKUP(A238,characters!A:A,characters!B:B)+0.1&gt;=B238),1,0)</f>
        <v/>
      </c>
    </row>
    <row r="239" spans="1:9">
      <c r="A239" s="4" t="s">
        <v>43</v>
      </c>
      <c r="B239" s="7">
        <v>2</v>
      </c>
      <c r="C239" s="5" t="s">
        <v>23</v>
      </c>
      <c r="D239" s="5" t="s">
        <v>23</v>
      </c>
      <c r="E239" s="5" t="s">
        <v>23</v>
      </c>
      <c r="F239" s="5" t="s">
        <v>23</v>
      </c>
      <c r="G239" s="5" t="s">
        <v>23</v>
      </c>
      <c r="H239" s="6">
        <f>IF(I239=1,1.0,0)</f>
        <v/>
      </c>
      <c r="I239" s="8">
        <f>IF(OR(LOOKUP(A239,characters!A:A,characters!B:B)=-1, LOOKUP(A239,characters!A:A,characters!B:B)+0.1&gt;=B239),1,0)</f>
        <v/>
      </c>
    </row>
    <row r="240" spans="1:9">
      <c r="A240" s="4" t="s">
        <v>47</v>
      </c>
      <c r="B240" s="7">
        <v>0</v>
      </c>
      <c r="C240" s="6">
        <f>IF(I240=1,1.0,0)</f>
        <v/>
      </c>
      <c r="D240" s="5" t="s">
        <v>23</v>
      </c>
      <c r="E240" s="5" t="s">
        <v>23</v>
      </c>
      <c r="F240" s="5" t="s">
        <v>23</v>
      </c>
      <c r="G240" s="5" t="s">
        <v>23</v>
      </c>
      <c r="H240" s="5" t="s">
        <v>23</v>
      </c>
      <c r="I240" s="8">
        <f>IF(OR(LOOKUP(A240,characters!A:A,characters!B:B)=-1, LOOKUP(A240,characters!A:A,characters!B:B)+0.1&gt;=B240),1,0)</f>
        <v/>
      </c>
    </row>
    <row r="242" spans="1:6">
      <c r="A242" s="3" t="s">
        <v>52</v>
      </c>
      <c r="B242" s="3" t="s">
        <v>9</v>
      </c>
      <c r="C242" s="3" t="s">
        <v>10</v>
      </c>
      <c r="D242" s="3" t="s">
        <v>12</v>
      </c>
      <c r="E242" s="3" t="s">
        <v>13</v>
      </c>
    </row>
    <row r="243" spans="1:6">
      <c r="A243" s="4" t="s">
        <v>22</v>
      </c>
      <c r="B243" s="5" t="s">
        <v>23</v>
      </c>
      <c r="C243" s="6">
        <f>IF(SUM(F244:F259)=0,0,SUM(C244:C259)/SUM(F244:F259))</f>
        <v/>
      </c>
      <c r="D243" s="6">
        <f>IF(SUM(F244:F259)=0,0,SUM(D244:D259)/SUM(F244:F259))</f>
        <v/>
      </c>
      <c r="E243" s="6">
        <f>IF(SUM(F244:F259)=0,0,SUM(E244:E259)/SUM(F244:F259))</f>
        <v/>
      </c>
    </row>
    <row r="244" spans="1:6">
      <c r="A244" s="4" t="s">
        <v>25</v>
      </c>
      <c r="B244" s="7">
        <v>0</v>
      </c>
      <c r="C244" s="6">
        <f>IF(F244=1,1.0,0)</f>
        <v/>
      </c>
      <c r="D244" s="6">
        <f>IF(F244=1,0.99,0)</f>
        <v/>
      </c>
      <c r="E244" s="5" t="s">
        <v>23</v>
      </c>
      <c r="F244" s="8">
        <f>IF(OR(LOOKUP(A244,characters!A:A,characters!B:B)=-1, LOOKUP(A244,characters!A:A,characters!B:B)+0.1&gt;=B244),1,0)</f>
        <v/>
      </c>
    </row>
    <row r="245" spans="1:6">
      <c r="A245" s="4" t="s">
        <v>26</v>
      </c>
      <c r="B245" s="7">
        <v>0</v>
      </c>
      <c r="C245" s="6">
        <f>IF(F245=1,1.0,0)</f>
        <v/>
      </c>
      <c r="D245" s="5" t="s">
        <v>23</v>
      </c>
      <c r="E245" s="5" t="s">
        <v>23</v>
      </c>
      <c r="F245" s="8">
        <f>IF(OR(LOOKUP(A245,characters!A:A,characters!B:B)=-1, LOOKUP(A245,characters!A:A,characters!B:B)+0.1&gt;=B245),1,0)</f>
        <v/>
      </c>
    </row>
    <row r="246" spans="1:6">
      <c r="A246" s="4" t="s">
        <v>28</v>
      </c>
      <c r="B246" s="7">
        <v>0</v>
      </c>
      <c r="C246" s="6">
        <f>IF(F246=1,1.0,0)</f>
        <v/>
      </c>
      <c r="D246" s="5" t="s">
        <v>23</v>
      </c>
      <c r="E246" s="6">
        <f>IF(F246=1,0.9,0)</f>
        <v/>
      </c>
      <c r="F246" s="8">
        <f>IF(OR(LOOKUP(A246,characters!A:A,characters!B:B)=-1, LOOKUP(A246,characters!A:A,characters!B:B)+0.1&gt;=B246),1,0)</f>
        <v/>
      </c>
    </row>
    <row r="247" spans="1:6">
      <c r="A247" s="4" t="s">
        <v>29</v>
      </c>
      <c r="B247" s="7">
        <v>0</v>
      </c>
      <c r="C247" s="6">
        <f>IF(F247=1,1.0,0)</f>
        <v/>
      </c>
      <c r="D247" s="5" t="s">
        <v>23</v>
      </c>
      <c r="E247" s="5" t="s">
        <v>23</v>
      </c>
      <c r="F247" s="8">
        <f>IF(OR(LOOKUP(A247,characters!A:A,characters!B:B)=-1, LOOKUP(A247,characters!A:A,characters!B:B)+0.1&gt;=B247),1,0)</f>
        <v/>
      </c>
    </row>
    <row r="248" spans="1:6">
      <c r="A248" s="4" t="s">
        <v>30</v>
      </c>
      <c r="B248" s="7">
        <v>0</v>
      </c>
      <c r="C248" s="6">
        <f>IF(F248=1,1.0,0)</f>
        <v/>
      </c>
      <c r="D248" s="5" t="s">
        <v>23</v>
      </c>
      <c r="E248" s="5" t="s">
        <v>23</v>
      </c>
      <c r="F248" s="8">
        <f>IF(OR(LOOKUP(A248,characters!A:A,characters!B:B)=-1, LOOKUP(A248,characters!A:A,characters!B:B)+0.1&gt;=B248),1,0)</f>
        <v/>
      </c>
    </row>
    <row r="249" spans="1:6">
      <c r="A249" s="4" t="s">
        <v>31</v>
      </c>
      <c r="B249" s="7">
        <v>1</v>
      </c>
      <c r="C249" s="6">
        <f>IF(F249=1,1.0,0)</f>
        <v/>
      </c>
      <c r="D249" s="5" t="s">
        <v>23</v>
      </c>
      <c r="E249" s="5" t="s">
        <v>23</v>
      </c>
      <c r="F249" s="8">
        <f>IF(OR(LOOKUP(A249,characters!A:A,characters!B:B)=-1, LOOKUP(A249,characters!A:A,characters!B:B)+0.1&gt;=B249),1,0)</f>
        <v/>
      </c>
    </row>
    <row r="250" spans="1:6">
      <c r="A250" s="4" t="s">
        <v>33</v>
      </c>
      <c r="B250" s="7">
        <v>0</v>
      </c>
      <c r="C250" s="6">
        <f>IF(F250=1,1.0,0)</f>
        <v/>
      </c>
      <c r="D250" s="5" t="s">
        <v>23</v>
      </c>
      <c r="E250" s="5" t="s">
        <v>23</v>
      </c>
      <c r="F250" s="8">
        <f>IF(OR(LOOKUP(A250,characters!A:A,characters!B:B)=-1, LOOKUP(A250,characters!A:A,characters!B:B)+0.1&gt;=B250),1,0)</f>
        <v/>
      </c>
    </row>
    <row r="251" spans="1:6">
      <c r="A251" s="4" t="s">
        <v>34</v>
      </c>
      <c r="B251" s="7">
        <v>2</v>
      </c>
      <c r="C251" s="6">
        <f>IF(F251=1,1.0,0)</f>
        <v/>
      </c>
      <c r="D251" s="5" t="s">
        <v>23</v>
      </c>
      <c r="E251" s="5" t="s">
        <v>23</v>
      </c>
      <c r="F251" s="8">
        <f>IF(OR(LOOKUP(A251,characters!A:A,characters!B:B)=-1, LOOKUP(A251,characters!A:A,characters!B:B)+0.1&gt;=B251),1,0)</f>
        <v/>
      </c>
    </row>
    <row r="252" spans="1:6">
      <c r="A252" s="4" t="s">
        <v>35</v>
      </c>
      <c r="B252" s="7">
        <v>0</v>
      </c>
      <c r="C252" s="6">
        <f>IF(F252=1,1.0,0)</f>
        <v/>
      </c>
      <c r="D252" s="5" t="s">
        <v>23</v>
      </c>
      <c r="E252" s="5" t="s">
        <v>23</v>
      </c>
      <c r="F252" s="8">
        <f>IF(OR(LOOKUP(A252,characters!A:A,characters!B:B)=-1, LOOKUP(A252,characters!A:A,characters!B:B)+0.1&gt;=B252),1,0)</f>
        <v/>
      </c>
    </row>
    <row r="253" spans="1:6">
      <c r="A253" s="4" t="s">
        <v>36</v>
      </c>
      <c r="B253" s="7">
        <v>0</v>
      </c>
      <c r="C253" s="6">
        <f>IF(F253=1,1.0,0)</f>
        <v/>
      </c>
      <c r="D253" s="5" t="s">
        <v>23</v>
      </c>
      <c r="E253" s="5" t="s">
        <v>23</v>
      </c>
      <c r="F253" s="8">
        <f>IF(OR(LOOKUP(A253,characters!A:A,characters!B:B)=-1, LOOKUP(A253,characters!A:A,characters!B:B)+0.1&gt;=B253),1,0)</f>
        <v/>
      </c>
    </row>
    <row r="254" spans="1:6">
      <c r="A254" s="4" t="s">
        <v>37</v>
      </c>
      <c r="B254" s="7">
        <v>0</v>
      </c>
      <c r="C254" s="6">
        <f>IF(F254=1,1.0,0)</f>
        <v/>
      </c>
      <c r="D254" s="5" t="s">
        <v>23</v>
      </c>
      <c r="E254" s="5" t="s">
        <v>23</v>
      </c>
      <c r="F254" s="8">
        <f>IF(OR(LOOKUP(A254,characters!A:A,characters!B:B)=-1, LOOKUP(A254,characters!A:A,characters!B:B)+0.1&gt;=B254),1,0)</f>
        <v/>
      </c>
    </row>
    <row r="255" spans="1:6">
      <c r="A255" s="4" t="s">
        <v>38</v>
      </c>
      <c r="B255" s="7">
        <v>2</v>
      </c>
      <c r="C255" s="6">
        <f>IF(F255=1,1.0,0)</f>
        <v/>
      </c>
      <c r="D255" s="5" t="s">
        <v>23</v>
      </c>
      <c r="E255" s="5" t="s">
        <v>23</v>
      </c>
      <c r="F255" s="8">
        <f>IF(OR(LOOKUP(A255,characters!A:A,characters!B:B)=-1, LOOKUP(A255,characters!A:A,characters!B:B)+0.1&gt;=B255),1,0)</f>
        <v/>
      </c>
    </row>
    <row r="256" spans="1:6">
      <c r="A256" s="4" t="s">
        <v>39</v>
      </c>
      <c r="B256" s="7">
        <v>0</v>
      </c>
      <c r="C256" s="6">
        <f>IF(F256=1,1.0,0)</f>
        <v/>
      </c>
      <c r="D256" s="5" t="s">
        <v>23</v>
      </c>
      <c r="E256" s="5" t="s">
        <v>23</v>
      </c>
      <c r="F256" s="8">
        <f>IF(OR(LOOKUP(A256,characters!A:A,characters!B:B)=-1, LOOKUP(A256,characters!A:A,characters!B:B)+0.1&gt;=B256),1,0)</f>
        <v/>
      </c>
    </row>
    <row r="257" spans="1:15">
      <c r="A257" s="4" t="s">
        <v>40</v>
      </c>
      <c r="B257" s="7">
        <v>0</v>
      </c>
      <c r="C257" s="6">
        <f>IF(F257=1,1.0,0)</f>
        <v/>
      </c>
      <c r="D257" s="5" t="s">
        <v>23</v>
      </c>
      <c r="E257" s="5" t="s">
        <v>23</v>
      </c>
      <c r="F257" s="8">
        <f>IF(OR(LOOKUP(A257,characters!A:A,characters!B:B)=-1, LOOKUP(A257,characters!A:A,characters!B:B)+0.1&gt;=B257),1,0)</f>
        <v/>
      </c>
    </row>
    <row r="258" spans="1:15">
      <c r="A258" s="4" t="s">
        <v>43</v>
      </c>
      <c r="B258" s="7">
        <v>2</v>
      </c>
      <c r="C258" s="6">
        <f>IF(F258=1,1.0,0)</f>
        <v/>
      </c>
      <c r="D258" s="5" t="s">
        <v>23</v>
      </c>
      <c r="E258" s="5" t="s">
        <v>23</v>
      </c>
      <c r="F258" s="8">
        <f>IF(OR(LOOKUP(A258,characters!A:A,characters!B:B)=-1, LOOKUP(A258,characters!A:A,characters!B:B)+0.1&gt;=B258),1,0)</f>
        <v/>
      </c>
    </row>
    <row r="259" spans="1:15">
      <c r="A259" s="4" t="s">
        <v>47</v>
      </c>
      <c r="B259" s="7">
        <v>0</v>
      </c>
      <c r="C259" s="6">
        <f>IF(F259=1,1.0,0)</f>
        <v/>
      </c>
      <c r="D259" s="6">
        <f>IF(F259=1,0.99,0)</f>
        <v/>
      </c>
      <c r="E259" s="5" t="s">
        <v>23</v>
      </c>
      <c r="F259" s="8">
        <f>IF(OR(LOOKUP(A259,characters!A:A,characters!B:B)=-1, LOOKUP(A259,characters!A:A,characters!B:B)+0.1&gt;=B259),1,0)</f>
        <v/>
      </c>
    </row>
    <row r="266" spans="1:15">
      <c r="A266" s="3" t="s">
        <v>55</v>
      </c>
    </row>
    <row r="267" spans="1:15">
      <c r="A267" s="3" t="s">
        <v>8</v>
      </c>
      <c r="B267" s="3" t="s">
        <v>9</v>
      </c>
      <c r="C267" s="3" t="s">
        <v>10</v>
      </c>
      <c r="D267" s="3" t="s">
        <v>11</v>
      </c>
      <c r="E267" s="3" t="s">
        <v>12</v>
      </c>
      <c r="F267" s="3" t="s">
        <v>13</v>
      </c>
      <c r="G267" s="3" t="s">
        <v>14</v>
      </c>
      <c r="H267" s="3" t="s">
        <v>15</v>
      </c>
      <c r="I267" s="3" t="s">
        <v>16</v>
      </c>
      <c r="J267" s="3" t="s">
        <v>17</v>
      </c>
      <c r="K267" s="3" t="s">
        <v>18</v>
      </c>
      <c r="L267" s="3" t="s">
        <v>19</v>
      </c>
      <c r="M267" s="3" t="s">
        <v>20</v>
      </c>
      <c r="N267" s="3" t="s">
        <v>21</v>
      </c>
    </row>
    <row r="268" spans="1:15">
      <c r="A268" s="4" t="s">
        <v>22</v>
      </c>
      <c r="B268" s="5" t="s">
        <v>23</v>
      </c>
      <c r="C268" s="6">
        <f>IF(SUM(O269:O293)=0,0,SUM(C269:C293)/SUM(O269:O293))</f>
        <v/>
      </c>
      <c r="D268" s="6">
        <f>IF(SUM(O269:O293)=0,0,SUM(D269:D293)/SUM(O269:O293))</f>
        <v/>
      </c>
      <c r="E268" s="6">
        <f>IF(SUM(O269:O293)=0,0,SUM(E269:E293)/SUM(O269:O293))</f>
        <v/>
      </c>
      <c r="F268" s="6">
        <f>IF(SUM(O269:O293)=0,0,SUM(F269:F293)/SUM(O269:O293))</f>
        <v/>
      </c>
      <c r="G268" s="6">
        <f>IF(SUM(O269:O293)=0,0,SUM(G269:G293)/SUM(O269:O293))</f>
        <v/>
      </c>
      <c r="H268" s="6">
        <f>IF(SUM(O269:O293)=0,0,SUM(H269:H293)/SUM(O269:O293))</f>
        <v/>
      </c>
      <c r="I268" s="6">
        <f>IF(SUM(O269:O293)=0,0,SUM(I269:I293)/SUM(O269:O293))</f>
        <v/>
      </c>
      <c r="J268" s="6">
        <f>IF(SUM(O269:O293)=0,0,SUM(J269:J293)/SUM(O269:O293))</f>
        <v/>
      </c>
      <c r="K268" s="6">
        <f>IF(SUM(O269:O293)=0,0,SUM(K269:K293)/SUM(O269:O293))</f>
        <v/>
      </c>
      <c r="L268" s="6">
        <f>IF(SUM(O269:O293)=0,0,SUM(L269:L293)/SUM(O269:O293))</f>
        <v/>
      </c>
      <c r="M268" s="6">
        <f>IF(SUM(O269:O293)=0,0,SUM(M269:M293)/SUM(O269:O293))</f>
        <v/>
      </c>
      <c r="N268" s="6">
        <f>IF(SUM(O269:O293)=0,0,SUM(N269:N293)/SUM(O269:O293))</f>
        <v/>
      </c>
    </row>
    <row r="269" spans="1:15">
      <c r="A269" s="4" t="s">
        <v>24</v>
      </c>
      <c r="B269" s="7">
        <v>0</v>
      </c>
      <c r="C269" s="6">
        <f>IF(O269=1,1.0,0)</f>
        <v/>
      </c>
      <c r="D269" s="6">
        <f>IF(O269=1,0.8,0)</f>
        <v/>
      </c>
      <c r="E269" s="5" t="s">
        <v>23</v>
      </c>
      <c r="F269" s="5" t="s">
        <v>23</v>
      </c>
      <c r="G269" s="6">
        <f>IF(O269=1,0.9,0)</f>
        <v/>
      </c>
      <c r="H269" s="6">
        <f>IF(O269=1,0.9,0)</f>
        <v/>
      </c>
      <c r="I269" s="5" t="s">
        <v>23</v>
      </c>
      <c r="J269" s="5" t="s">
        <v>23</v>
      </c>
      <c r="K269" s="5" t="s">
        <v>23</v>
      </c>
      <c r="L269" s="5" t="s">
        <v>23</v>
      </c>
      <c r="M269" s="5" t="s">
        <v>23</v>
      </c>
      <c r="N269" s="5" t="s">
        <v>23</v>
      </c>
      <c r="O269" s="8">
        <f>IF(OR(LOOKUP(A269,characters!A:A,characters!B:B)=-1, LOOKUP(A269,characters!A:A,characters!B:B)+0.1&gt;=B269),1,0)</f>
        <v/>
      </c>
    </row>
    <row r="270" spans="1:15">
      <c r="A270" s="4" t="s">
        <v>31</v>
      </c>
      <c r="B270" s="7">
        <v>0</v>
      </c>
      <c r="C270" s="6">
        <f>IF(O270=1,0.9,0)</f>
        <v/>
      </c>
      <c r="D270" s="5" t="s">
        <v>23</v>
      </c>
      <c r="E270" s="6">
        <f>IF(O270=1,0.7,0)</f>
        <v/>
      </c>
      <c r="F270" s="6">
        <f>IF(O270=1,0.7,0)</f>
        <v/>
      </c>
      <c r="G270" s="5" t="s">
        <v>23</v>
      </c>
      <c r="H270" s="5" t="s">
        <v>23</v>
      </c>
      <c r="I270" s="6">
        <f>IF(O270=1,1.0,0)</f>
        <v/>
      </c>
      <c r="J270" s="6">
        <f>IF(O270=1,0.8,0)</f>
        <v/>
      </c>
      <c r="K270" s="6">
        <f>IF(O270=1,0.7,0)</f>
        <v/>
      </c>
      <c r="L270" s="5" t="s">
        <v>23</v>
      </c>
      <c r="M270" s="5" t="s">
        <v>23</v>
      </c>
      <c r="N270" s="5" t="s">
        <v>23</v>
      </c>
      <c r="O270" s="8">
        <f>IF(OR(LOOKUP(A270,characters!A:A,characters!B:B)=-1, LOOKUP(A270,characters!A:A,characters!B:B)+0.1&gt;=B270),1,0)</f>
        <v/>
      </c>
    </row>
    <row r="271" spans="1:15">
      <c r="A271" s="4" t="s">
        <v>32</v>
      </c>
      <c r="B271" s="7">
        <v>0</v>
      </c>
      <c r="C271" s="6">
        <f>IF(O271=1,1.0,0)</f>
        <v/>
      </c>
      <c r="D271" s="6">
        <f>IF(O271=1,0.8,0)</f>
        <v/>
      </c>
      <c r="E271" s="5" t="s">
        <v>23</v>
      </c>
      <c r="F271" s="5" t="s">
        <v>23</v>
      </c>
      <c r="G271" s="6">
        <f>IF(O271=1,0.9,0)</f>
        <v/>
      </c>
      <c r="H271" s="6">
        <f>IF(O271=1,0.9,0)</f>
        <v/>
      </c>
      <c r="I271" s="5" t="s">
        <v>23</v>
      </c>
      <c r="J271" s="5" t="s">
        <v>23</v>
      </c>
      <c r="K271" s="6">
        <f>IF(O271=1,0.8,0)</f>
        <v/>
      </c>
      <c r="L271" s="5" t="s">
        <v>23</v>
      </c>
      <c r="M271" s="5" t="s">
        <v>23</v>
      </c>
      <c r="N271" s="5" t="s">
        <v>23</v>
      </c>
      <c r="O271" s="8">
        <f>IF(OR(LOOKUP(A271,characters!A:A,characters!B:B)=-1, LOOKUP(A271,characters!A:A,characters!B:B)+0.1&gt;=B271),1,0)</f>
        <v/>
      </c>
    </row>
    <row r="272" spans="1:15">
      <c r="A272" s="4" t="s">
        <v>38</v>
      </c>
      <c r="B272" s="7">
        <v>0</v>
      </c>
      <c r="C272" s="6">
        <f>IF(O272=1,1.0,0)</f>
        <v/>
      </c>
      <c r="D272" s="6">
        <f>IF(O272=1,0.8,0)</f>
        <v/>
      </c>
      <c r="E272" s="6">
        <f>IF(O272=1,0.9,0)</f>
        <v/>
      </c>
      <c r="F272" s="6">
        <f>IF(O272=1,0.8,0)</f>
        <v/>
      </c>
      <c r="G272" s="5" t="s">
        <v>23</v>
      </c>
      <c r="H272" s="5" t="s">
        <v>23</v>
      </c>
      <c r="I272" s="6">
        <f>IF(O272=1,1.0,0)</f>
        <v/>
      </c>
      <c r="J272" s="5" t="s">
        <v>23</v>
      </c>
      <c r="K272" s="5" t="s">
        <v>23</v>
      </c>
      <c r="L272" s="5" t="s">
        <v>23</v>
      </c>
      <c r="M272" s="5" t="s">
        <v>23</v>
      </c>
      <c r="N272" s="5" t="s">
        <v>23</v>
      </c>
      <c r="O272" s="8">
        <f>IF(OR(LOOKUP(A272,characters!A:A,characters!B:B)=-1, LOOKUP(A272,characters!A:A,characters!B:B)+0.1&gt;=B272),1,0)</f>
        <v/>
      </c>
    </row>
    <row r="273" spans="1:15">
      <c r="A273" s="4" t="s">
        <v>40</v>
      </c>
      <c r="B273" s="7">
        <v>0</v>
      </c>
      <c r="C273" s="6">
        <f>IF(O273=1,1.0,0)</f>
        <v/>
      </c>
      <c r="D273" s="6">
        <f>IF(O273=1,0.8,0)</f>
        <v/>
      </c>
      <c r="E273" s="5" t="s">
        <v>23</v>
      </c>
      <c r="F273" s="5" t="s">
        <v>23</v>
      </c>
      <c r="G273" s="6">
        <f>IF(O273=1,0.9,0)</f>
        <v/>
      </c>
      <c r="H273" s="6">
        <f>IF(O273=1,0.9,0)</f>
        <v/>
      </c>
      <c r="I273" s="6">
        <f>IF(O273=1,1.0,0)</f>
        <v/>
      </c>
      <c r="J273" s="5" t="s">
        <v>23</v>
      </c>
      <c r="K273" s="5" t="s">
        <v>23</v>
      </c>
      <c r="L273" s="5" t="s">
        <v>23</v>
      </c>
      <c r="M273" s="5" t="s">
        <v>23</v>
      </c>
      <c r="N273" s="5" t="s">
        <v>23</v>
      </c>
      <c r="O273" s="8">
        <f>IF(OR(LOOKUP(A273,characters!A:A,characters!B:B)=-1, LOOKUP(A273,characters!A:A,characters!B:B)+0.1&gt;=B273),1,0)</f>
        <v/>
      </c>
    </row>
    <row r="274" spans="1:15">
      <c r="A274" s="4" t="s">
        <v>43</v>
      </c>
      <c r="B274" s="7">
        <v>0</v>
      </c>
      <c r="C274" s="6">
        <f>IF(O274=1,1.0,0)</f>
        <v/>
      </c>
      <c r="D274" s="6">
        <f>IF(O274=1,0.8,0)</f>
        <v/>
      </c>
      <c r="E274" s="5" t="s">
        <v>23</v>
      </c>
      <c r="F274" s="5" t="s">
        <v>23</v>
      </c>
      <c r="G274" s="6">
        <f>IF(O274=1,0.9,0)</f>
        <v/>
      </c>
      <c r="H274" s="6">
        <f>IF(O274=1,0.9,0)</f>
        <v/>
      </c>
      <c r="I274" s="6">
        <f>IF(O274=1,1.0,0)</f>
        <v/>
      </c>
      <c r="J274" s="5" t="s">
        <v>23</v>
      </c>
      <c r="K274" s="6">
        <f>IF(O274=1,0.9,0)</f>
        <v/>
      </c>
      <c r="L274" s="5" t="s">
        <v>23</v>
      </c>
      <c r="M274" s="5" t="s">
        <v>23</v>
      </c>
      <c r="N274" s="5" t="s">
        <v>23</v>
      </c>
      <c r="O274" s="8">
        <f>IF(OR(LOOKUP(A274,characters!A:A,characters!B:B)=-1, LOOKUP(A274,characters!A:A,characters!B:B)+0.1&gt;=B274),1,0)</f>
        <v/>
      </c>
    </row>
    <row r="275" spans="1:15">
      <c r="A275" s="4" t="s">
        <v>45</v>
      </c>
      <c r="B275" s="7">
        <v>0</v>
      </c>
      <c r="C275" s="6">
        <f>IF(O275=1,1.0,0)</f>
        <v/>
      </c>
      <c r="D275" s="6">
        <f>IF(O275=1,0.8,0)</f>
        <v/>
      </c>
      <c r="E275" s="5" t="s">
        <v>23</v>
      </c>
      <c r="F275" s="5" t="s">
        <v>23</v>
      </c>
      <c r="G275" s="6">
        <f>IF(O275=1,0.9,0)</f>
        <v/>
      </c>
      <c r="H275" s="6">
        <f>IF(O275=1,0.9,0)</f>
        <v/>
      </c>
      <c r="I275" s="5" t="s">
        <v>23</v>
      </c>
      <c r="J275" s="6">
        <f>IF(O275=1,1.0,0)</f>
        <v/>
      </c>
      <c r="K275" s="5" t="s">
        <v>23</v>
      </c>
      <c r="L275" s="5" t="s">
        <v>23</v>
      </c>
      <c r="M275" s="5" t="s">
        <v>23</v>
      </c>
      <c r="N275" s="5" t="s">
        <v>23</v>
      </c>
      <c r="O275" s="8">
        <f>IF(OR(LOOKUP(A275,characters!A:A,characters!B:B)=-1, LOOKUP(A275,characters!A:A,characters!B:B)+0.1&gt;=B275),1,0)</f>
        <v/>
      </c>
    </row>
    <row r="276" spans="1:15">
      <c r="A276" s="4" t="s">
        <v>48</v>
      </c>
      <c r="B276" s="7">
        <v>0</v>
      </c>
      <c r="C276" s="6">
        <f>IF(O276=1,1.0,0)</f>
        <v/>
      </c>
      <c r="D276" s="6">
        <f>IF(O276=1,0.8,0)</f>
        <v/>
      </c>
      <c r="E276" s="5" t="s">
        <v>23</v>
      </c>
      <c r="F276" s="5" t="s">
        <v>23</v>
      </c>
      <c r="G276" s="6">
        <f>IF(O276=1,0.9,0)</f>
        <v/>
      </c>
      <c r="H276" s="6">
        <f>IF(O276=1,0.9,0)</f>
        <v/>
      </c>
      <c r="I276" s="5" t="s">
        <v>23</v>
      </c>
      <c r="J276" s="5" t="s">
        <v>23</v>
      </c>
      <c r="K276" s="5" t="s">
        <v>23</v>
      </c>
      <c r="L276" s="5" t="s">
        <v>23</v>
      </c>
      <c r="M276" s="5" t="s">
        <v>23</v>
      </c>
      <c r="N276" s="5" t="s">
        <v>23</v>
      </c>
      <c r="O276" s="8">
        <f>IF(OR(LOOKUP(A276,characters!A:A,characters!B:B)=-1, LOOKUP(A276,characters!A:A,characters!B:B)+0.1&gt;=B276),1,0)</f>
        <v/>
      </c>
    </row>
    <row r="277" spans="1:15">
      <c r="A277" s="4" t="s">
        <v>27</v>
      </c>
      <c r="B277" s="7">
        <v>1</v>
      </c>
      <c r="C277" s="6">
        <f>IF(O277=1,1.0,0)</f>
        <v/>
      </c>
      <c r="D277" s="6">
        <f>IF(O277=1,0.7,0)</f>
        <v/>
      </c>
      <c r="E277" s="5" t="s">
        <v>23</v>
      </c>
      <c r="F277" s="5" t="s">
        <v>23</v>
      </c>
      <c r="G277" s="6">
        <f>IF(O277=1,0.8,0)</f>
        <v/>
      </c>
      <c r="H277" s="6">
        <f>IF(O277=1,0.8,0)</f>
        <v/>
      </c>
      <c r="I277" s="5" t="s">
        <v>23</v>
      </c>
      <c r="J277" s="5" t="s">
        <v>23</v>
      </c>
      <c r="K277" s="5" t="s">
        <v>23</v>
      </c>
      <c r="L277" s="6">
        <f>IF(O277=1,0.9,0)</f>
        <v/>
      </c>
      <c r="M277" s="5" t="s">
        <v>23</v>
      </c>
      <c r="N277" s="5" t="s">
        <v>23</v>
      </c>
      <c r="O277" s="8">
        <f>IF(OR(LOOKUP(A277,characters!A:A,characters!B:B)=-1, LOOKUP(A277,characters!A:A,characters!B:B)+0.1&gt;=B277),1,0)</f>
        <v/>
      </c>
    </row>
    <row r="278" spans="1:15">
      <c r="A278" s="4" t="s">
        <v>29</v>
      </c>
      <c r="B278" s="7">
        <v>1</v>
      </c>
      <c r="C278" s="6">
        <f>IF(O278=1,1.0,0)</f>
        <v/>
      </c>
      <c r="D278" s="6">
        <f>IF(O278=1,0.8,0)</f>
        <v/>
      </c>
      <c r="E278" s="6">
        <f>IF(O278=1,0.7,0)</f>
        <v/>
      </c>
      <c r="F278" s="6">
        <f>IF(O278=1,0.7,0)</f>
        <v/>
      </c>
      <c r="G278" s="5" t="s">
        <v>23</v>
      </c>
      <c r="H278" s="5" t="s">
        <v>23</v>
      </c>
      <c r="I278" s="5" t="s">
        <v>23</v>
      </c>
      <c r="J278" s="5" t="s">
        <v>23</v>
      </c>
      <c r="K278" s="6">
        <f>IF(O278=1,0.9,0)</f>
        <v/>
      </c>
      <c r="L278" s="5" t="s">
        <v>23</v>
      </c>
      <c r="M278" s="5" t="s">
        <v>23</v>
      </c>
      <c r="N278" s="5" t="s">
        <v>23</v>
      </c>
      <c r="O278" s="8">
        <f>IF(OR(LOOKUP(A278,characters!A:A,characters!B:B)=-1, LOOKUP(A278,characters!A:A,characters!B:B)+0.1&gt;=B278),1,0)</f>
        <v/>
      </c>
    </row>
    <row r="279" spans="1:15">
      <c r="A279" s="4" t="s">
        <v>30</v>
      </c>
      <c r="B279" s="7">
        <v>1</v>
      </c>
      <c r="C279" s="6">
        <f>IF(O279=1,1.0,0)</f>
        <v/>
      </c>
      <c r="D279" s="6">
        <f>IF(O279=1,0.9,0)</f>
        <v/>
      </c>
      <c r="E279" s="6">
        <f>IF(O279=1,1.0,0)</f>
        <v/>
      </c>
      <c r="F279" s="6">
        <f>IF(O279=1,0.9,0)</f>
        <v/>
      </c>
      <c r="G279" s="5" t="s">
        <v>23</v>
      </c>
      <c r="H279" s="5" t="s">
        <v>23</v>
      </c>
      <c r="I279" s="5" t="s">
        <v>23</v>
      </c>
      <c r="J279" s="5" t="s">
        <v>23</v>
      </c>
      <c r="K279" s="5" t="s">
        <v>23</v>
      </c>
      <c r="L279" s="5" t="s">
        <v>23</v>
      </c>
      <c r="M279" s="5" t="s">
        <v>23</v>
      </c>
      <c r="N279" s="5" t="s">
        <v>23</v>
      </c>
      <c r="O279" s="8">
        <f>IF(OR(LOOKUP(A279,characters!A:A,characters!B:B)=-1, LOOKUP(A279,characters!A:A,characters!B:B)+0.1&gt;=B279),1,0)</f>
        <v/>
      </c>
    </row>
    <row r="280" spans="1:15">
      <c r="A280" s="4" t="s">
        <v>33</v>
      </c>
      <c r="B280" s="7">
        <v>1</v>
      </c>
      <c r="C280" s="6">
        <f>IF(O280=1,1.0,0)</f>
        <v/>
      </c>
      <c r="D280" s="6">
        <f>IF(O280=1,0.8,0)</f>
        <v/>
      </c>
      <c r="E280" s="6">
        <f>IF(O280=1,0.8,0)</f>
        <v/>
      </c>
      <c r="F280" s="6">
        <f>IF(O280=1,0.9,0)</f>
        <v/>
      </c>
      <c r="G280" s="5" t="s">
        <v>23</v>
      </c>
      <c r="H280" s="5" t="s">
        <v>23</v>
      </c>
      <c r="I280" s="5" t="s">
        <v>23</v>
      </c>
      <c r="J280" s="5" t="s">
        <v>23</v>
      </c>
      <c r="K280" s="5" t="s">
        <v>23</v>
      </c>
      <c r="L280" s="5" t="s">
        <v>23</v>
      </c>
      <c r="M280" s="5" t="s">
        <v>23</v>
      </c>
      <c r="N280" s="5" t="s">
        <v>23</v>
      </c>
      <c r="O280" s="8">
        <f>IF(OR(LOOKUP(A280,characters!A:A,characters!B:B)=-1, LOOKUP(A280,characters!A:A,characters!B:B)+0.1&gt;=B280),1,0)</f>
        <v/>
      </c>
    </row>
    <row r="281" spans="1:15">
      <c r="A281" s="4" t="s">
        <v>34</v>
      </c>
      <c r="B281" s="7">
        <v>1</v>
      </c>
      <c r="C281" s="6">
        <f>IF(O281=1,0.9,0)</f>
        <v/>
      </c>
      <c r="D281" s="5" t="s">
        <v>23</v>
      </c>
      <c r="E281" s="5" t="s">
        <v>23</v>
      </c>
      <c r="F281" s="5" t="s">
        <v>23</v>
      </c>
      <c r="G281" s="5" t="s">
        <v>23</v>
      </c>
      <c r="H281" s="5" t="s">
        <v>23</v>
      </c>
      <c r="I281" s="6">
        <f>IF(O281=1,1.0,0)</f>
        <v/>
      </c>
      <c r="J281" s="6">
        <f>IF(O281=1,0.8,0)</f>
        <v/>
      </c>
      <c r="K281" s="5" t="s">
        <v>23</v>
      </c>
      <c r="L281" s="5" t="s">
        <v>23</v>
      </c>
      <c r="M281" s="5" t="s">
        <v>23</v>
      </c>
      <c r="N281" s="5" t="s">
        <v>23</v>
      </c>
      <c r="O281" s="8">
        <f>IF(OR(LOOKUP(A281,characters!A:A,characters!B:B)=-1, LOOKUP(A281,characters!A:A,characters!B:B)+0.1&gt;=B281),1,0)</f>
        <v/>
      </c>
    </row>
    <row r="282" spans="1:15">
      <c r="A282" s="4" t="s">
        <v>35</v>
      </c>
      <c r="B282" s="7">
        <v>1</v>
      </c>
      <c r="C282" s="6">
        <f>IF(O282=1,1.0,0)</f>
        <v/>
      </c>
      <c r="D282" s="5" t="s">
        <v>23</v>
      </c>
      <c r="E282" s="5" t="s">
        <v>23</v>
      </c>
      <c r="F282" s="5" t="s">
        <v>23</v>
      </c>
      <c r="G282" s="5" t="s">
        <v>23</v>
      </c>
      <c r="H282" s="5" t="s">
        <v>23</v>
      </c>
      <c r="I282" s="5" t="s">
        <v>23</v>
      </c>
      <c r="J282" s="6">
        <f>IF(O282=1,0.89,0)</f>
        <v/>
      </c>
      <c r="K282" s="5" t="s">
        <v>23</v>
      </c>
      <c r="L282" s="5" t="s">
        <v>23</v>
      </c>
      <c r="M282" s="6">
        <f>IF(O282=1,0.9,0)</f>
        <v/>
      </c>
      <c r="N282" s="5" t="s">
        <v>23</v>
      </c>
      <c r="O282" s="8">
        <f>IF(OR(LOOKUP(A282,characters!A:A,characters!B:B)=-1, LOOKUP(A282,characters!A:A,characters!B:B)+0.1&gt;=B282),1,0)</f>
        <v/>
      </c>
    </row>
    <row r="283" spans="1:15">
      <c r="A283" s="4" t="s">
        <v>36</v>
      </c>
      <c r="B283" s="7">
        <v>1</v>
      </c>
      <c r="C283" s="6">
        <f>IF(O283=1,1.0,0)</f>
        <v/>
      </c>
      <c r="D283" s="6">
        <f>IF(O283=1,0.7,0)</f>
        <v/>
      </c>
      <c r="E283" s="6">
        <f>IF(O283=1,0.8,0)</f>
        <v/>
      </c>
      <c r="F283" s="6">
        <f>IF(O283=1,0.8,0)</f>
        <v/>
      </c>
      <c r="G283" s="5" t="s">
        <v>23</v>
      </c>
      <c r="H283" s="5" t="s">
        <v>23</v>
      </c>
      <c r="I283" s="5" t="s">
        <v>23</v>
      </c>
      <c r="J283" s="6">
        <f>IF(O283=1,0.9,0)</f>
        <v/>
      </c>
      <c r="K283" s="5" t="s">
        <v>23</v>
      </c>
      <c r="L283" s="5" t="s">
        <v>23</v>
      </c>
      <c r="M283" s="5" t="s">
        <v>23</v>
      </c>
      <c r="N283" s="5" t="s">
        <v>23</v>
      </c>
      <c r="O283" s="8">
        <f>IF(OR(LOOKUP(A283,characters!A:A,characters!B:B)=-1, LOOKUP(A283,characters!A:A,characters!B:B)+0.1&gt;=B283),1,0)</f>
        <v/>
      </c>
    </row>
    <row r="284" spans="1:15">
      <c r="A284" s="4" t="s">
        <v>41</v>
      </c>
      <c r="B284" s="7">
        <v>1</v>
      </c>
      <c r="C284" s="6">
        <f>IF(O284=1,0.99,0)</f>
        <v/>
      </c>
      <c r="D284" s="5" t="s">
        <v>23</v>
      </c>
      <c r="E284" s="6">
        <f>IF(O284=1,0.89,0)</f>
        <v/>
      </c>
      <c r="F284" s="6">
        <f>IF(O284=1,0.89,0)</f>
        <v/>
      </c>
      <c r="G284" s="5" t="s">
        <v>23</v>
      </c>
      <c r="H284" s="5" t="s">
        <v>23</v>
      </c>
      <c r="I284" s="5" t="s">
        <v>23</v>
      </c>
      <c r="J284" s="6">
        <f>IF(O284=1,1.0,0)</f>
        <v/>
      </c>
      <c r="K284" s="5" t="s">
        <v>23</v>
      </c>
      <c r="L284" s="5" t="s">
        <v>23</v>
      </c>
      <c r="M284" s="5" t="s">
        <v>23</v>
      </c>
      <c r="N284" s="5" t="s">
        <v>23</v>
      </c>
      <c r="O284" s="8">
        <f>IF(OR(LOOKUP(A284,characters!A:A,characters!B:B)=-1, LOOKUP(A284,characters!A:A,characters!B:B)+0.1&gt;=B284),1,0)</f>
        <v/>
      </c>
    </row>
    <row r="285" spans="1:15">
      <c r="A285" s="4" t="s">
        <v>42</v>
      </c>
      <c r="B285" s="7">
        <v>1</v>
      </c>
      <c r="C285" s="6">
        <f>IF(O285=1,0.9,0)</f>
        <v/>
      </c>
      <c r="D285" s="6">
        <f>IF(O285=1,0.7,0)</f>
        <v/>
      </c>
      <c r="E285" s="6">
        <f>IF(O285=1,0.8,0)</f>
        <v/>
      </c>
      <c r="F285" s="6">
        <f>IF(O285=1,0.8,0)</f>
        <v/>
      </c>
      <c r="G285" s="5" t="s">
        <v>23</v>
      </c>
      <c r="H285" s="5" t="s">
        <v>23</v>
      </c>
      <c r="I285" s="5" t="s">
        <v>23</v>
      </c>
      <c r="J285" s="5" t="s">
        <v>23</v>
      </c>
      <c r="K285" s="6">
        <f>IF(O285=1,1.0,0)</f>
        <v/>
      </c>
      <c r="L285" s="5" t="s">
        <v>23</v>
      </c>
      <c r="M285" s="5" t="s">
        <v>23</v>
      </c>
      <c r="N285" s="5" t="s">
        <v>23</v>
      </c>
      <c r="O285" s="8">
        <f>IF(OR(LOOKUP(A285,characters!A:A,characters!B:B)=-1, LOOKUP(A285,characters!A:A,characters!B:B)+0.1&gt;=B285),1,0)</f>
        <v/>
      </c>
    </row>
    <row r="286" spans="1:15">
      <c r="A286" s="4" t="s">
        <v>46</v>
      </c>
      <c r="B286" s="7">
        <v>1</v>
      </c>
      <c r="C286" s="6">
        <f>IF(O286=1,1.0,0)</f>
        <v/>
      </c>
      <c r="D286" s="5" t="s">
        <v>23</v>
      </c>
      <c r="E286" s="6">
        <f>IF(O286=1,0.9,0)</f>
        <v/>
      </c>
      <c r="F286" s="6">
        <f>IF(O286=1,0.9,0)</f>
        <v/>
      </c>
      <c r="G286" s="5" t="s">
        <v>23</v>
      </c>
      <c r="H286" s="5" t="s">
        <v>23</v>
      </c>
      <c r="I286" s="5" t="s">
        <v>23</v>
      </c>
      <c r="J286" s="5" t="s">
        <v>23</v>
      </c>
      <c r="K286" s="6">
        <f>IF(O286=1,1.0,0)</f>
        <v/>
      </c>
      <c r="L286" s="5" t="s">
        <v>23</v>
      </c>
      <c r="M286" s="5" t="s">
        <v>23</v>
      </c>
      <c r="N286" s="5" t="s">
        <v>23</v>
      </c>
      <c r="O286" s="8">
        <f>IF(OR(LOOKUP(A286,characters!A:A,characters!B:B)=-1, LOOKUP(A286,characters!A:A,characters!B:B)+0.1&gt;=B286),1,0)</f>
        <v/>
      </c>
    </row>
    <row r="287" spans="1:15">
      <c r="A287" s="4" t="s">
        <v>47</v>
      </c>
      <c r="B287" s="7">
        <v>1</v>
      </c>
      <c r="C287" s="6">
        <f>IF(O287=1,0.9,0)</f>
        <v/>
      </c>
      <c r="D287" s="6">
        <f>IF(O287=1,1.0,0)</f>
        <v/>
      </c>
      <c r="E287" s="6">
        <f>IF(O287=1,0.8,0)</f>
        <v/>
      </c>
      <c r="F287" s="6">
        <f>IF(O287=1,0.7,0)</f>
        <v/>
      </c>
      <c r="G287" s="5" t="s">
        <v>23</v>
      </c>
      <c r="H287" s="5" t="s">
        <v>23</v>
      </c>
      <c r="I287" s="6">
        <f>IF(O287=1,0.6,0)</f>
        <v/>
      </c>
      <c r="J287" s="5" t="s">
        <v>23</v>
      </c>
      <c r="K287" s="5" t="s">
        <v>23</v>
      </c>
      <c r="L287" s="5" t="s">
        <v>23</v>
      </c>
      <c r="M287" s="5" t="s">
        <v>23</v>
      </c>
      <c r="N287" s="5" t="s">
        <v>23</v>
      </c>
      <c r="O287" s="8">
        <f>IF(OR(LOOKUP(A287,characters!A:A,characters!B:B)=-1, LOOKUP(A287,characters!A:A,characters!B:B)+0.1&gt;=B287),1,0)</f>
        <v/>
      </c>
    </row>
    <row r="288" spans="1:15">
      <c r="A288" s="4" t="s">
        <v>25</v>
      </c>
      <c r="B288" s="7">
        <v>2</v>
      </c>
      <c r="C288" s="6">
        <f>IF(O288=1,0.99,0)</f>
        <v/>
      </c>
      <c r="D288" s="6">
        <f>IF(O288=1,0.69,0)</f>
        <v/>
      </c>
      <c r="E288" s="6">
        <f>IF(O288=1,1.0,0)</f>
        <v/>
      </c>
      <c r="F288" s="5" t="s">
        <v>23</v>
      </c>
      <c r="G288" s="5" t="s">
        <v>23</v>
      </c>
      <c r="H288" s="5" t="s">
        <v>23</v>
      </c>
      <c r="I288" s="5" t="s">
        <v>23</v>
      </c>
      <c r="J288" s="5" t="s">
        <v>23</v>
      </c>
      <c r="K288" s="5" t="s">
        <v>23</v>
      </c>
      <c r="L288" s="6">
        <f>IF(O288=1,0.89,0)</f>
        <v/>
      </c>
      <c r="M288" s="5" t="s">
        <v>23</v>
      </c>
      <c r="N288" s="6">
        <f>IF(O288=1,0.79,0)</f>
        <v/>
      </c>
      <c r="O288" s="8">
        <f>IF(OR(LOOKUP(A288,characters!A:A,characters!B:B)=-1, LOOKUP(A288,characters!A:A,characters!B:B)+0.1&gt;=B288),1,0)</f>
        <v/>
      </c>
    </row>
    <row r="289" spans="1:15">
      <c r="A289" s="4" t="s">
        <v>26</v>
      </c>
      <c r="B289" s="7">
        <v>2</v>
      </c>
      <c r="C289" s="6">
        <f>IF(O289=1,1.0,0)</f>
        <v/>
      </c>
      <c r="D289" s="6">
        <f>IF(O289=1,0.8,0)</f>
        <v/>
      </c>
      <c r="E289" s="6">
        <f>IF(O289=1,0.8,0)</f>
        <v/>
      </c>
      <c r="F289" s="6">
        <f>IF(O289=1,0.9,0)</f>
        <v/>
      </c>
      <c r="G289" s="5" t="s">
        <v>23</v>
      </c>
      <c r="H289" s="5" t="s">
        <v>23</v>
      </c>
      <c r="I289" s="5" t="s">
        <v>23</v>
      </c>
      <c r="J289" s="5" t="s">
        <v>23</v>
      </c>
      <c r="K289" s="5" t="s">
        <v>23</v>
      </c>
      <c r="L289" s="5" t="s">
        <v>23</v>
      </c>
      <c r="M289" s="5" t="s">
        <v>23</v>
      </c>
      <c r="N289" s="5" t="s">
        <v>23</v>
      </c>
      <c r="O289" s="8">
        <f>IF(OR(LOOKUP(A289,characters!A:A,characters!B:B)=-1, LOOKUP(A289,characters!A:A,characters!B:B)+0.1&gt;=B289),1,0)</f>
        <v/>
      </c>
    </row>
    <row r="290" spans="1:15">
      <c r="A290" s="4" t="s">
        <v>28</v>
      </c>
      <c r="B290" s="7">
        <v>2</v>
      </c>
      <c r="C290" s="6">
        <f>IF(O290=1,1.0,0)</f>
        <v/>
      </c>
      <c r="D290" s="6">
        <f>IF(O290=1,0.89,0)</f>
        <v/>
      </c>
      <c r="E290" s="6">
        <f>IF(O290=1,0.99,0)</f>
        <v/>
      </c>
      <c r="F290" s="6">
        <f>IF(O290=1,1.0,0)</f>
        <v/>
      </c>
      <c r="G290" s="5" t="s">
        <v>23</v>
      </c>
      <c r="H290" s="5" t="s">
        <v>23</v>
      </c>
      <c r="I290" s="5" t="s">
        <v>23</v>
      </c>
      <c r="J290" s="5" t="s">
        <v>23</v>
      </c>
      <c r="K290" s="5" t="s">
        <v>23</v>
      </c>
      <c r="L290" s="5" t="s">
        <v>23</v>
      </c>
      <c r="M290" s="5" t="s">
        <v>23</v>
      </c>
      <c r="N290" s="5" t="s">
        <v>23</v>
      </c>
      <c r="O290" s="8">
        <f>IF(OR(LOOKUP(A290,characters!A:A,characters!B:B)=-1, LOOKUP(A290,characters!A:A,characters!B:B)+0.1&gt;=B290),1,0)</f>
        <v/>
      </c>
    </row>
    <row r="291" spans="1:15">
      <c r="A291" s="4" t="s">
        <v>37</v>
      </c>
      <c r="B291" s="7">
        <v>2</v>
      </c>
      <c r="C291" s="6">
        <f>IF(O291=1,1.0,0)</f>
        <v/>
      </c>
      <c r="D291" s="6">
        <f>IF(O291=1,0.8,0)</f>
        <v/>
      </c>
      <c r="E291" s="6">
        <f>IF(O291=1,0.7,0)</f>
        <v/>
      </c>
      <c r="F291" s="6">
        <f>IF(O291=1,0.9,0)</f>
        <v/>
      </c>
      <c r="G291" s="5" t="s">
        <v>23</v>
      </c>
      <c r="H291" s="5" t="s">
        <v>23</v>
      </c>
      <c r="I291" s="5" t="s">
        <v>23</v>
      </c>
      <c r="J291" s="5" t="s">
        <v>23</v>
      </c>
      <c r="K291" s="5" t="s">
        <v>23</v>
      </c>
      <c r="L291" s="5" t="s">
        <v>23</v>
      </c>
      <c r="M291" s="5" t="s">
        <v>23</v>
      </c>
      <c r="N291" s="5" t="s">
        <v>23</v>
      </c>
      <c r="O291" s="8">
        <f>IF(OR(LOOKUP(A291,characters!A:A,characters!B:B)=-1, LOOKUP(A291,characters!A:A,characters!B:B)+0.1&gt;=B291),1,0)</f>
        <v/>
      </c>
    </row>
    <row r="292" spans="1:15">
      <c r="A292" s="4" t="s">
        <v>39</v>
      </c>
      <c r="B292" s="7">
        <v>2</v>
      </c>
      <c r="C292" s="6">
        <f>IF(O292=1,1.0,0)</f>
        <v/>
      </c>
      <c r="D292" s="6">
        <f>IF(O292=1,0.8,0)</f>
        <v/>
      </c>
      <c r="E292" s="6">
        <f>IF(O292=1,0.8,0)</f>
        <v/>
      </c>
      <c r="F292" s="6">
        <f>IF(O292=1,0.9,0)</f>
        <v/>
      </c>
      <c r="G292" s="5" t="s">
        <v>23</v>
      </c>
      <c r="H292" s="5" t="s">
        <v>23</v>
      </c>
      <c r="I292" s="5" t="s">
        <v>23</v>
      </c>
      <c r="J292" s="5" t="s">
        <v>23</v>
      </c>
      <c r="K292" s="5" t="s">
        <v>23</v>
      </c>
      <c r="L292" s="5" t="s">
        <v>23</v>
      </c>
      <c r="M292" s="5" t="s">
        <v>23</v>
      </c>
      <c r="N292" s="5" t="s">
        <v>23</v>
      </c>
      <c r="O292" s="8">
        <f>IF(OR(LOOKUP(A292,characters!A:A,characters!B:B)=-1, LOOKUP(A292,characters!A:A,characters!B:B)+0.1&gt;=B292),1,0)</f>
        <v/>
      </c>
    </row>
    <row r="293" spans="1:15">
      <c r="A293" s="4" t="s">
        <v>44</v>
      </c>
      <c r="B293" s="7">
        <v>2</v>
      </c>
      <c r="C293" s="6">
        <f>IF(O293=1,1.0,0)</f>
        <v/>
      </c>
      <c r="D293" s="6">
        <f>IF(O293=1,0.8,0)</f>
        <v/>
      </c>
      <c r="E293" s="5" t="s">
        <v>23</v>
      </c>
      <c r="F293" s="5" t="s">
        <v>23</v>
      </c>
      <c r="G293" s="6">
        <f>IF(O293=1,0.8,0)</f>
        <v/>
      </c>
      <c r="H293" s="6">
        <f>IF(O293=1,0.8,0)</f>
        <v/>
      </c>
      <c r="I293" s="5" t="s">
        <v>23</v>
      </c>
      <c r="J293" s="5" t="s">
        <v>23</v>
      </c>
      <c r="K293" s="5" t="s">
        <v>23</v>
      </c>
      <c r="L293" s="6">
        <f>IF(O293=1,0.9,0)</f>
        <v/>
      </c>
      <c r="M293" s="5" t="s">
        <v>23</v>
      </c>
      <c r="N293" s="5" t="s">
        <v>23</v>
      </c>
      <c r="O293" s="8">
        <f>IF(OR(LOOKUP(A293,characters!A:A,characters!B:B)=-1, LOOKUP(A293,characters!A:A,characters!B:B)+0.1&gt;=B293),1,0)</f>
        <v/>
      </c>
    </row>
    <row r="295" spans="1:15">
      <c r="A295" s="3" t="s">
        <v>49</v>
      </c>
      <c r="B295" s="3" t="s">
        <v>9</v>
      </c>
      <c r="C295" s="3" t="s">
        <v>13</v>
      </c>
      <c r="D295" s="3" t="s">
        <v>12</v>
      </c>
      <c r="E295" s="3" t="s">
        <v>19</v>
      </c>
      <c r="F295" s="3" t="s">
        <v>50</v>
      </c>
      <c r="G295" s="3" t="s">
        <v>17</v>
      </c>
      <c r="H295" s="3" t="s">
        <v>16</v>
      </c>
      <c r="I295" s="3" t="s">
        <v>51</v>
      </c>
      <c r="J295" s="3" t="s">
        <v>21</v>
      </c>
    </row>
    <row r="296" spans="1:15">
      <c r="A296" s="4" t="s">
        <v>22</v>
      </c>
      <c r="B296" s="5" t="s">
        <v>23</v>
      </c>
      <c r="C296" s="6">
        <f>IF(SUM(K297:K321)=0,0,SUM(C297:C321)/SUM(K297:K321))</f>
        <v/>
      </c>
      <c r="D296" s="6">
        <f>IF(SUM(K297:K321)=0,0,SUM(D297:D321)/SUM(K297:K321))</f>
        <v/>
      </c>
      <c r="E296" s="6">
        <f>IF(SUM(K297:K321)=0,0,SUM(E297:E321)/SUM(K297:K321))</f>
        <v/>
      </c>
      <c r="F296" s="6">
        <f>IF(SUM(K297:K321)=0,0,SUM(F297:F321)/SUM(K297:K321))</f>
        <v/>
      </c>
      <c r="G296" s="6">
        <f>IF(SUM(K297:K321)=0,0,SUM(G297:G321)/SUM(K297:K321))</f>
        <v/>
      </c>
      <c r="H296" s="6">
        <f>IF(SUM(K297:K321)=0,0,SUM(H297:H321)/SUM(K297:K321))</f>
        <v/>
      </c>
      <c r="I296" s="6">
        <f>IF(SUM(K297:K321)=0,0,SUM(I297:I321)/SUM(K297:K321))</f>
        <v/>
      </c>
      <c r="J296" s="6">
        <f>IF(SUM(K297:K321)=0,0,SUM(J297:J321)/SUM(K297:K321))</f>
        <v/>
      </c>
    </row>
    <row r="297" spans="1:15">
      <c r="A297" s="4" t="s">
        <v>24</v>
      </c>
      <c r="B297" s="7">
        <v>0</v>
      </c>
      <c r="C297" s="6">
        <f>IF(K297=1,1.0,0)</f>
        <v/>
      </c>
      <c r="D297" s="6">
        <f>IF(K297=1,0.9,0)</f>
        <v/>
      </c>
      <c r="E297" s="5" t="s">
        <v>23</v>
      </c>
      <c r="F297" s="5" t="s">
        <v>23</v>
      </c>
      <c r="G297" s="5" t="s">
        <v>23</v>
      </c>
      <c r="H297" s="5" t="s">
        <v>23</v>
      </c>
      <c r="I297" s="5" t="s">
        <v>23</v>
      </c>
      <c r="J297" s="5" t="s">
        <v>23</v>
      </c>
      <c r="K297" s="8">
        <f>IF(OR(LOOKUP(A297,characters!A:A,characters!B:B)=-1, LOOKUP(A297,characters!A:A,characters!B:B)+0.1&gt;=B297),1,0)</f>
        <v/>
      </c>
    </row>
    <row r="298" spans="1:15">
      <c r="A298" s="4" t="s">
        <v>25</v>
      </c>
      <c r="B298" s="7">
        <v>2</v>
      </c>
      <c r="C298" s="5" t="s">
        <v>23</v>
      </c>
      <c r="D298" s="6">
        <f>IF(K298=1,1.0,0)</f>
        <v/>
      </c>
      <c r="E298" s="6">
        <f>IF(K298=1,1.0,0)</f>
        <v/>
      </c>
      <c r="F298" s="5" t="s">
        <v>23</v>
      </c>
      <c r="G298" s="5" t="s">
        <v>23</v>
      </c>
      <c r="H298" s="5" t="s">
        <v>23</v>
      </c>
      <c r="I298" s="5" t="s">
        <v>23</v>
      </c>
      <c r="J298" s="5" t="s">
        <v>23</v>
      </c>
      <c r="K298" s="8">
        <f>IF(OR(LOOKUP(A298,characters!A:A,characters!B:B)=-1, LOOKUP(A298,characters!A:A,characters!B:B)+0.1&gt;=B298),1,0)</f>
        <v/>
      </c>
    </row>
    <row r="299" spans="1:15">
      <c r="A299" s="4" t="s">
        <v>26</v>
      </c>
      <c r="B299" s="7">
        <v>2</v>
      </c>
      <c r="C299" s="6">
        <f>IF(K299=1,0.9,0)</f>
        <v/>
      </c>
      <c r="D299" s="5" t="s">
        <v>23</v>
      </c>
      <c r="E299" s="5" t="s">
        <v>23</v>
      </c>
      <c r="F299" s="6">
        <f>IF(K299=1,1.0,0)</f>
        <v/>
      </c>
      <c r="G299" s="5" t="s">
        <v>23</v>
      </c>
      <c r="H299" s="5" t="s">
        <v>23</v>
      </c>
      <c r="I299" s="5" t="s">
        <v>23</v>
      </c>
      <c r="J299" s="5" t="s">
        <v>23</v>
      </c>
      <c r="K299" s="8">
        <f>IF(OR(LOOKUP(A299,characters!A:A,characters!B:B)=-1, LOOKUP(A299,characters!A:A,characters!B:B)+0.1&gt;=B299),1,0)</f>
        <v/>
      </c>
    </row>
    <row r="300" spans="1:15">
      <c r="A300" s="4" t="s">
        <v>27</v>
      </c>
      <c r="B300" s="7">
        <v>1</v>
      </c>
      <c r="C300" s="5" t="s">
        <v>23</v>
      </c>
      <c r="D300" s="5" t="s">
        <v>23</v>
      </c>
      <c r="E300" s="6">
        <f>IF(K300=1,1.0,0)</f>
        <v/>
      </c>
      <c r="F300" s="5" t="s">
        <v>23</v>
      </c>
      <c r="G300" s="5" t="s">
        <v>23</v>
      </c>
      <c r="H300" s="5" t="s">
        <v>23</v>
      </c>
      <c r="I300" s="5" t="s">
        <v>23</v>
      </c>
      <c r="J300" s="5" t="s">
        <v>23</v>
      </c>
      <c r="K300" s="8">
        <f>IF(OR(LOOKUP(A300,characters!A:A,characters!B:B)=-1, LOOKUP(A300,characters!A:A,characters!B:B)+0.1&gt;=B300),1,0)</f>
        <v/>
      </c>
    </row>
    <row r="301" spans="1:15">
      <c r="A301" s="4" t="s">
        <v>28</v>
      </c>
      <c r="B301" s="7">
        <v>2</v>
      </c>
      <c r="C301" s="6">
        <f>IF(K301=1,1.0,0)</f>
        <v/>
      </c>
      <c r="D301" s="6">
        <f>IF(K301=1,0.9,0)</f>
        <v/>
      </c>
      <c r="E301" s="5" t="s">
        <v>23</v>
      </c>
      <c r="F301" s="5" t="s">
        <v>23</v>
      </c>
      <c r="G301" s="5" t="s">
        <v>23</v>
      </c>
      <c r="H301" s="5" t="s">
        <v>23</v>
      </c>
      <c r="I301" s="5" t="s">
        <v>23</v>
      </c>
      <c r="J301" s="5" t="s">
        <v>23</v>
      </c>
      <c r="K301" s="8">
        <f>IF(OR(LOOKUP(A301,characters!A:A,characters!B:B)=-1, LOOKUP(A301,characters!A:A,characters!B:B)+0.1&gt;=B301),1,0)</f>
        <v/>
      </c>
    </row>
    <row r="302" spans="1:15">
      <c r="A302" s="4" t="s">
        <v>29</v>
      </c>
      <c r="B302" s="7">
        <v>1</v>
      </c>
      <c r="C302" s="5" t="s">
        <v>23</v>
      </c>
      <c r="D302" s="5" t="s">
        <v>23</v>
      </c>
      <c r="E302" s="5" t="s">
        <v>23</v>
      </c>
      <c r="F302" s="6">
        <f>IF(K302=1,1.0,0)</f>
        <v/>
      </c>
      <c r="G302" s="5" t="s">
        <v>23</v>
      </c>
      <c r="H302" s="5" t="s">
        <v>23</v>
      </c>
      <c r="I302" s="5" t="s">
        <v>23</v>
      </c>
      <c r="J302" s="5" t="s">
        <v>23</v>
      </c>
      <c r="K302" s="8">
        <f>IF(OR(LOOKUP(A302,characters!A:A,characters!B:B)=-1, LOOKUP(A302,characters!A:A,characters!B:B)+0.1&gt;=B302),1,0)</f>
        <v/>
      </c>
    </row>
    <row r="303" spans="1:15">
      <c r="A303" s="4" t="s">
        <v>30</v>
      </c>
      <c r="B303" s="7">
        <v>1</v>
      </c>
      <c r="C303" s="5" t="s">
        <v>23</v>
      </c>
      <c r="D303" s="6">
        <f>IF(K303=1,1.0,0)</f>
        <v/>
      </c>
      <c r="E303" s="5" t="s">
        <v>23</v>
      </c>
      <c r="F303" s="5" t="s">
        <v>23</v>
      </c>
      <c r="G303" s="5" t="s">
        <v>23</v>
      </c>
      <c r="H303" s="5" t="s">
        <v>23</v>
      </c>
      <c r="I303" s="5" t="s">
        <v>23</v>
      </c>
      <c r="J303" s="5" t="s">
        <v>23</v>
      </c>
      <c r="K303" s="8">
        <f>IF(OR(LOOKUP(A303,characters!A:A,characters!B:B)=-1, LOOKUP(A303,characters!A:A,characters!B:B)+0.1&gt;=B303),1,0)</f>
        <v/>
      </c>
    </row>
    <row r="304" spans="1:15">
      <c r="A304" s="4" t="s">
        <v>31</v>
      </c>
      <c r="B304" s="7">
        <v>0</v>
      </c>
      <c r="C304" s="5" t="s">
        <v>23</v>
      </c>
      <c r="D304" s="5" t="s">
        <v>23</v>
      </c>
      <c r="E304" s="5" t="s">
        <v>23</v>
      </c>
      <c r="F304" s="5" t="s">
        <v>23</v>
      </c>
      <c r="G304" s="6">
        <f>IF(K304=1,1.0,0)</f>
        <v/>
      </c>
      <c r="H304" s="6">
        <f>IF(K304=1,0.9,0)</f>
        <v/>
      </c>
      <c r="I304" s="5" t="s">
        <v>23</v>
      </c>
      <c r="J304" s="5" t="s">
        <v>23</v>
      </c>
      <c r="K304" s="8">
        <f>IF(OR(LOOKUP(A304,characters!A:A,characters!B:B)=-1, LOOKUP(A304,characters!A:A,characters!B:B)+0.1&gt;=B304),1,0)</f>
        <v/>
      </c>
    </row>
    <row r="305" spans="1:11">
      <c r="A305" s="4" t="s">
        <v>32</v>
      </c>
      <c r="B305" s="7">
        <v>0</v>
      </c>
      <c r="C305" s="6">
        <f>IF(K305=1,1.0,0)</f>
        <v/>
      </c>
      <c r="D305" s="6">
        <f>IF(K305=1,0.9,0)</f>
        <v/>
      </c>
      <c r="E305" s="5" t="s">
        <v>23</v>
      </c>
      <c r="F305" s="5" t="s">
        <v>23</v>
      </c>
      <c r="G305" s="5" t="s">
        <v>23</v>
      </c>
      <c r="H305" s="5" t="s">
        <v>23</v>
      </c>
      <c r="I305" s="5" t="s">
        <v>23</v>
      </c>
      <c r="J305" s="5" t="s">
        <v>23</v>
      </c>
      <c r="K305" s="8">
        <f>IF(OR(LOOKUP(A305,characters!A:A,characters!B:B)=-1, LOOKUP(A305,characters!A:A,characters!B:B)+0.1&gt;=B305),1,0)</f>
        <v/>
      </c>
    </row>
    <row r="306" spans="1:11">
      <c r="A306" s="4" t="s">
        <v>33</v>
      </c>
      <c r="B306" s="7">
        <v>1</v>
      </c>
      <c r="C306" s="6">
        <f>IF(K306=1,0.9,0)</f>
        <v/>
      </c>
      <c r="D306" s="5" t="s">
        <v>23</v>
      </c>
      <c r="E306" s="5" t="s">
        <v>23</v>
      </c>
      <c r="F306" s="6">
        <f>IF(K306=1,1.0,0)</f>
        <v/>
      </c>
      <c r="G306" s="5" t="s">
        <v>23</v>
      </c>
      <c r="H306" s="5" t="s">
        <v>23</v>
      </c>
      <c r="I306" s="5" t="s">
        <v>23</v>
      </c>
      <c r="J306" s="5" t="s">
        <v>23</v>
      </c>
      <c r="K306" s="8">
        <f>IF(OR(LOOKUP(A306,characters!A:A,characters!B:B)=-1, LOOKUP(A306,characters!A:A,characters!B:B)+0.1&gt;=B306),1,0)</f>
        <v/>
      </c>
    </row>
    <row r="307" spans="1:11">
      <c r="A307" s="4" t="s">
        <v>34</v>
      </c>
      <c r="B307" s="7">
        <v>1</v>
      </c>
      <c r="C307" s="5" t="s">
        <v>23</v>
      </c>
      <c r="D307" s="5" t="s">
        <v>23</v>
      </c>
      <c r="E307" s="5" t="s">
        <v>23</v>
      </c>
      <c r="F307" s="5" t="s">
        <v>23</v>
      </c>
      <c r="G307" s="5" t="s">
        <v>23</v>
      </c>
      <c r="H307" s="6">
        <f>IF(K307=1,1.0,0)</f>
        <v/>
      </c>
      <c r="I307" s="5" t="s">
        <v>23</v>
      </c>
      <c r="J307" s="5" t="s">
        <v>23</v>
      </c>
      <c r="K307" s="8">
        <f>IF(OR(LOOKUP(A307,characters!A:A,characters!B:B)=-1, LOOKUP(A307,characters!A:A,characters!B:B)+0.1&gt;=B307),1,0)</f>
        <v/>
      </c>
    </row>
    <row r="308" spans="1:11">
      <c r="A308" s="4" t="s">
        <v>35</v>
      </c>
      <c r="B308" s="7">
        <v>1</v>
      </c>
      <c r="C308" s="5" t="s">
        <v>23</v>
      </c>
      <c r="D308" s="5" t="s">
        <v>23</v>
      </c>
      <c r="E308" s="5" t="s">
        <v>23</v>
      </c>
      <c r="F308" s="6">
        <f>IF(K308=1,1.0,0)</f>
        <v/>
      </c>
      <c r="G308" s="5" t="s">
        <v>23</v>
      </c>
      <c r="H308" s="5" t="s">
        <v>23</v>
      </c>
      <c r="I308" s="5" t="s">
        <v>23</v>
      </c>
      <c r="J308" s="5" t="s">
        <v>23</v>
      </c>
      <c r="K308" s="8">
        <f>IF(OR(LOOKUP(A308,characters!A:A,characters!B:B)=-1, LOOKUP(A308,characters!A:A,characters!B:B)+0.1&gt;=B308),1,0)</f>
        <v/>
      </c>
    </row>
    <row r="309" spans="1:11">
      <c r="A309" s="4" t="s">
        <v>36</v>
      </c>
      <c r="B309" s="7">
        <v>1</v>
      </c>
      <c r="C309" s="5" t="s">
        <v>23</v>
      </c>
      <c r="D309" s="5" t="s">
        <v>23</v>
      </c>
      <c r="E309" s="5" t="s">
        <v>23</v>
      </c>
      <c r="F309" s="6">
        <f>IF(K309=1,1.0,0)</f>
        <v/>
      </c>
      <c r="G309" s="5" t="s">
        <v>23</v>
      </c>
      <c r="H309" s="5" t="s">
        <v>23</v>
      </c>
      <c r="I309" s="5" t="s">
        <v>23</v>
      </c>
      <c r="J309" s="5" t="s">
        <v>23</v>
      </c>
      <c r="K309" s="8">
        <f>IF(OR(LOOKUP(A309,characters!A:A,characters!B:B)=-1, LOOKUP(A309,characters!A:A,characters!B:B)+0.1&gt;=B309),1,0)</f>
        <v/>
      </c>
    </row>
    <row r="310" spans="1:11">
      <c r="A310" s="4" t="s">
        <v>37</v>
      </c>
      <c r="B310" s="7">
        <v>2</v>
      </c>
      <c r="C310" s="6">
        <f>IF(K310=1,0.9,0)</f>
        <v/>
      </c>
      <c r="D310" s="5" t="s">
        <v>23</v>
      </c>
      <c r="E310" s="5" t="s">
        <v>23</v>
      </c>
      <c r="F310" s="6">
        <f>IF(K310=1,1.0,0)</f>
        <v/>
      </c>
      <c r="G310" s="5" t="s">
        <v>23</v>
      </c>
      <c r="H310" s="5" t="s">
        <v>23</v>
      </c>
      <c r="I310" s="5" t="s">
        <v>23</v>
      </c>
      <c r="J310" s="5" t="s">
        <v>23</v>
      </c>
      <c r="K310" s="8">
        <f>IF(OR(LOOKUP(A310,characters!A:A,characters!B:B)=-1, LOOKUP(A310,characters!A:A,characters!B:B)+0.1&gt;=B310),1,0)</f>
        <v/>
      </c>
    </row>
    <row r="311" spans="1:11">
      <c r="A311" s="4" t="s">
        <v>38</v>
      </c>
      <c r="B311" s="7">
        <v>0</v>
      </c>
      <c r="C311" s="5" t="s">
        <v>23</v>
      </c>
      <c r="D311" s="6">
        <f>IF(K311=1,0.99,0)</f>
        <v/>
      </c>
      <c r="E311" s="5" t="s">
        <v>23</v>
      </c>
      <c r="F311" s="5" t="s">
        <v>23</v>
      </c>
      <c r="G311" s="5" t="s">
        <v>23</v>
      </c>
      <c r="H311" s="6">
        <f>IF(K311=1,1.0,0)</f>
        <v/>
      </c>
      <c r="I311" s="5" t="s">
        <v>23</v>
      </c>
      <c r="J311" s="5" t="s">
        <v>23</v>
      </c>
      <c r="K311" s="8">
        <f>IF(OR(LOOKUP(A311,characters!A:A,characters!B:B)=-1, LOOKUP(A311,characters!A:A,characters!B:B)+0.1&gt;=B311),1,0)</f>
        <v/>
      </c>
    </row>
    <row r="312" spans="1:11">
      <c r="A312" s="4" t="s">
        <v>39</v>
      </c>
      <c r="B312" s="7">
        <v>2</v>
      </c>
      <c r="C312" s="6">
        <f>IF(K312=1,0.9,0)</f>
        <v/>
      </c>
      <c r="D312" s="5" t="s">
        <v>23</v>
      </c>
      <c r="E312" s="5" t="s">
        <v>23</v>
      </c>
      <c r="F312" s="6">
        <f>IF(K312=1,1.0,0)</f>
        <v/>
      </c>
      <c r="G312" s="5" t="s">
        <v>23</v>
      </c>
      <c r="H312" s="5" t="s">
        <v>23</v>
      </c>
      <c r="I312" s="5" t="s">
        <v>23</v>
      </c>
      <c r="J312" s="5" t="s">
        <v>23</v>
      </c>
      <c r="K312" s="8">
        <f>IF(OR(LOOKUP(A312,characters!A:A,characters!B:B)=-1, LOOKUP(A312,characters!A:A,characters!B:B)+0.1&gt;=B312),1,0)</f>
        <v/>
      </c>
    </row>
    <row r="313" spans="1:11">
      <c r="A313" s="4" t="s">
        <v>40</v>
      </c>
      <c r="B313" s="7">
        <v>0</v>
      </c>
      <c r="C313" s="6">
        <f>IF(K313=1,0.9,0)</f>
        <v/>
      </c>
      <c r="D313" s="5" t="s">
        <v>23</v>
      </c>
      <c r="E313" s="5" t="s">
        <v>23</v>
      </c>
      <c r="F313" s="5" t="s">
        <v>23</v>
      </c>
      <c r="G313" s="5" t="s">
        <v>23</v>
      </c>
      <c r="H313" s="6">
        <f>IF(K313=1,1.0,0)</f>
        <v/>
      </c>
      <c r="I313" s="5" t="s">
        <v>23</v>
      </c>
      <c r="J313" s="5" t="s">
        <v>23</v>
      </c>
      <c r="K313" s="8">
        <f>IF(OR(LOOKUP(A313,characters!A:A,characters!B:B)=-1, LOOKUP(A313,characters!A:A,characters!B:B)+0.1&gt;=B313),1,0)</f>
        <v/>
      </c>
    </row>
    <row r="314" spans="1:11">
      <c r="A314" s="4" t="s">
        <v>41</v>
      </c>
      <c r="B314" s="7">
        <v>1</v>
      </c>
      <c r="C314" s="5" t="s">
        <v>23</v>
      </c>
      <c r="D314" s="5" t="s">
        <v>23</v>
      </c>
      <c r="E314" s="5" t="s">
        <v>23</v>
      </c>
      <c r="F314" s="5" t="s">
        <v>23</v>
      </c>
      <c r="G314" s="5" t="s">
        <v>23</v>
      </c>
      <c r="H314" s="5" t="s">
        <v>23</v>
      </c>
      <c r="I314" s="6">
        <f>IF(K314=1,1.0,0)</f>
        <v/>
      </c>
      <c r="J314" s="5" t="s">
        <v>23</v>
      </c>
      <c r="K314" s="8">
        <f>IF(OR(LOOKUP(A314,characters!A:A,characters!B:B)=-1, LOOKUP(A314,characters!A:A,characters!B:B)+0.1&gt;=B314),1,0)</f>
        <v/>
      </c>
    </row>
    <row r="315" spans="1:11">
      <c r="A315" s="4" t="s">
        <v>42</v>
      </c>
      <c r="B315" s="7">
        <v>1</v>
      </c>
      <c r="C315" s="6">
        <f>IF(K315=1,1.0,0)</f>
        <v/>
      </c>
      <c r="D315" s="6">
        <f>IF(K315=1,0.9,0)</f>
        <v/>
      </c>
      <c r="E315" s="5" t="s">
        <v>23</v>
      </c>
      <c r="F315" s="5" t="s">
        <v>23</v>
      </c>
      <c r="G315" s="5" t="s">
        <v>23</v>
      </c>
      <c r="H315" s="5" t="s">
        <v>23</v>
      </c>
      <c r="I315" s="5" t="s">
        <v>23</v>
      </c>
      <c r="J315" s="5" t="s">
        <v>23</v>
      </c>
      <c r="K315" s="8">
        <f>IF(OR(LOOKUP(A315,characters!A:A,characters!B:B)=-1, LOOKUP(A315,characters!A:A,characters!B:B)+0.1&gt;=B315),1,0)</f>
        <v/>
      </c>
    </row>
    <row r="316" spans="1:11">
      <c r="A316" s="4" t="s">
        <v>43</v>
      </c>
      <c r="B316" s="7">
        <v>0</v>
      </c>
      <c r="C316" s="5" t="s">
        <v>23</v>
      </c>
      <c r="D316" s="5" t="s">
        <v>23</v>
      </c>
      <c r="E316" s="5" t="s">
        <v>23</v>
      </c>
      <c r="F316" s="5" t="s">
        <v>23</v>
      </c>
      <c r="G316" s="5" t="s">
        <v>23</v>
      </c>
      <c r="H316" s="6">
        <f>IF(K316=1,1.0,0)</f>
        <v/>
      </c>
      <c r="I316" s="5" t="s">
        <v>23</v>
      </c>
      <c r="J316" s="5" t="s">
        <v>23</v>
      </c>
      <c r="K316" s="8">
        <f>IF(OR(LOOKUP(A316,characters!A:A,characters!B:B)=-1, LOOKUP(A316,characters!A:A,characters!B:B)+0.1&gt;=B316),1,0)</f>
        <v/>
      </c>
    </row>
    <row r="317" spans="1:11">
      <c r="A317" s="4" t="s">
        <v>44</v>
      </c>
      <c r="B317" s="7">
        <v>2</v>
      </c>
      <c r="C317" s="5" t="s">
        <v>23</v>
      </c>
      <c r="D317" s="5" t="s">
        <v>23</v>
      </c>
      <c r="E317" s="6">
        <f>IF(K317=1,1.0,0)</f>
        <v/>
      </c>
      <c r="F317" s="5" t="s">
        <v>23</v>
      </c>
      <c r="G317" s="5" t="s">
        <v>23</v>
      </c>
      <c r="H317" s="5" t="s">
        <v>23</v>
      </c>
      <c r="I317" s="5" t="s">
        <v>23</v>
      </c>
      <c r="J317" s="5" t="s">
        <v>23</v>
      </c>
      <c r="K317" s="8">
        <f>IF(OR(LOOKUP(A317,characters!A:A,characters!B:B)=-1, LOOKUP(A317,characters!A:A,characters!B:B)+0.1&gt;=B317),1,0)</f>
        <v/>
      </c>
    </row>
    <row r="318" spans="1:11">
      <c r="A318" s="4" t="s">
        <v>45</v>
      </c>
      <c r="B318" s="7">
        <v>0</v>
      </c>
      <c r="C318" s="6">
        <f>IF(K318=1,0.9,0)</f>
        <v/>
      </c>
      <c r="D318" s="5" t="s">
        <v>23</v>
      </c>
      <c r="E318" s="5" t="s">
        <v>23</v>
      </c>
      <c r="F318" s="5" t="s">
        <v>23</v>
      </c>
      <c r="G318" s="6">
        <f>IF(K318=1,1.0,0)</f>
        <v/>
      </c>
      <c r="H318" s="5" t="s">
        <v>23</v>
      </c>
      <c r="I318" s="5" t="s">
        <v>23</v>
      </c>
      <c r="J318" s="5" t="s">
        <v>23</v>
      </c>
      <c r="K318" s="8">
        <f>IF(OR(LOOKUP(A318,characters!A:A,characters!B:B)=-1, LOOKUP(A318,characters!A:A,characters!B:B)+0.1&gt;=B318),1,0)</f>
        <v/>
      </c>
    </row>
    <row r="319" spans="1:11">
      <c r="A319" s="4" t="s">
        <v>46</v>
      </c>
      <c r="B319" s="7">
        <v>1</v>
      </c>
      <c r="C319" s="6">
        <f>IF(K319=1,1.0,0)</f>
        <v/>
      </c>
      <c r="D319" s="6">
        <f>IF(K319=1,0.9,0)</f>
        <v/>
      </c>
      <c r="E319" s="5" t="s">
        <v>23</v>
      </c>
      <c r="F319" s="5" t="s">
        <v>23</v>
      </c>
      <c r="G319" s="5" t="s">
        <v>23</v>
      </c>
      <c r="H319" s="5" t="s">
        <v>23</v>
      </c>
      <c r="I319" s="5" t="s">
        <v>23</v>
      </c>
      <c r="J319" s="5" t="s">
        <v>23</v>
      </c>
      <c r="K319" s="8">
        <f>IF(OR(LOOKUP(A319,characters!A:A,characters!B:B)=-1, LOOKUP(A319,characters!A:A,characters!B:B)+0.1&gt;=B319),1,0)</f>
        <v/>
      </c>
    </row>
    <row r="320" spans="1:11">
      <c r="A320" s="4" t="s">
        <v>47</v>
      </c>
      <c r="B320" s="7">
        <v>1</v>
      </c>
      <c r="C320" s="5" t="s">
        <v>23</v>
      </c>
      <c r="D320" s="6">
        <f>IF(K320=1,1.0,0)</f>
        <v/>
      </c>
      <c r="E320" s="5" t="s">
        <v>23</v>
      </c>
      <c r="F320" s="5" t="s">
        <v>23</v>
      </c>
      <c r="G320" s="5" t="s">
        <v>23</v>
      </c>
      <c r="H320" s="5" t="s">
        <v>23</v>
      </c>
      <c r="I320" s="5" t="s">
        <v>23</v>
      </c>
      <c r="J320" s="5" t="s">
        <v>23</v>
      </c>
      <c r="K320" s="8">
        <f>IF(OR(LOOKUP(A320,characters!A:A,characters!B:B)=-1, LOOKUP(A320,characters!A:A,characters!B:B)+0.1&gt;=B320),1,0)</f>
        <v/>
      </c>
    </row>
    <row r="321" spans="1:11">
      <c r="A321" s="4" t="s">
        <v>48</v>
      </c>
      <c r="B321" s="7">
        <v>0</v>
      </c>
      <c r="C321" s="5" t="s">
        <v>23</v>
      </c>
      <c r="D321" s="5" t="s">
        <v>23</v>
      </c>
      <c r="E321" s="6">
        <f>IF(K321=1,0.99,0)</f>
        <v/>
      </c>
      <c r="F321" s="5" t="s">
        <v>23</v>
      </c>
      <c r="G321" s="5" t="s">
        <v>23</v>
      </c>
      <c r="H321" s="5" t="s">
        <v>23</v>
      </c>
      <c r="I321" s="5" t="s">
        <v>23</v>
      </c>
      <c r="J321" s="6">
        <f>IF(K321=1,1.0,0)</f>
        <v/>
      </c>
      <c r="K321" s="8">
        <f>IF(OR(LOOKUP(A321,characters!A:A,characters!B:B)=-1, LOOKUP(A321,characters!A:A,characters!B:B)+0.1&gt;=B321),1,0)</f>
        <v/>
      </c>
    </row>
    <row r="323" spans="1:11">
      <c r="A323" s="3" t="s">
        <v>52</v>
      </c>
      <c r="B323" s="3" t="s">
        <v>9</v>
      </c>
      <c r="C323" s="3" t="s">
        <v>10</v>
      </c>
      <c r="D323" s="3" t="s">
        <v>12</v>
      </c>
      <c r="E323" s="3" t="s">
        <v>13</v>
      </c>
      <c r="F323" s="3" t="s">
        <v>17</v>
      </c>
    </row>
    <row r="324" spans="1:11">
      <c r="A324" s="4" t="s">
        <v>22</v>
      </c>
      <c r="B324" s="5" t="s">
        <v>23</v>
      </c>
      <c r="C324" s="6">
        <f>IF(SUM(G325:G349)=0,0,SUM(C325:C349)/SUM(G325:G349))</f>
        <v/>
      </c>
      <c r="D324" s="6">
        <f>IF(SUM(G325:G349)=0,0,SUM(D325:D349)/SUM(G325:G349))</f>
        <v/>
      </c>
      <c r="E324" s="6">
        <f>IF(SUM(G325:G349)=0,0,SUM(E325:E349)/SUM(G325:G349))</f>
        <v/>
      </c>
      <c r="F324" s="6">
        <f>IF(SUM(G325:G349)=0,0,SUM(F325:F349)/SUM(G325:G349))</f>
        <v/>
      </c>
    </row>
    <row r="325" spans="1:11">
      <c r="A325" s="4" t="s">
        <v>24</v>
      </c>
      <c r="B325" s="7">
        <v>0</v>
      </c>
      <c r="C325" s="6">
        <f>IF(G325=1,1.0,0)</f>
        <v/>
      </c>
      <c r="D325" s="5" t="s">
        <v>23</v>
      </c>
      <c r="E325" s="5" t="s">
        <v>23</v>
      </c>
      <c r="F325" s="5" t="s">
        <v>23</v>
      </c>
      <c r="G325" s="8">
        <f>IF(OR(LOOKUP(A325,characters!A:A,characters!B:B)=-1, LOOKUP(A325,characters!A:A,characters!B:B)+0.1&gt;=B325),1,0)</f>
        <v/>
      </c>
    </row>
    <row r="326" spans="1:11">
      <c r="A326" s="4" t="s">
        <v>25</v>
      </c>
      <c r="B326" s="7">
        <v>2</v>
      </c>
      <c r="C326" s="6">
        <f>IF(G326=1,1.0,0)</f>
        <v/>
      </c>
      <c r="D326" s="6">
        <f>IF(G326=1,0.99,0)</f>
        <v/>
      </c>
      <c r="E326" s="5" t="s">
        <v>23</v>
      </c>
      <c r="F326" s="5" t="s">
        <v>23</v>
      </c>
      <c r="G326" s="8">
        <f>IF(OR(LOOKUP(A326,characters!A:A,characters!B:B)=-1, LOOKUP(A326,characters!A:A,characters!B:B)+0.1&gt;=B326),1,0)</f>
        <v/>
      </c>
    </row>
    <row r="327" spans="1:11">
      <c r="A327" s="4" t="s">
        <v>26</v>
      </c>
      <c r="B327" s="7">
        <v>2</v>
      </c>
      <c r="C327" s="6">
        <f>IF(G327=1,1.0,0)</f>
        <v/>
      </c>
      <c r="D327" s="5" t="s">
        <v>23</v>
      </c>
      <c r="E327" s="5" t="s">
        <v>23</v>
      </c>
      <c r="F327" s="5" t="s">
        <v>23</v>
      </c>
      <c r="G327" s="8">
        <f>IF(OR(LOOKUP(A327,characters!A:A,characters!B:B)=-1, LOOKUP(A327,characters!A:A,characters!B:B)+0.1&gt;=B327),1,0)</f>
        <v/>
      </c>
    </row>
    <row r="328" spans="1:11">
      <c r="A328" s="4" t="s">
        <v>27</v>
      </c>
      <c r="B328" s="7">
        <v>1</v>
      </c>
      <c r="C328" s="6">
        <f>IF(G328=1,1.0,0)</f>
        <v/>
      </c>
      <c r="D328" s="5" t="s">
        <v>23</v>
      </c>
      <c r="E328" s="5" t="s">
        <v>23</v>
      </c>
      <c r="F328" s="5" t="s">
        <v>23</v>
      </c>
      <c r="G328" s="8">
        <f>IF(OR(LOOKUP(A328,characters!A:A,characters!B:B)=-1, LOOKUP(A328,characters!A:A,characters!B:B)+0.1&gt;=B328),1,0)</f>
        <v/>
      </c>
    </row>
    <row r="329" spans="1:11">
      <c r="A329" s="4" t="s">
        <v>28</v>
      </c>
      <c r="B329" s="7">
        <v>2</v>
      </c>
      <c r="C329" s="6">
        <f>IF(G329=1,1.0,0)</f>
        <v/>
      </c>
      <c r="D329" s="5" t="s">
        <v>23</v>
      </c>
      <c r="E329" s="6">
        <f>IF(G329=1,0.9,0)</f>
        <v/>
      </c>
      <c r="F329" s="5" t="s">
        <v>23</v>
      </c>
      <c r="G329" s="8">
        <f>IF(OR(LOOKUP(A329,characters!A:A,characters!B:B)=-1, LOOKUP(A329,characters!A:A,characters!B:B)+0.1&gt;=B329),1,0)</f>
        <v/>
      </c>
    </row>
    <row r="330" spans="1:11">
      <c r="A330" s="4" t="s">
        <v>29</v>
      </c>
      <c r="B330" s="7">
        <v>1</v>
      </c>
      <c r="C330" s="6">
        <f>IF(G330=1,1.0,0)</f>
        <v/>
      </c>
      <c r="D330" s="5" t="s">
        <v>23</v>
      </c>
      <c r="E330" s="5" t="s">
        <v>23</v>
      </c>
      <c r="F330" s="5" t="s">
        <v>23</v>
      </c>
      <c r="G330" s="8">
        <f>IF(OR(LOOKUP(A330,characters!A:A,characters!B:B)=-1, LOOKUP(A330,characters!A:A,characters!B:B)+0.1&gt;=B330),1,0)</f>
        <v/>
      </c>
    </row>
    <row r="331" spans="1:11">
      <c r="A331" s="4" t="s">
        <v>30</v>
      </c>
      <c r="B331" s="7">
        <v>1</v>
      </c>
      <c r="C331" s="6">
        <f>IF(G331=1,1.0,0)</f>
        <v/>
      </c>
      <c r="D331" s="5" t="s">
        <v>23</v>
      </c>
      <c r="E331" s="5" t="s">
        <v>23</v>
      </c>
      <c r="F331" s="5" t="s">
        <v>23</v>
      </c>
      <c r="G331" s="8">
        <f>IF(OR(LOOKUP(A331,characters!A:A,characters!B:B)=-1, LOOKUP(A331,characters!A:A,characters!B:B)+0.1&gt;=B331),1,0)</f>
        <v/>
      </c>
    </row>
    <row r="332" spans="1:11">
      <c r="A332" s="4" t="s">
        <v>31</v>
      </c>
      <c r="B332" s="7">
        <v>0</v>
      </c>
      <c r="C332" s="6">
        <f>IF(G332=1,1.0,0)</f>
        <v/>
      </c>
      <c r="D332" s="5" t="s">
        <v>23</v>
      </c>
      <c r="E332" s="5" t="s">
        <v>23</v>
      </c>
      <c r="F332" s="5" t="s">
        <v>23</v>
      </c>
      <c r="G332" s="8">
        <f>IF(OR(LOOKUP(A332,characters!A:A,characters!B:B)=-1, LOOKUP(A332,characters!A:A,characters!B:B)+0.1&gt;=B332),1,0)</f>
        <v/>
      </c>
    </row>
    <row r="333" spans="1:11">
      <c r="A333" s="4" t="s">
        <v>32</v>
      </c>
      <c r="B333" s="7">
        <v>0</v>
      </c>
      <c r="C333" s="6">
        <f>IF(G333=1,1.0,0)</f>
        <v/>
      </c>
      <c r="D333" s="5" t="s">
        <v>23</v>
      </c>
      <c r="E333" s="5" t="s">
        <v>23</v>
      </c>
      <c r="F333" s="5" t="s">
        <v>23</v>
      </c>
      <c r="G333" s="8">
        <f>IF(OR(LOOKUP(A333,characters!A:A,characters!B:B)=-1, LOOKUP(A333,characters!A:A,characters!B:B)+0.1&gt;=B333),1,0)</f>
        <v/>
      </c>
    </row>
    <row r="334" spans="1:11">
      <c r="A334" s="4" t="s">
        <v>33</v>
      </c>
      <c r="B334" s="7">
        <v>1</v>
      </c>
      <c r="C334" s="6">
        <f>IF(G334=1,1.0,0)</f>
        <v/>
      </c>
      <c r="D334" s="5" t="s">
        <v>23</v>
      </c>
      <c r="E334" s="5" t="s">
        <v>23</v>
      </c>
      <c r="F334" s="5" t="s">
        <v>23</v>
      </c>
      <c r="G334" s="8">
        <f>IF(OR(LOOKUP(A334,characters!A:A,characters!B:B)=-1, LOOKUP(A334,characters!A:A,characters!B:B)+0.1&gt;=B334),1,0)</f>
        <v/>
      </c>
    </row>
    <row r="335" spans="1:11">
      <c r="A335" s="4" t="s">
        <v>34</v>
      </c>
      <c r="B335" s="7">
        <v>1</v>
      </c>
      <c r="C335" s="6">
        <f>IF(G335=1,1.0,0)</f>
        <v/>
      </c>
      <c r="D335" s="5" t="s">
        <v>23</v>
      </c>
      <c r="E335" s="5" t="s">
        <v>23</v>
      </c>
      <c r="F335" s="5" t="s">
        <v>23</v>
      </c>
      <c r="G335" s="8">
        <f>IF(OR(LOOKUP(A335,characters!A:A,characters!B:B)=-1, LOOKUP(A335,characters!A:A,characters!B:B)+0.1&gt;=B335),1,0)</f>
        <v/>
      </c>
    </row>
    <row r="336" spans="1:11">
      <c r="A336" s="4" t="s">
        <v>35</v>
      </c>
      <c r="B336" s="7">
        <v>1</v>
      </c>
      <c r="C336" s="6">
        <f>IF(G336=1,1.0,0)</f>
        <v/>
      </c>
      <c r="D336" s="5" t="s">
        <v>23</v>
      </c>
      <c r="E336" s="5" t="s">
        <v>23</v>
      </c>
      <c r="F336" s="5" t="s">
        <v>23</v>
      </c>
      <c r="G336" s="8">
        <f>IF(OR(LOOKUP(A336,characters!A:A,characters!B:B)=-1, LOOKUP(A336,characters!A:A,characters!B:B)+0.1&gt;=B336),1,0)</f>
        <v/>
      </c>
    </row>
    <row r="337" spans="1:7">
      <c r="A337" s="4" t="s">
        <v>36</v>
      </c>
      <c r="B337" s="7">
        <v>1</v>
      </c>
      <c r="C337" s="6">
        <f>IF(G337=1,1.0,0)</f>
        <v/>
      </c>
      <c r="D337" s="5" t="s">
        <v>23</v>
      </c>
      <c r="E337" s="5" t="s">
        <v>23</v>
      </c>
      <c r="F337" s="5" t="s">
        <v>23</v>
      </c>
      <c r="G337" s="8">
        <f>IF(OR(LOOKUP(A337,characters!A:A,characters!B:B)=-1, LOOKUP(A337,characters!A:A,characters!B:B)+0.1&gt;=B337),1,0)</f>
        <v/>
      </c>
    </row>
    <row r="338" spans="1:7">
      <c r="A338" s="4" t="s">
        <v>37</v>
      </c>
      <c r="B338" s="7">
        <v>2</v>
      </c>
      <c r="C338" s="6">
        <f>IF(G338=1,1.0,0)</f>
        <v/>
      </c>
      <c r="D338" s="5" t="s">
        <v>23</v>
      </c>
      <c r="E338" s="5" t="s">
        <v>23</v>
      </c>
      <c r="F338" s="5" t="s">
        <v>23</v>
      </c>
      <c r="G338" s="8">
        <f>IF(OR(LOOKUP(A338,characters!A:A,characters!B:B)=-1, LOOKUP(A338,characters!A:A,characters!B:B)+0.1&gt;=B338),1,0)</f>
        <v/>
      </c>
    </row>
    <row r="339" spans="1:7">
      <c r="A339" s="4" t="s">
        <v>38</v>
      </c>
      <c r="B339" s="7">
        <v>0</v>
      </c>
      <c r="C339" s="6">
        <f>IF(G339=1,1.0,0)</f>
        <v/>
      </c>
      <c r="D339" s="5" t="s">
        <v>23</v>
      </c>
      <c r="E339" s="5" t="s">
        <v>23</v>
      </c>
      <c r="F339" s="5" t="s">
        <v>23</v>
      </c>
      <c r="G339" s="8">
        <f>IF(OR(LOOKUP(A339,characters!A:A,characters!B:B)=-1, LOOKUP(A339,characters!A:A,characters!B:B)+0.1&gt;=B339),1,0)</f>
        <v/>
      </c>
    </row>
    <row r="340" spans="1:7">
      <c r="A340" s="4" t="s">
        <v>39</v>
      </c>
      <c r="B340" s="7">
        <v>2</v>
      </c>
      <c r="C340" s="6">
        <f>IF(G340=1,1.0,0)</f>
        <v/>
      </c>
      <c r="D340" s="5" t="s">
        <v>23</v>
      </c>
      <c r="E340" s="5" t="s">
        <v>23</v>
      </c>
      <c r="F340" s="5" t="s">
        <v>23</v>
      </c>
      <c r="G340" s="8">
        <f>IF(OR(LOOKUP(A340,characters!A:A,characters!B:B)=-1, LOOKUP(A340,characters!A:A,characters!B:B)+0.1&gt;=B340),1,0)</f>
        <v/>
      </c>
    </row>
    <row r="341" spans="1:7">
      <c r="A341" s="4" t="s">
        <v>40</v>
      </c>
      <c r="B341" s="7">
        <v>0</v>
      </c>
      <c r="C341" s="6">
        <f>IF(G341=1,1.0,0)</f>
        <v/>
      </c>
      <c r="D341" s="5" t="s">
        <v>23</v>
      </c>
      <c r="E341" s="5" t="s">
        <v>23</v>
      </c>
      <c r="F341" s="5" t="s">
        <v>23</v>
      </c>
      <c r="G341" s="8">
        <f>IF(OR(LOOKUP(A341,characters!A:A,characters!B:B)=-1, LOOKUP(A341,characters!A:A,characters!B:B)+0.1&gt;=B341),1,0)</f>
        <v/>
      </c>
    </row>
    <row r="342" spans="1:7">
      <c r="A342" s="4" t="s">
        <v>41</v>
      </c>
      <c r="B342" s="7">
        <v>1</v>
      </c>
      <c r="C342" s="5" t="s">
        <v>23</v>
      </c>
      <c r="D342" s="5" t="s">
        <v>23</v>
      </c>
      <c r="E342" s="5" t="s">
        <v>23</v>
      </c>
      <c r="F342" s="6">
        <f>IF(G342=1,1.0,0)</f>
        <v/>
      </c>
      <c r="G342" s="8">
        <f>IF(OR(LOOKUP(A342,characters!A:A,characters!B:B)=-1, LOOKUP(A342,characters!A:A,characters!B:B)+0.1&gt;=B342),1,0)</f>
        <v/>
      </c>
    </row>
    <row r="343" spans="1:7">
      <c r="A343" s="4" t="s">
        <v>42</v>
      </c>
      <c r="B343" s="7">
        <v>1</v>
      </c>
      <c r="C343" s="6">
        <f>IF(G343=1,1.0,0)</f>
        <v/>
      </c>
      <c r="D343" s="5" t="s">
        <v>23</v>
      </c>
      <c r="E343" s="5" t="s">
        <v>23</v>
      </c>
      <c r="F343" s="5" t="s">
        <v>23</v>
      </c>
      <c r="G343" s="8">
        <f>IF(OR(LOOKUP(A343,characters!A:A,characters!B:B)=-1, LOOKUP(A343,characters!A:A,characters!B:B)+0.1&gt;=B343),1,0)</f>
        <v/>
      </c>
    </row>
    <row r="344" spans="1:7">
      <c r="A344" s="4" t="s">
        <v>43</v>
      </c>
      <c r="B344" s="7">
        <v>0</v>
      </c>
      <c r="C344" s="6">
        <f>IF(G344=1,1.0,0)</f>
        <v/>
      </c>
      <c r="D344" s="5" t="s">
        <v>23</v>
      </c>
      <c r="E344" s="5" t="s">
        <v>23</v>
      </c>
      <c r="F344" s="5" t="s">
        <v>23</v>
      </c>
      <c r="G344" s="8">
        <f>IF(OR(LOOKUP(A344,characters!A:A,characters!B:B)=-1, LOOKUP(A344,characters!A:A,characters!B:B)+0.1&gt;=B344),1,0)</f>
        <v/>
      </c>
    </row>
    <row r="345" spans="1:7">
      <c r="A345" s="4" t="s">
        <v>44</v>
      </c>
      <c r="B345" s="7">
        <v>2</v>
      </c>
      <c r="C345" s="6">
        <f>IF(G345=1,1.0,0)</f>
        <v/>
      </c>
      <c r="D345" s="5" t="s">
        <v>23</v>
      </c>
      <c r="E345" s="5" t="s">
        <v>23</v>
      </c>
      <c r="F345" s="5" t="s">
        <v>23</v>
      </c>
      <c r="G345" s="8">
        <f>IF(OR(LOOKUP(A345,characters!A:A,characters!B:B)=-1, LOOKUP(A345,characters!A:A,characters!B:B)+0.1&gt;=B345),1,0)</f>
        <v/>
      </c>
    </row>
    <row r="346" spans="1:7">
      <c r="A346" s="4" t="s">
        <v>45</v>
      </c>
      <c r="B346" s="7">
        <v>0</v>
      </c>
      <c r="C346" s="6">
        <f>IF(G346=1,1.0,0)</f>
        <v/>
      </c>
      <c r="D346" s="5" t="s">
        <v>23</v>
      </c>
      <c r="E346" s="5" t="s">
        <v>23</v>
      </c>
      <c r="F346" s="5" t="s">
        <v>23</v>
      </c>
      <c r="G346" s="8">
        <f>IF(OR(LOOKUP(A346,characters!A:A,characters!B:B)=-1, LOOKUP(A346,characters!A:A,characters!B:B)+0.1&gt;=B346),1,0)</f>
        <v/>
      </c>
    </row>
    <row r="347" spans="1:7">
      <c r="A347" s="4" t="s">
        <v>46</v>
      </c>
      <c r="B347" s="7">
        <v>1</v>
      </c>
      <c r="C347" s="6">
        <f>IF(G347=1,1.0,0)</f>
        <v/>
      </c>
      <c r="D347" s="5" t="s">
        <v>23</v>
      </c>
      <c r="E347" s="5" t="s">
        <v>23</v>
      </c>
      <c r="F347" s="5" t="s">
        <v>23</v>
      </c>
      <c r="G347" s="8">
        <f>IF(OR(LOOKUP(A347,characters!A:A,characters!B:B)=-1, LOOKUP(A347,characters!A:A,characters!B:B)+0.1&gt;=B347),1,0)</f>
        <v/>
      </c>
    </row>
    <row r="348" spans="1:7">
      <c r="A348" s="4" t="s">
        <v>47</v>
      </c>
      <c r="B348" s="7">
        <v>1</v>
      </c>
      <c r="C348" s="6">
        <f>IF(G348=1,1.0,0)</f>
        <v/>
      </c>
      <c r="D348" s="6">
        <f>IF(G348=1,0.99,0)</f>
        <v/>
      </c>
      <c r="E348" s="5" t="s">
        <v>23</v>
      </c>
      <c r="F348" s="5" t="s">
        <v>23</v>
      </c>
      <c r="G348" s="8">
        <f>IF(OR(LOOKUP(A348,characters!A:A,characters!B:B)=-1, LOOKUP(A348,characters!A:A,characters!B:B)+0.1&gt;=B348),1,0)</f>
        <v/>
      </c>
    </row>
    <row r="349" spans="1:7">
      <c r="A349" s="4" t="s">
        <v>48</v>
      </c>
      <c r="B349" s="7">
        <v>0</v>
      </c>
      <c r="C349" s="6">
        <f>IF(G349=1,1.0,0)</f>
        <v/>
      </c>
      <c r="D349" s="5" t="s">
        <v>23</v>
      </c>
      <c r="E349" s="5" t="s">
        <v>23</v>
      </c>
      <c r="F349" s="6">
        <f>IF(G349=1,0.99,0)</f>
        <v/>
      </c>
      <c r="G349" s="8">
        <f>IF(OR(LOOKUP(A349,characters!A:A,characters!B:B)=-1, LOOKUP(A349,characters!A:A,characters!B:B)+0.1&gt;=B349),1,0)</f>
        <v/>
      </c>
    </row>
    <row r="356" spans="1:9">
      <c r="A356" s="3" t="s">
        <v>56</v>
      </c>
    </row>
    <row r="357" spans="1:9">
      <c r="A357" s="3" t="s">
        <v>8</v>
      </c>
      <c r="B357" s="3" t="s">
        <v>9</v>
      </c>
      <c r="C357" s="3" t="s">
        <v>10</v>
      </c>
      <c r="D357" s="3" t="s">
        <v>17</v>
      </c>
      <c r="E357" s="3" t="s">
        <v>21</v>
      </c>
      <c r="F357" s="3" t="s">
        <v>19</v>
      </c>
      <c r="G357" s="3" t="s">
        <v>16</v>
      </c>
      <c r="H357" s="3" t="s">
        <v>18</v>
      </c>
    </row>
    <row r="358" spans="1:9">
      <c r="A358" s="4" t="s">
        <v>22</v>
      </c>
      <c r="B358" s="5" t="s">
        <v>23</v>
      </c>
      <c r="C358" s="6">
        <f>IF(SUM(I359:I363)=0,0,SUM(C359:C363)/SUM(I359:I363))</f>
        <v/>
      </c>
      <c r="D358" s="6">
        <f>IF(SUM(I359:I363)=0,0,SUM(D359:D363)/SUM(I359:I363))</f>
        <v/>
      </c>
      <c r="E358" s="6">
        <f>IF(SUM(I359:I363)=0,0,SUM(E359:E363)/SUM(I359:I363))</f>
        <v/>
      </c>
      <c r="F358" s="6">
        <f>IF(SUM(I359:I363)=0,0,SUM(F359:F363)/SUM(I359:I363))</f>
        <v/>
      </c>
      <c r="G358" s="6">
        <f>IF(SUM(I359:I363)=0,0,SUM(G359:G363)/SUM(I359:I363))</f>
        <v/>
      </c>
      <c r="H358" s="6">
        <f>IF(SUM(I359:I363)=0,0,SUM(H359:H363)/SUM(I359:I363))</f>
        <v/>
      </c>
    </row>
    <row r="359" spans="1:9">
      <c r="A359" s="4" t="s">
        <v>57</v>
      </c>
      <c r="B359" s="7">
        <v>1</v>
      </c>
      <c r="C359" s="6">
        <f>IF(I359=1,1.0,0)</f>
        <v/>
      </c>
      <c r="D359" s="6">
        <f>IF(I359=1,0.8,0)</f>
        <v/>
      </c>
      <c r="E359" s="6">
        <f>IF(I359=1,0.9,0)</f>
        <v/>
      </c>
      <c r="F359" s="6">
        <f>IF(I359=1,0.9,0)</f>
        <v/>
      </c>
      <c r="G359" s="5" t="s">
        <v>23</v>
      </c>
      <c r="H359" s="5" t="s">
        <v>23</v>
      </c>
      <c r="I359" s="8">
        <f>IF(OR(LOOKUP(A359,characters!A:A,characters!B:B)=-1, LOOKUP(A359,characters!A:A,characters!B:B)+0.1&gt;=B359),1,0)</f>
        <v/>
      </c>
    </row>
    <row r="360" spans="1:9">
      <c r="A360" s="4" t="s">
        <v>58</v>
      </c>
      <c r="B360" s="7">
        <v>1</v>
      </c>
      <c r="C360" s="6">
        <f>IF(I360=1,0.8,0)</f>
        <v/>
      </c>
      <c r="D360" s="6">
        <f>IF(I360=1,0.9,0)</f>
        <v/>
      </c>
      <c r="E360" s="6">
        <f>IF(I360=1,1.0,0)</f>
        <v/>
      </c>
      <c r="F360" s="6">
        <f>IF(I360=1,1.0,0)</f>
        <v/>
      </c>
      <c r="G360" s="5" t="s">
        <v>23</v>
      </c>
      <c r="H360" s="5" t="s">
        <v>23</v>
      </c>
      <c r="I360" s="8">
        <f>IF(OR(LOOKUP(A360,characters!A:A,characters!B:B)=-1, LOOKUP(A360,characters!A:A,characters!B:B)+0.1&gt;=B360),1,0)</f>
        <v/>
      </c>
    </row>
    <row r="361" spans="1:9">
      <c r="A361" s="4" t="s">
        <v>59</v>
      </c>
      <c r="B361" s="7">
        <v>1</v>
      </c>
      <c r="C361" s="6">
        <f>IF(I361=1,1.0,0)</f>
        <v/>
      </c>
      <c r="D361" s="6">
        <f>IF(I361=1,0.9,0)</f>
        <v/>
      </c>
      <c r="E361" s="5" t="s">
        <v>23</v>
      </c>
      <c r="F361" s="5" t="s">
        <v>23</v>
      </c>
      <c r="G361" s="6">
        <f>IF(I361=1,1.0,0)</f>
        <v/>
      </c>
      <c r="H361" s="6">
        <f>IF(I361=1,0.8,0)</f>
        <v/>
      </c>
      <c r="I361" s="8">
        <f>IF(OR(LOOKUP(A361,characters!A:A,characters!B:B)=-1, LOOKUP(A361,characters!A:A,characters!B:B)+0.1&gt;=B361),1,0)</f>
        <v/>
      </c>
    </row>
    <row r="362" spans="1:9">
      <c r="A362" s="4" t="s">
        <v>60</v>
      </c>
      <c r="B362" s="7">
        <v>1</v>
      </c>
      <c r="C362" s="6">
        <f>IF(I362=1,1.0,0)</f>
        <v/>
      </c>
      <c r="D362" s="6">
        <f>IF(I362=1,0.8,0)</f>
        <v/>
      </c>
      <c r="E362" s="6">
        <f>IF(I362=1,0.9,0)</f>
        <v/>
      </c>
      <c r="F362" s="6">
        <f>IF(I362=1,0.9,0)</f>
        <v/>
      </c>
      <c r="G362" s="5" t="s">
        <v>23</v>
      </c>
      <c r="H362" s="5" t="s">
        <v>23</v>
      </c>
      <c r="I362" s="8">
        <f>IF(OR(LOOKUP(A362,characters!A:A,characters!B:B)=-1, LOOKUP(A362,characters!A:A,characters!B:B)+0.1&gt;=B362),1,0)</f>
        <v/>
      </c>
    </row>
    <row r="363" spans="1:9">
      <c r="A363" s="4" t="s">
        <v>61</v>
      </c>
      <c r="B363" s="7">
        <v>2</v>
      </c>
      <c r="C363" s="6">
        <f>IF(I363=1,1.0,0)</f>
        <v/>
      </c>
      <c r="D363" s="6">
        <f>IF(I363=1,0.8,0)</f>
        <v/>
      </c>
      <c r="E363" s="6">
        <f>IF(I363=1,0.9,0)</f>
        <v/>
      </c>
      <c r="F363" s="6">
        <f>IF(I363=1,0.9,0)</f>
        <v/>
      </c>
      <c r="G363" s="5" t="s">
        <v>23</v>
      </c>
      <c r="H363" s="5" t="s">
        <v>23</v>
      </c>
      <c r="I363" s="8">
        <f>IF(OR(LOOKUP(A363,characters!A:A,characters!B:B)=-1, LOOKUP(A363,characters!A:A,characters!B:B)+0.1&gt;=B363),1,0)</f>
        <v/>
      </c>
    </row>
    <row r="365" spans="1:9">
      <c r="A365" s="3" t="s">
        <v>49</v>
      </c>
      <c r="B365" s="3" t="s">
        <v>9</v>
      </c>
      <c r="C365" s="3" t="s">
        <v>21</v>
      </c>
      <c r="D365" s="3" t="s">
        <v>19</v>
      </c>
      <c r="E365" s="3" t="s">
        <v>17</v>
      </c>
    </row>
    <row r="366" spans="1:9">
      <c r="A366" s="4" t="s">
        <v>22</v>
      </c>
      <c r="B366" s="5" t="s">
        <v>23</v>
      </c>
      <c r="C366" s="6">
        <f>IF(SUM(F367:F371)=0,0,SUM(C367:C371)/SUM(F367:F371))</f>
        <v/>
      </c>
      <c r="D366" s="6">
        <f>IF(SUM(F367:F371)=0,0,SUM(D367:D371)/SUM(F367:F371))</f>
        <v/>
      </c>
      <c r="E366" s="6">
        <f>IF(SUM(F367:F371)=0,0,SUM(E367:E371)/SUM(F367:F371))</f>
        <v/>
      </c>
    </row>
    <row r="367" spans="1:9">
      <c r="A367" s="4" t="s">
        <v>61</v>
      </c>
      <c r="B367" s="7">
        <v>2</v>
      </c>
      <c r="C367" s="6">
        <f>IF(F367=1,1.0,0)</f>
        <v/>
      </c>
      <c r="D367" s="6">
        <f>IF(F367=1,0.99,0)</f>
        <v/>
      </c>
      <c r="E367" s="5" t="s">
        <v>23</v>
      </c>
      <c r="F367" s="8">
        <f>IF(OR(LOOKUP(A367,characters!A:A,characters!B:B)=-1, LOOKUP(A367,characters!A:A,characters!B:B)+0.1&gt;=B367),1,0)</f>
        <v/>
      </c>
    </row>
    <row r="368" spans="1:9">
      <c r="A368" s="4" t="s">
        <v>57</v>
      </c>
      <c r="B368" s="7">
        <v>1</v>
      </c>
      <c r="C368" s="6">
        <f>IF(F368=1,1.0,0)</f>
        <v/>
      </c>
      <c r="D368" s="6">
        <f>IF(F368=1,0.99,0)</f>
        <v/>
      </c>
      <c r="E368" s="5" t="s">
        <v>23</v>
      </c>
      <c r="F368" s="8">
        <f>IF(OR(LOOKUP(A368,characters!A:A,characters!B:B)=-1, LOOKUP(A368,characters!A:A,characters!B:B)+0.1&gt;=B368),1,0)</f>
        <v/>
      </c>
    </row>
    <row r="369" spans="1:6">
      <c r="A369" s="4" t="s">
        <v>58</v>
      </c>
      <c r="B369" s="7">
        <v>1</v>
      </c>
      <c r="C369" s="6">
        <f>IF(F369=1,1.0,0)</f>
        <v/>
      </c>
      <c r="D369" s="6">
        <f>IF(F369=1,0.99,0)</f>
        <v/>
      </c>
      <c r="E369" s="5" t="s">
        <v>23</v>
      </c>
      <c r="F369" s="8">
        <f>IF(OR(LOOKUP(A369,characters!A:A,characters!B:B)=-1, LOOKUP(A369,characters!A:A,characters!B:B)+0.1&gt;=B369),1,0)</f>
        <v/>
      </c>
    </row>
    <row r="370" spans="1:6">
      <c r="A370" s="4" t="s">
        <v>59</v>
      </c>
      <c r="B370" s="7">
        <v>1</v>
      </c>
      <c r="C370" s="5" t="s">
        <v>23</v>
      </c>
      <c r="D370" s="5" t="s">
        <v>23</v>
      </c>
      <c r="E370" s="6">
        <f>IF(F370=1,1.0,0)</f>
        <v/>
      </c>
      <c r="F370" s="8">
        <f>IF(OR(LOOKUP(A370,characters!A:A,characters!B:B)=-1, LOOKUP(A370,characters!A:A,characters!B:B)+0.1&gt;=B370),1,0)</f>
        <v/>
      </c>
    </row>
    <row r="371" spans="1:6">
      <c r="A371" s="4" t="s">
        <v>60</v>
      </c>
      <c r="B371" s="7">
        <v>1</v>
      </c>
      <c r="C371" s="6">
        <f>IF(F371=1,1.0,0)</f>
        <v/>
      </c>
      <c r="D371" s="6">
        <f>IF(F371=1,0.99,0)</f>
        <v/>
      </c>
      <c r="E371" s="5" t="s">
        <v>23</v>
      </c>
      <c r="F371" s="8">
        <f>IF(OR(LOOKUP(A371,characters!A:A,characters!B:B)=-1, LOOKUP(A371,characters!A:A,characters!B:B)+0.1&gt;=B371),1,0)</f>
        <v/>
      </c>
    </row>
    <row r="373" spans="1:6">
      <c r="A373" s="3" t="s">
        <v>52</v>
      </c>
      <c r="B373" s="3" t="s">
        <v>9</v>
      </c>
      <c r="C373" s="3" t="s">
        <v>17</v>
      </c>
      <c r="D373" s="3" t="s">
        <v>10</v>
      </c>
    </row>
    <row r="374" spans="1:6">
      <c r="A374" s="4" t="s">
        <v>22</v>
      </c>
      <c r="B374" s="5" t="s">
        <v>23</v>
      </c>
      <c r="C374" s="6">
        <f>IF(SUM(E375:E379)=0,0,SUM(C375:C379)/SUM(E375:E379))</f>
        <v/>
      </c>
      <c r="D374" s="6">
        <f>IF(SUM(E375:E379)=0,0,SUM(D375:D379)/SUM(E375:E379))</f>
        <v/>
      </c>
    </row>
    <row r="375" spans="1:6">
      <c r="A375" s="4" t="s">
        <v>61</v>
      </c>
      <c r="B375" s="7">
        <v>2</v>
      </c>
      <c r="C375" s="6">
        <f>IF(E375=1,1.0,0)</f>
        <v/>
      </c>
      <c r="D375" s="6">
        <f>IF(E375=1,0.9,0)</f>
        <v/>
      </c>
      <c r="E375" s="8">
        <f>IF(OR(LOOKUP(A375,characters!A:A,characters!B:B)=-1, LOOKUP(A375,characters!A:A,characters!B:B)+0.1&gt;=B375),1,0)</f>
        <v/>
      </c>
    </row>
    <row r="376" spans="1:6">
      <c r="A376" s="4" t="s">
        <v>57</v>
      </c>
      <c r="B376" s="7">
        <v>1</v>
      </c>
      <c r="C376" s="6">
        <f>IF(E376=1,0.99,0)</f>
        <v/>
      </c>
      <c r="D376" s="6">
        <f>IF(E376=1,1.0,0)</f>
        <v/>
      </c>
      <c r="E376" s="8">
        <f>IF(OR(LOOKUP(A376,characters!A:A,characters!B:B)=-1, LOOKUP(A376,characters!A:A,characters!B:B)+0.1&gt;=B376),1,0)</f>
        <v/>
      </c>
    </row>
    <row r="377" spans="1:6">
      <c r="A377" s="4" t="s">
        <v>58</v>
      </c>
      <c r="B377" s="7">
        <v>1</v>
      </c>
      <c r="C377" s="6">
        <f>IF(E377=1,1.0,0)</f>
        <v/>
      </c>
      <c r="D377" s="5" t="s">
        <v>23</v>
      </c>
      <c r="E377" s="8">
        <f>IF(OR(LOOKUP(A377,characters!A:A,characters!B:B)=-1, LOOKUP(A377,characters!A:A,characters!B:B)+0.1&gt;=B377),1,0)</f>
        <v/>
      </c>
    </row>
    <row r="378" spans="1:6">
      <c r="A378" s="4" t="s">
        <v>59</v>
      </c>
      <c r="B378" s="7">
        <v>1</v>
      </c>
      <c r="C378" s="5" t="s">
        <v>23</v>
      </c>
      <c r="D378" s="6">
        <f>IF(E378=1,1.0,0)</f>
        <v/>
      </c>
      <c r="E378" s="8">
        <f>IF(OR(LOOKUP(A378,characters!A:A,characters!B:B)=-1, LOOKUP(A378,characters!A:A,characters!B:B)+0.1&gt;=B378),1,0)</f>
        <v/>
      </c>
    </row>
    <row r="379" spans="1:6">
      <c r="A379" s="4" t="s">
        <v>60</v>
      </c>
      <c r="B379" s="7">
        <v>1</v>
      </c>
      <c r="C379" s="6">
        <f>IF(E379=1,0.99,0)</f>
        <v/>
      </c>
      <c r="D379" s="6">
        <f>IF(E379=1,1.0,0)</f>
        <v/>
      </c>
      <c r="E379" s="8">
        <f>IF(OR(LOOKUP(A379,characters!A:A,characters!B:B)=-1, LOOKUP(A379,characters!A:A,characters!B:B)+0.1&gt;=B379),1,0)</f>
        <v/>
      </c>
    </row>
    <row r="386" spans="1:10">
      <c r="A386" s="3" t="s">
        <v>62</v>
      </c>
    </row>
    <row r="387" spans="1:10">
      <c r="A387" s="3" t="s">
        <v>8</v>
      </c>
      <c r="B387" s="3" t="s">
        <v>9</v>
      </c>
      <c r="C387" s="3" t="s">
        <v>16</v>
      </c>
      <c r="D387" s="3" t="s">
        <v>10</v>
      </c>
      <c r="E387" s="3" t="s">
        <v>14</v>
      </c>
      <c r="F387" s="3" t="s">
        <v>15</v>
      </c>
      <c r="G387" s="3" t="s">
        <v>11</v>
      </c>
      <c r="H387" s="3" t="s">
        <v>18</v>
      </c>
      <c r="I387" s="3" t="s">
        <v>17</v>
      </c>
    </row>
    <row r="388" spans="1:10">
      <c r="A388" s="4" t="s">
        <v>22</v>
      </c>
      <c r="B388" s="5" t="s">
        <v>23</v>
      </c>
      <c r="C388" s="6">
        <f>IF(SUM(J389:J391)=0,0,SUM(C389:C391)/SUM(J389:J391))</f>
        <v/>
      </c>
      <c r="D388" s="6">
        <f>IF(SUM(J389:J391)=0,0,SUM(D389:D391)/SUM(J389:J391))</f>
        <v/>
      </c>
      <c r="E388" s="6">
        <f>IF(SUM(J389:J391)=0,0,SUM(E389:E391)/SUM(J389:J391))</f>
        <v/>
      </c>
      <c r="F388" s="6">
        <f>IF(SUM(J389:J391)=0,0,SUM(F389:F391)/SUM(J389:J391))</f>
        <v/>
      </c>
      <c r="G388" s="6">
        <f>IF(SUM(J389:J391)=0,0,SUM(G389:G391)/SUM(J389:J391))</f>
        <v/>
      </c>
      <c r="H388" s="6">
        <f>IF(SUM(J389:J391)=0,0,SUM(H389:H391)/SUM(J389:J391))</f>
        <v/>
      </c>
      <c r="I388" s="6">
        <f>IF(SUM(J389:J391)=0,0,SUM(I389:I391)/SUM(J389:J391))</f>
        <v/>
      </c>
    </row>
    <row r="389" spans="1:10">
      <c r="A389" s="4" t="s">
        <v>34</v>
      </c>
      <c r="B389" s="7">
        <v>0</v>
      </c>
      <c r="C389" s="6">
        <f>IF(J389=1,1.0,0)</f>
        <v/>
      </c>
      <c r="D389" s="6">
        <f>IF(J389=1,0.9,0)</f>
        <v/>
      </c>
      <c r="E389" s="5" t="s">
        <v>23</v>
      </c>
      <c r="F389" s="5" t="s">
        <v>23</v>
      </c>
      <c r="G389" s="5" t="s">
        <v>23</v>
      </c>
      <c r="H389" s="5" t="s">
        <v>23</v>
      </c>
      <c r="I389" s="6">
        <f>IF(J389=1,0.8,0)</f>
        <v/>
      </c>
      <c r="J389" s="8">
        <f>IF(OR(LOOKUP(A389,characters!A:A,characters!B:B)=-1, LOOKUP(A389,characters!A:A,characters!B:B)+0.1&gt;=B389),1,0)</f>
        <v/>
      </c>
    </row>
    <row r="390" spans="1:10">
      <c r="A390" s="4" t="s">
        <v>40</v>
      </c>
      <c r="B390" s="7">
        <v>0</v>
      </c>
      <c r="C390" s="6">
        <f>IF(J390=1,1.0,0)</f>
        <v/>
      </c>
      <c r="D390" s="6">
        <f>IF(J390=1,1.0,0)</f>
        <v/>
      </c>
      <c r="E390" s="6">
        <f>IF(J390=1,0.9,0)</f>
        <v/>
      </c>
      <c r="F390" s="6">
        <f>IF(J390=1,0.9,0)</f>
        <v/>
      </c>
      <c r="G390" s="6">
        <f>IF(J390=1,0.8,0)</f>
        <v/>
      </c>
      <c r="H390" s="5" t="s">
        <v>23</v>
      </c>
      <c r="I390" s="5" t="s">
        <v>23</v>
      </c>
      <c r="J390" s="8">
        <f>IF(OR(LOOKUP(A390,characters!A:A,characters!B:B)=-1, LOOKUP(A390,characters!A:A,characters!B:B)+0.1&gt;=B390),1,0)</f>
        <v/>
      </c>
    </row>
    <row r="391" spans="1:10">
      <c r="A391" s="4" t="s">
        <v>43</v>
      </c>
      <c r="B391" s="7">
        <v>0</v>
      </c>
      <c r="C391" s="6">
        <f>IF(J391=1,1.0,0)</f>
        <v/>
      </c>
      <c r="D391" s="6">
        <f>IF(J391=1,1.0,0)</f>
        <v/>
      </c>
      <c r="E391" s="6">
        <f>IF(J391=1,0.9,0)</f>
        <v/>
      </c>
      <c r="F391" s="6">
        <f>IF(J391=1,0.9,0)</f>
        <v/>
      </c>
      <c r="G391" s="6">
        <f>IF(J391=1,0.8,0)</f>
        <v/>
      </c>
      <c r="H391" s="6">
        <f>IF(J391=1,0.9,0)</f>
        <v/>
      </c>
      <c r="I391" s="5" t="s">
        <v>23</v>
      </c>
      <c r="J391" s="8">
        <f>IF(OR(LOOKUP(A391,characters!A:A,characters!B:B)=-1, LOOKUP(A391,characters!A:A,characters!B:B)+0.1&gt;=B391),1,0)</f>
        <v/>
      </c>
    </row>
    <row r="393" spans="1:10">
      <c r="A393" s="3" t="s">
        <v>49</v>
      </c>
      <c r="B393" s="3" t="s">
        <v>9</v>
      </c>
      <c r="C393" s="3" t="s">
        <v>16</v>
      </c>
      <c r="D393" s="3" t="s">
        <v>13</v>
      </c>
    </row>
    <row r="394" spans="1:10">
      <c r="A394" s="4" t="s">
        <v>22</v>
      </c>
      <c r="B394" s="5" t="s">
        <v>23</v>
      </c>
      <c r="C394" s="6">
        <f>IF(SUM(E395:E397)=0,0,SUM(C395:C397)/SUM(E395:E397))</f>
        <v/>
      </c>
      <c r="D394" s="6">
        <f>IF(SUM(E395:E397)=0,0,SUM(D395:D397)/SUM(E395:E397))</f>
        <v/>
      </c>
    </row>
    <row r="395" spans="1:10">
      <c r="A395" s="4" t="s">
        <v>34</v>
      </c>
      <c r="B395" s="7">
        <v>0</v>
      </c>
      <c r="C395" s="6">
        <f>IF(E395=1,1.0,0)</f>
        <v/>
      </c>
      <c r="D395" s="5" t="s">
        <v>23</v>
      </c>
      <c r="E395" s="8">
        <f>IF(OR(LOOKUP(A395,characters!A:A,characters!B:B)=-1, LOOKUP(A395,characters!A:A,characters!B:B)+0.1&gt;=B395),1,0)</f>
        <v/>
      </c>
    </row>
    <row r="396" spans="1:10">
      <c r="A396" s="4" t="s">
        <v>40</v>
      </c>
      <c r="B396" s="7">
        <v>0</v>
      </c>
      <c r="C396" s="6">
        <f>IF(E396=1,1.0,0)</f>
        <v/>
      </c>
      <c r="D396" s="6">
        <f>IF(E396=1,0.9,0)</f>
        <v/>
      </c>
      <c r="E396" s="8">
        <f>IF(OR(LOOKUP(A396,characters!A:A,characters!B:B)=-1, LOOKUP(A396,characters!A:A,characters!B:B)+0.1&gt;=B396),1,0)</f>
        <v/>
      </c>
    </row>
    <row r="397" spans="1:10">
      <c r="A397" s="4" t="s">
        <v>43</v>
      </c>
      <c r="B397" s="7">
        <v>0</v>
      </c>
      <c r="C397" s="6">
        <f>IF(E397=1,1.0,0)</f>
        <v/>
      </c>
      <c r="D397" s="5" t="s">
        <v>23</v>
      </c>
      <c r="E397" s="8">
        <f>IF(OR(LOOKUP(A397,characters!A:A,characters!B:B)=-1, LOOKUP(A397,characters!A:A,characters!B:B)+0.1&gt;=B397),1,0)</f>
        <v/>
      </c>
    </row>
    <row r="399" spans="1:10">
      <c r="A399" s="3" t="s">
        <v>52</v>
      </c>
      <c r="B399" s="3" t="s">
        <v>9</v>
      </c>
      <c r="C399" s="3" t="s">
        <v>10</v>
      </c>
    </row>
    <row r="400" spans="1:10">
      <c r="A400" s="4" t="s">
        <v>22</v>
      </c>
      <c r="B400" s="5" t="s">
        <v>23</v>
      </c>
      <c r="C400" s="6">
        <f>IF(SUM(D401:D403)=0,0,SUM(C401:C403)/SUM(D401:D403))</f>
        <v/>
      </c>
    </row>
    <row r="401" spans="1:7">
      <c r="A401" s="4" t="s">
        <v>34</v>
      </c>
      <c r="B401" s="7">
        <v>0</v>
      </c>
      <c r="C401" s="6">
        <f>IF(D401=1,1.0,0)</f>
        <v/>
      </c>
      <c r="D401" s="8">
        <f>IF(OR(LOOKUP(A401,characters!A:A,characters!B:B)=-1, LOOKUP(A401,characters!A:A,characters!B:B)+0.1&gt;=B401),1,0)</f>
        <v/>
      </c>
    </row>
    <row r="402" spans="1:7">
      <c r="A402" s="4" t="s">
        <v>40</v>
      </c>
      <c r="B402" s="7">
        <v>0</v>
      </c>
      <c r="C402" s="6">
        <f>IF(D402=1,1.0,0)</f>
        <v/>
      </c>
      <c r="D402" s="8">
        <f>IF(OR(LOOKUP(A402,characters!A:A,characters!B:B)=-1, LOOKUP(A402,characters!A:A,characters!B:B)+0.1&gt;=B402),1,0)</f>
        <v/>
      </c>
    </row>
    <row r="403" spans="1:7">
      <c r="A403" s="4" t="s">
        <v>43</v>
      </c>
      <c r="B403" s="7">
        <v>0</v>
      </c>
      <c r="C403" s="6">
        <f>IF(D403=1,1.0,0)</f>
        <v/>
      </c>
      <c r="D403" s="8">
        <f>IF(OR(LOOKUP(A403,characters!A:A,characters!B:B)=-1, LOOKUP(A403,characters!A:A,characters!B:B)+0.1&gt;=B403),1,0)</f>
        <v/>
      </c>
    </row>
    <row r="410" spans="1:7">
      <c r="A410" s="3" t="s">
        <v>63</v>
      </c>
    </row>
    <row r="411" spans="1:7">
      <c r="A411" s="3" t="s">
        <v>8</v>
      </c>
      <c r="B411" s="3" t="s">
        <v>9</v>
      </c>
      <c r="C411" s="3" t="s">
        <v>10</v>
      </c>
      <c r="D411" s="3" t="s">
        <v>12</v>
      </c>
      <c r="E411" s="3" t="s">
        <v>13</v>
      </c>
      <c r="F411" s="3" t="s">
        <v>11</v>
      </c>
    </row>
    <row r="412" spans="1:7">
      <c r="A412" s="4" t="s">
        <v>22</v>
      </c>
      <c r="B412" s="5" t="s">
        <v>23</v>
      </c>
      <c r="C412" s="6">
        <f>IF(SUM(G413)=0,0,SUM(C413)/SUM(G413))</f>
        <v/>
      </c>
      <c r="D412" s="6">
        <f>IF(SUM(G413)=0,0,SUM(D413)/SUM(G413))</f>
        <v/>
      </c>
      <c r="E412" s="6">
        <f>IF(SUM(G413)=0,0,SUM(E413)/SUM(G413))</f>
        <v/>
      </c>
      <c r="F412" s="6">
        <f>IF(SUM(G413)=0,0,SUM(F413)/SUM(G413))</f>
        <v/>
      </c>
    </row>
    <row r="413" spans="1:7">
      <c r="A413" s="4" t="s">
        <v>30</v>
      </c>
      <c r="B413" s="7">
        <v>0</v>
      </c>
      <c r="C413" s="6">
        <f>IF(G413=1,1.0,0)</f>
        <v/>
      </c>
      <c r="D413" s="6">
        <f>IF(G413=1,1.0,0)</f>
        <v/>
      </c>
      <c r="E413" s="6">
        <f>IF(G413=1,0.9,0)</f>
        <v/>
      </c>
      <c r="F413" s="6">
        <f>IF(G413=1,0.9,0)</f>
        <v/>
      </c>
      <c r="G413" s="8">
        <f>IF(OR(LOOKUP(A413,characters!A:A,characters!B:B)=-1, LOOKUP(A413,characters!A:A,characters!B:B)+0.1&gt;=B413),1,0)</f>
        <v/>
      </c>
    </row>
    <row r="415" spans="1:7">
      <c r="A415" s="3" t="s">
        <v>64</v>
      </c>
      <c r="B415" s="3" t="s">
        <v>9</v>
      </c>
      <c r="C415" s="3" t="s">
        <v>12</v>
      </c>
    </row>
    <row r="416" spans="1:7">
      <c r="A416" s="4" t="s">
        <v>22</v>
      </c>
      <c r="B416" s="5" t="s">
        <v>23</v>
      </c>
      <c r="C416" s="6">
        <f>IF(SUM(D417)=0,0,SUM(C417)/SUM(D417))</f>
        <v/>
      </c>
    </row>
    <row r="417" spans="1:13">
      <c r="A417" s="4" t="s">
        <v>30</v>
      </c>
      <c r="B417" s="7">
        <v>0</v>
      </c>
      <c r="C417" s="6">
        <f>IF(D417=1,1.0,0)</f>
        <v/>
      </c>
      <c r="D417" s="8">
        <f>IF(OR(LOOKUP(A417,characters!A:A,characters!B:B)=-1, LOOKUP(A417,characters!A:A,characters!B:B)+0.1&gt;=B417),1,0)</f>
        <v/>
      </c>
    </row>
    <row r="419" spans="1:13">
      <c r="A419" s="3" t="s">
        <v>65</v>
      </c>
      <c r="B419" s="3" t="s">
        <v>9</v>
      </c>
      <c r="C419" s="3" t="s">
        <v>66</v>
      </c>
    </row>
    <row r="420" spans="1:13">
      <c r="A420" s="4" t="s">
        <v>22</v>
      </c>
      <c r="B420" s="5" t="s">
        <v>23</v>
      </c>
      <c r="C420" s="6">
        <f>IF(SUM(D421)=0,0,SUM(C421)/SUM(D421))</f>
        <v/>
      </c>
    </row>
    <row r="421" spans="1:13">
      <c r="A421" s="4" t="s">
        <v>30</v>
      </c>
      <c r="B421" s="7">
        <v>0</v>
      </c>
      <c r="C421" s="6">
        <f>IF(D421=1,1.0,0)</f>
        <v/>
      </c>
      <c r="D421" s="8">
        <f>IF(OR(LOOKUP(A421,characters!A:A,characters!B:B)=-1, LOOKUP(A421,characters!A:A,characters!B:B)+0.1&gt;=B421),1,0)</f>
        <v/>
      </c>
    </row>
    <row r="428" spans="1:13">
      <c r="A428" s="3" t="s">
        <v>67</v>
      </c>
    </row>
    <row r="429" spans="1:13">
      <c r="A429" s="3" t="s">
        <v>8</v>
      </c>
      <c r="B429" s="3" t="s">
        <v>9</v>
      </c>
      <c r="C429" s="3" t="s">
        <v>10</v>
      </c>
      <c r="D429" s="3" t="s">
        <v>11</v>
      </c>
      <c r="E429" s="3" t="s">
        <v>14</v>
      </c>
      <c r="F429" s="3" t="s">
        <v>15</v>
      </c>
      <c r="G429" s="3" t="s">
        <v>19</v>
      </c>
      <c r="H429" s="3" t="s">
        <v>16</v>
      </c>
      <c r="I429" s="3" t="s">
        <v>12</v>
      </c>
      <c r="J429" s="3" t="s">
        <v>18</v>
      </c>
      <c r="K429" s="3" t="s">
        <v>13</v>
      </c>
      <c r="L429" s="3" t="s">
        <v>21</v>
      </c>
    </row>
    <row r="430" spans="1:13">
      <c r="A430" s="4" t="s">
        <v>22</v>
      </c>
      <c r="B430" s="5" t="s">
        <v>23</v>
      </c>
      <c r="C430" s="6">
        <f>IF(SUM(M431:M438)=0,0,SUM(C431:C438)/SUM(M431:M438))</f>
        <v/>
      </c>
      <c r="D430" s="6">
        <f>IF(SUM(M431:M438)=0,0,SUM(D431:D438)/SUM(M431:M438))</f>
        <v/>
      </c>
      <c r="E430" s="6">
        <f>IF(SUM(M431:M438)=0,0,SUM(E431:E438)/SUM(M431:M438))</f>
        <v/>
      </c>
      <c r="F430" s="6">
        <f>IF(SUM(M431:M438)=0,0,SUM(F431:F438)/SUM(M431:M438))</f>
        <v/>
      </c>
      <c r="G430" s="6">
        <f>IF(SUM(M431:M438)=0,0,SUM(G431:G438)/SUM(M431:M438))</f>
        <v/>
      </c>
      <c r="H430" s="6">
        <f>IF(SUM(M431:M438)=0,0,SUM(H431:H438)/SUM(M431:M438))</f>
        <v/>
      </c>
      <c r="I430" s="6">
        <f>IF(SUM(M431:M438)=0,0,SUM(I431:I438)/SUM(M431:M438))</f>
        <v/>
      </c>
      <c r="J430" s="6">
        <f>IF(SUM(M431:M438)=0,0,SUM(J431:J438)/SUM(M431:M438))</f>
        <v/>
      </c>
      <c r="K430" s="6">
        <f>IF(SUM(M431:M438)=0,0,SUM(K431:K438)/SUM(M431:M438))</f>
        <v/>
      </c>
      <c r="L430" s="6">
        <f>IF(SUM(M431:M438)=0,0,SUM(L431:L438)/SUM(M431:M438))</f>
        <v/>
      </c>
    </row>
    <row r="431" spans="1:13">
      <c r="A431" s="4" t="s">
        <v>25</v>
      </c>
      <c r="B431" s="7">
        <v>0</v>
      </c>
      <c r="C431" s="6">
        <f>IF(M431=1,0.99,0)</f>
        <v/>
      </c>
      <c r="D431" s="6">
        <f>IF(M431=1,0.69,0)</f>
        <v/>
      </c>
      <c r="E431" s="5" t="s">
        <v>23</v>
      </c>
      <c r="F431" s="5" t="s">
        <v>23</v>
      </c>
      <c r="G431" s="6">
        <f>IF(M431=1,0.89,0)</f>
        <v/>
      </c>
      <c r="H431" s="5" t="s">
        <v>23</v>
      </c>
      <c r="I431" s="6">
        <f>IF(M431=1,1.0,0)</f>
        <v/>
      </c>
      <c r="J431" s="5" t="s">
        <v>23</v>
      </c>
      <c r="K431" s="5" t="s">
        <v>23</v>
      </c>
      <c r="L431" s="6">
        <f>IF(M431=1,0.79,0)</f>
        <v/>
      </c>
      <c r="M431" s="8">
        <f>IF(OR(LOOKUP(A431,characters!A:A,characters!B:B)=-1, LOOKUP(A431,characters!A:A,characters!B:B)+0.1&gt;=B431),1,0)</f>
        <v/>
      </c>
    </row>
    <row r="432" spans="1:13">
      <c r="A432" s="4" t="s">
        <v>27</v>
      </c>
      <c r="B432" s="7">
        <v>0</v>
      </c>
      <c r="C432" s="6">
        <f>IF(M432=1,1.0,0)</f>
        <v/>
      </c>
      <c r="D432" s="6">
        <f>IF(M432=1,0.7,0)</f>
        <v/>
      </c>
      <c r="E432" s="6">
        <f>IF(M432=1,0.8,0)</f>
        <v/>
      </c>
      <c r="F432" s="6">
        <f>IF(M432=1,0.8,0)</f>
        <v/>
      </c>
      <c r="G432" s="6">
        <f>IF(M432=1,0.9,0)</f>
        <v/>
      </c>
      <c r="H432" s="5" t="s">
        <v>23</v>
      </c>
      <c r="I432" s="5" t="s">
        <v>23</v>
      </c>
      <c r="J432" s="5" t="s">
        <v>23</v>
      </c>
      <c r="K432" s="5" t="s">
        <v>23</v>
      </c>
      <c r="L432" s="5" t="s">
        <v>23</v>
      </c>
      <c r="M432" s="8">
        <f>IF(OR(LOOKUP(A432,characters!A:A,characters!B:B)=-1, LOOKUP(A432,characters!A:A,characters!B:B)+0.1&gt;=B432),1,0)</f>
        <v/>
      </c>
    </row>
    <row r="433" spans="1:13">
      <c r="A433" s="4" t="s">
        <v>28</v>
      </c>
      <c r="B433" s="7">
        <v>0</v>
      </c>
      <c r="C433" s="6">
        <f>IF(M433=1,1.0,0)</f>
        <v/>
      </c>
      <c r="D433" s="6">
        <f>IF(M433=1,0.89,0)</f>
        <v/>
      </c>
      <c r="E433" s="5" t="s">
        <v>23</v>
      </c>
      <c r="F433" s="5" t="s">
        <v>23</v>
      </c>
      <c r="G433" s="5" t="s">
        <v>23</v>
      </c>
      <c r="H433" s="5" t="s">
        <v>23</v>
      </c>
      <c r="I433" s="6">
        <f>IF(M433=1,0.99,0)</f>
        <v/>
      </c>
      <c r="J433" s="5" t="s">
        <v>23</v>
      </c>
      <c r="K433" s="6">
        <f>IF(M433=1,1.0,0)</f>
        <v/>
      </c>
      <c r="L433" s="5" t="s">
        <v>23</v>
      </c>
      <c r="M433" s="8">
        <f>IF(OR(LOOKUP(A433,characters!A:A,characters!B:B)=-1, LOOKUP(A433,characters!A:A,characters!B:B)+0.1&gt;=B433),1,0)</f>
        <v/>
      </c>
    </row>
    <row r="434" spans="1:13">
      <c r="A434" s="4" t="s">
        <v>32</v>
      </c>
      <c r="B434" s="7">
        <v>0</v>
      </c>
      <c r="C434" s="6">
        <f>IF(M434=1,1.0,0)</f>
        <v/>
      </c>
      <c r="D434" s="6">
        <f>IF(M434=1,0.8,0)</f>
        <v/>
      </c>
      <c r="E434" s="6">
        <f>IF(M434=1,0.9,0)</f>
        <v/>
      </c>
      <c r="F434" s="6">
        <f>IF(M434=1,0.9,0)</f>
        <v/>
      </c>
      <c r="G434" s="5" t="s">
        <v>23</v>
      </c>
      <c r="H434" s="5" t="s">
        <v>23</v>
      </c>
      <c r="I434" s="5" t="s">
        <v>23</v>
      </c>
      <c r="J434" s="6">
        <f>IF(M434=1,0.8,0)</f>
        <v/>
      </c>
      <c r="K434" s="5" t="s">
        <v>23</v>
      </c>
      <c r="L434" s="5" t="s">
        <v>23</v>
      </c>
      <c r="M434" s="8">
        <f>IF(OR(LOOKUP(A434,characters!A:A,characters!B:B)=-1, LOOKUP(A434,characters!A:A,characters!B:B)+0.1&gt;=B434),1,0)</f>
        <v/>
      </c>
    </row>
    <row r="435" spans="1:13">
      <c r="A435" s="4" t="s">
        <v>40</v>
      </c>
      <c r="B435" s="7">
        <v>0</v>
      </c>
      <c r="C435" s="6">
        <f>IF(M435=1,1.0,0)</f>
        <v/>
      </c>
      <c r="D435" s="6">
        <f>IF(M435=1,0.8,0)</f>
        <v/>
      </c>
      <c r="E435" s="6">
        <f>IF(M435=1,0.9,0)</f>
        <v/>
      </c>
      <c r="F435" s="6">
        <f>IF(M435=1,0.9,0)</f>
        <v/>
      </c>
      <c r="G435" s="5" t="s">
        <v>23</v>
      </c>
      <c r="H435" s="6">
        <f>IF(M435=1,1.0,0)</f>
        <v/>
      </c>
      <c r="I435" s="5" t="s">
        <v>23</v>
      </c>
      <c r="J435" s="5" t="s">
        <v>23</v>
      </c>
      <c r="K435" s="5" t="s">
        <v>23</v>
      </c>
      <c r="L435" s="5" t="s">
        <v>23</v>
      </c>
      <c r="M435" s="8">
        <f>IF(OR(LOOKUP(A435,characters!A:A,characters!B:B)=-1, LOOKUP(A435,characters!A:A,characters!B:B)+0.1&gt;=B435),1,0)</f>
        <v/>
      </c>
    </row>
    <row r="436" spans="1:13">
      <c r="A436" s="4" t="s">
        <v>43</v>
      </c>
      <c r="B436" s="7">
        <v>0</v>
      </c>
      <c r="C436" s="6">
        <f>IF(M436=1,1.0,0)</f>
        <v/>
      </c>
      <c r="D436" s="6">
        <f>IF(M436=1,0.8,0)</f>
        <v/>
      </c>
      <c r="E436" s="6">
        <f>IF(M436=1,0.9,0)</f>
        <v/>
      </c>
      <c r="F436" s="6">
        <f>IF(M436=1,0.9,0)</f>
        <v/>
      </c>
      <c r="G436" s="5" t="s">
        <v>23</v>
      </c>
      <c r="H436" s="6">
        <f>IF(M436=1,1.0,0)</f>
        <v/>
      </c>
      <c r="I436" s="5" t="s">
        <v>23</v>
      </c>
      <c r="J436" s="6">
        <f>IF(M436=1,0.9,0)</f>
        <v/>
      </c>
      <c r="K436" s="5" t="s">
        <v>23</v>
      </c>
      <c r="L436" s="5" t="s">
        <v>23</v>
      </c>
      <c r="M436" s="8">
        <f>IF(OR(LOOKUP(A436,characters!A:A,characters!B:B)=-1, LOOKUP(A436,characters!A:A,characters!B:B)+0.1&gt;=B436),1,0)</f>
        <v/>
      </c>
    </row>
    <row r="437" spans="1:13">
      <c r="A437" s="4" t="s">
        <v>44</v>
      </c>
      <c r="B437" s="7">
        <v>0</v>
      </c>
      <c r="C437" s="6">
        <f>IF(M437=1,1.0,0)</f>
        <v/>
      </c>
      <c r="D437" s="6">
        <f>IF(M437=1,0.8,0)</f>
        <v/>
      </c>
      <c r="E437" s="6">
        <f>IF(M437=1,0.8,0)</f>
        <v/>
      </c>
      <c r="F437" s="6">
        <f>IF(M437=1,0.8,0)</f>
        <v/>
      </c>
      <c r="G437" s="6">
        <f>IF(M437=1,0.9,0)</f>
        <v/>
      </c>
      <c r="H437" s="5" t="s">
        <v>23</v>
      </c>
      <c r="I437" s="5" t="s">
        <v>23</v>
      </c>
      <c r="J437" s="5" t="s">
        <v>23</v>
      </c>
      <c r="K437" s="5" t="s">
        <v>23</v>
      </c>
      <c r="L437" s="5" t="s">
        <v>23</v>
      </c>
      <c r="M437" s="8">
        <f>IF(OR(LOOKUP(A437,characters!A:A,characters!B:B)=-1, LOOKUP(A437,characters!A:A,characters!B:B)+0.1&gt;=B437),1,0)</f>
        <v/>
      </c>
    </row>
    <row r="438" spans="1:13">
      <c r="A438" s="4" t="s">
        <v>48</v>
      </c>
      <c r="B438" s="7">
        <v>0</v>
      </c>
      <c r="C438" s="6">
        <f>IF(M438=1,1.0,0)</f>
        <v/>
      </c>
      <c r="D438" s="6">
        <f>IF(M438=1,0.8,0)</f>
        <v/>
      </c>
      <c r="E438" s="6">
        <f>IF(M438=1,0.9,0)</f>
        <v/>
      </c>
      <c r="F438" s="6">
        <f>IF(M438=1,0.9,0)</f>
        <v/>
      </c>
      <c r="G438" s="5" t="s">
        <v>23</v>
      </c>
      <c r="H438" s="5" t="s">
        <v>23</v>
      </c>
      <c r="I438" s="5" t="s">
        <v>23</v>
      </c>
      <c r="J438" s="5" t="s">
        <v>23</v>
      </c>
      <c r="K438" s="5" t="s">
        <v>23</v>
      </c>
      <c r="L438" s="5" t="s">
        <v>23</v>
      </c>
      <c r="M438" s="8">
        <f>IF(OR(LOOKUP(A438,characters!A:A,characters!B:B)=-1, LOOKUP(A438,characters!A:A,characters!B:B)+0.1&gt;=B438),1,0)</f>
        <v/>
      </c>
    </row>
    <row r="440" spans="1:13">
      <c r="A440" s="3" t="s">
        <v>64</v>
      </c>
      <c r="B440" s="3" t="s">
        <v>9</v>
      </c>
      <c r="C440" s="3" t="s">
        <v>12</v>
      </c>
      <c r="D440" s="3" t="s">
        <v>68</v>
      </c>
      <c r="E440" s="3" t="s">
        <v>13</v>
      </c>
      <c r="F440" s="3" t="s">
        <v>69</v>
      </c>
      <c r="G440" s="3" t="s">
        <v>17</v>
      </c>
    </row>
    <row r="441" spans="1:13">
      <c r="A441" s="4" t="s">
        <v>22</v>
      </c>
      <c r="B441" s="5" t="s">
        <v>23</v>
      </c>
      <c r="C441" s="6">
        <f>IF(SUM(H442:H449)=0,0,SUM(C442:C449)/SUM(H442:H449))</f>
        <v/>
      </c>
      <c r="D441" s="6">
        <f>IF(SUM(H442:H449)=0,0,SUM(D442:D449)/SUM(H442:H449))</f>
        <v/>
      </c>
      <c r="E441" s="6">
        <f>IF(SUM(H442:H449)=0,0,SUM(E442:E449)/SUM(H442:H449))</f>
        <v/>
      </c>
      <c r="F441" s="6">
        <f>IF(SUM(H442:H449)=0,0,SUM(F442:F449)/SUM(H442:H449))</f>
        <v/>
      </c>
      <c r="G441" s="6">
        <f>IF(SUM(H442:H449)=0,0,SUM(G442:G449)/SUM(H442:H449))</f>
        <v/>
      </c>
    </row>
    <row r="442" spans="1:13">
      <c r="A442" s="4" t="s">
        <v>25</v>
      </c>
      <c r="B442" s="7">
        <v>0</v>
      </c>
      <c r="C442" s="6">
        <f>IF(H442=1,1.0,0)</f>
        <v/>
      </c>
      <c r="D442" s="6">
        <f>IF(H442=1,1.0,0)</f>
        <v/>
      </c>
      <c r="E442" s="5" t="s">
        <v>23</v>
      </c>
      <c r="F442" s="5" t="s">
        <v>23</v>
      </c>
      <c r="G442" s="5" t="s">
        <v>23</v>
      </c>
      <c r="H442" s="8">
        <f>IF(OR(LOOKUP(A442,characters!A:A,characters!B:B)=-1, LOOKUP(A442,characters!A:A,characters!B:B)+0.1&gt;=B442),1,0)</f>
        <v/>
      </c>
    </row>
    <row r="443" spans="1:13">
      <c r="A443" s="4" t="s">
        <v>27</v>
      </c>
      <c r="B443" s="7">
        <v>0</v>
      </c>
      <c r="C443" s="6">
        <f>IF(H443=1,0.9,0)</f>
        <v/>
      </c>
      <c r="D443" s="5" t="s">
        <v>23</v>
      </c>
      <c r="E443" s="6">
        <f>IF(H443=1,1.0,0)</f>
        <v/>
      </c>
      <c r="F443" s="5" t="s">
        <v>23</v>
      </c>
      <c r="G443" s="5" t="s">
        <v>23</v>
      </c>
      <c r="H443" s="8">
        <f>IF(OR(LOOKUP(A443,characters!A:A,characters!B:B)=-1, LOOKUP(A443,characters!A:A,characters!B:B)+0.1&gt;=B443),1,0)</f>
        <v/>
      </c>
    </row>
    <row r="444" spans="1:13">
      <c r="A444" s="4" t="s">
        <v>28</v>
      </c>
      <c r="B444" s="7">
        <v>0</v>
      </c>
      <c r="C444" s="6">
        <f>IF(H444=1,0.9,0)</f>
        <v/>
      </c>
      <c r="D444" s="5" t="s">
        <v>23</v>
      </c>
      <c r="E444" s="6">
        <f>IF(H444=1,1.0,0)</f>
        <v/>
      </c>
      <c r="F444" s="5" t="s">
        <v>23</v>
      </c>
      <c r="G444" s="5" t="s">
        <v>23</v>
      </c>
      <c r="H444" s="8">
        <f>IF(OR(LOOKUP(A444,characters!A:A,characters!B:B)=-1, LOOKUP(A444,characters!A:A,characters!B:B)+0.1&gt;=B444),1,0)</f>
        <v/>
      </c>
    </row>
    <row r="445" spans="1:13">
      <c r="A445" s="4" t="s">
        <v>32</v>
      </c>
      <c r="B445" s="7">
        <v>0</v>
      </c>
      <c r="C445" s="6">
        <f>IF(H445=1,0.9,0)</f>
        <v/>
      </c>
      <c r="D445" s="5" t="s">
        <v>23</v>
      </c>
      <c r="E445" s="6">
        <f>IF(H445=1,1.0,0)</f>
        <v/>
      </c>
      <c r="F445" s="5" t="s">
        <v>23</v>
      </c>
      <c r="G445" s="5" t="s">
        <v>23</v>
      </c>
      <c r="H445" s="8">
        <f>IF(OR(LOOKUP(A445,characters!A:A,characters!B:B)=-1, LOOKUP(A445,characters!A:A,characters!B:B)+0.1&gt;=B445),1,0)</f>
        <v/>
      </c>
    </row>
    <row r="446" spans="1:13">
      <c r="A446" s="4" t="s">
        <v>40</v>
      </c>
      <c r="B446" s="7">
        <v>0</v>
      </c>
      <c r="C446" s="6">
        <f>IF(H446=1,0.99,0)</f>
        <v/>
      </c>
      <c r="D446" s="5" t="s">
        <v>23</v>
      </c>
      <c r="E446" s="6">
        <f>IF(H446=1,1.0,0)</f>
        <v/>
      </c>
      <c r="F446" s="5" t="s">
        <v>23</v>
      </c>
      <c r="G446" s="5" t="s">
        <v>23</v>
      </c>
      <c r="H446" s="8">
        <f>IF(OR(LOOKUP(A446,characters!A:A,characters!B:B)=-1, LOOKUP(A446,characters!A:A,characters!B:B)+0.1&gt;=B446),1,0)</f>
        <v/>
      </c>
    </row>
    <row r="447" spans="1:13">
      <c r="A447" s="4" t="s">
        <v>43</v>
      </c>
      <c r="B447" s="7">
        <v>0</v>
      </c>
      <c r="C447" s="5" t="s">
        <v>23</v>
      </c>
      <c r="D447" s="5" t="s">
        <v>23</v>
      </c>
      <c r="E447" s="6">
        <f>IF(H447=1,0.9,0)</f>
        <v/>
      </c>
      <c r="F447" s="6">
        <f>IF(H447=1,1.0,0)</f>
        <v/>
      </c>
      <c r="G447" s="5" t="s">
        <v>23</v>
      </c>
      <c r="H447" s="8">
        <f>IF(OR(LOOKUP(A447,characters!A:A,characters!B:B)=-1, LOOKUP(A447,characters!A:A,characters!B:B)+0.1&gt;=B447),1,0)</f>
        <v/>
      </c>
    </row>
    <row r="448" spans="1:13">
      <c r="A448" s="4" t="s">
        <v>44</v>
      </c>
      <c r="B448" s="7">
        <v>0</v>
      </c>
      <c r="C448" s="6">
        <f>IF(H448=1,0.99,0)</f>
        <v/>
      </c>
      <c r="D448" s="5" t="s">
        <v>23</v>
      </c>
      <c r="E448" s="6">
        <f>IF(H448=1,1.0,0)</f>
        <v/>
      </c>
      <c r="F448" s="5" t="s">
        <v>23</v>
      </c>
      <c r="G448" s="5" t="s">
        <v>23</v>
      </c>
      <c r="H448" s="8">
        <f>IF(OR(LOOKUP(A448,characters!A:A,characters!B:B)=-1, LOOKUP(A448,characters!A:A,characters!B:B)+0.1&gt;=B448),1,0)</f>
        <v/>
      </c>
    </row>
    <row r="449" spans="1:8">
      <c r="A449" s="4" t="s">
        <v>48</v>
      </c>
      <c r="B449" s="7">
        <v>0</v>
      </c>
      <c r="C449" s="5" t="s">
        <v>23</v>
      </c>
      <c r="D449" s="6">
        <f>IF(H449=1,1.0,0)</f>
        <v/>
      </c>
      <c r="E449" s="5" t="s">
        <v>23</v>
      </c>
      <c r="F449" s="5" t="s">
        <v>23</v>
      </c>
      <c r="G449" s="6">
        <f>IF(H449=1,0.9,0)</f>
        <v/>
      </c>
      <c r="H449" s="8">
        <f>IF(OR(LOOKUP(A449,characters!A:A,characters!B:B)=-1, LOOKUP(A449,characters!A:A,characters!B:B)+0.1&gt;=B449),1,0)</f>
        <v/>
      </c>
    </row>
    <row r="451" spans="1:8">
      <c r="A451" s="3" t="s">
        <v>65</v>
      </c>
      <c r="B451" s="3" t="s">
        <v>9</v>
      </c>
      <c r="C451" s="3" t="s">
        <v>12</v>
      </c>
      <c r="D451" s="3" t="s">
        <v>66</v>
      </c>
      <c r="E451" s="3" t="s">
        <v>17</v>
      </c>
    </row>
    <row r="452" spans="1:8">
      <c r="A452" s="4" t="s">
        <v>22</v>
      </c>
      <c r="B452" s="5" t="s">
        <v>23</v>
      </c>
      <c r="C452" s="6">
        <f>IF(SUM(F453:F460)=0,0,SUM(C453:C460)/SUM(F453:F460))</f>
        <v/>
      </c>
      <c r="D452" s="6">
        <f>IF(SUM(F453:F460)=0,0,SUM(D453:D460)/SUM(F453:F460))</f>
        <v/>
      </c>
      <c r="E452" s="6">
        <f>IF(SUM(F453:F460)=0,0,SUM(E453:E460)/SUM(F453:F460))</f>
        <v/>
      </c>
    </row>
    <row r="453" spans="1:8">
      <c r="A453" s="4" t="s">
        <v>25</v>
      </c>
      <c r="B453" s="7">
        <v>0</v>
      </c>
      <c r="C453" s="6">
        <f>IF(F453=1,1.0,0)</f>
        <v/>
      </c>
      <c r="D453" s="5" t="s">
        <v>23</v>
      </c>
      <c r="E453" s="5" t="s">
        <v>23</v>
      </c>
      <c r="F453" s="8">
        <f>IF(OR(LOOKUP(A453,characters!A:A,characters!B:B)=-1, LOOKUP(A453,characters!A:A,characters!B:B)+0.1&gt;=B453),1,0)</f>
        <v/>
      </c>
    </row>
    <row r="454" spans="1:8">
      <c r="A454" s="4" t="s">
        <v>27</v>
      </c>
      <c r="B454" s="7">
        <v>0</v>
      </c>
      <c r="C454" s="5" t="s">
        <v>23</v>
      </c>
      <c r="D454" s="6">
        <f>IF(F454=1,1.0,0)</f>
        <v/>
      </c>
      <c r="E454" s="5" t="s">
        <v>23</v>
      </c>
      <c r="F454" s="8">
        <f>IF(OR(LOOKUP(A454,characters!A:A,characters!B:B)=-1, LOOKUP(A454,characters!A:A,characters!B:B)+0.1&gt;=B454),1,0)</f>
        <v/>
      </c>
    </row>
    <row r="455" spans="1:8">
      <c r="A455" s="4" t="s">
        <v>28</v>
      </c>
      <c r="B455" s="7">
        <v>0</v>
      </c>
      <c r="C455" s="5" t="s">
        <v>23</v>
      </c>
      <c r="D455" s="6">
        <f>IF(F455=1,1.0,0)</f>
        <v/>
      </c>
      <c r="E455" s="5" t="s">
        <v>23</v>
      </c>
      <c r="F455" s="8">
        <f>IF(OR(LOOKUP(A455,characters!A:A,characters!B:B)=-1, LOOKUP(A455,characters!A:A,characters!B:B)+0.1&gt;=B455),1,0)</f>
        <v/>
      </c>
    </row>
    <row r="456" spans="1:8">
      <c r="A456" s="4" t="s">
        <v>32</v>
      </c>
      <c r="B456" s="7">
        <v>0</v>
      </c>
      <c r="C456" s="5" t="s">
        <v>23</v>
      </c>
      <c r="D456" s="6">
        <f>IF(F456=1,1.0,0)</f>
        <v/>
      </c>
      <c r="E456" s="5" t="s">
        <v>23</v>
      </c>
      <c r="F456" s="8">
        <f>IF(OR(LOOKUP(A456,characters!A:A,characters!B:B)=-1, LOOKUP(A456,characters!A:A,characters!B:B)+0.1&gt;=B456),1,0)</f>
        <v/>
      </c>
    </row>
    <row r="457" spans="1:8">
      <c r="A457" s="4" t="s">
        <v>40</v>
      </c>
      <c r="B457" s="7">
        <v>0</v>
      </c>
      <c r="C457" s="5" t="s">
        <v>23</v>
      </c>
      <c r="D457" s="6">
        <f>IF(F457=1,1.0,0)</f>
        <v/>
      </c>
      <c r="E457" s="5" t="s">
        <v>23</v>
      </c>
      <c r="F457" s="8">
        <f>IF(OR(LOOKUP(A457,characters!A:A,characters!B:B)=-1, LOOKUP(A457,characters!A:A,characters!B:B)+0.1&gt;=B457),1,0)</f>
        <v/>
      </c>
    </row>
    <row r="458" spans="1:8">
      <c r="A458" s="4" t="s">
        <v>43</v>
      </c>
      <c r="B458" s="7">
        <v>0</v>
      </c>
      <c r="C458" s="5" t="s">
        <v>23</v>
      </c>
      <c r="D458" s="6">
        <f>IF(F458=1,1.0,0)</f>
        <v/>
      </c>
      <c r="E458" s="5" t="s">
        <v>23</v>
      </c>
      <c r="F458" s="8">
        <f>IF(OR(LOOKUP(A458,characters!A:A,characters!B:B)=-1, LOOKUP(A458,characters!A:A,characters!B:B)+0.1&gt;=B458),1,0)</f>
        <v/>
      </c>
    </row>
    <row r="459" spans="1:8">
      <c r="A459" s="4" t="s">
        <v>44</v>
      </c>
      <c r="B459" s="7">
        <v>0</v>
      </c>
      <c r="C459" s="5" t="s">
        <v>23</v>
      </c>
      <c r="D459" s="6">
        <f>IF(F459=1,1.0,0)</f>
        <v/>
      </c>
      <c r="E459" s="5" t="s">
        <v>23</v>
      </c>
      <c r="F459" s="8">
        <f>IF(OR(LOOKUP(A459,characters!A:A,characters!B:B)=-1, LOOKUP(A459,characters!A:A,characters!B:B)+0.1&gt;=B459),1,0)</f>
        <v/>
      </c>
    </row>
    <row r="460" spans="1:8">
      <c r="A460" s="4" t="s">
        <v>48</v>
      </c>
      <c r="B460" s="7">
        <v>0</v>
      </c>
      <c r="C460" s="5" t="s">
        <v>23</v>
      </c>
      <c r="D460" s="6">
        <f>IF(F460=1,1.0,0)</f>
        <v/>
      </c>
      <c r="E460" s="6">
        <f>IF(F460=1,0.99,0)</f>
        <v/>
      </c>
      <c r="F460" s="8">
        <f>IF(OR(LOOKUP(A460,characters!A:A,characters!B:B)=-1, LOOKUP(A460,characters!A:A,characters!B:B)+0.1&gt;=B460),1,0)</f>
        <v/>
      </c>
    </row>
    <row r="467" spans="1:12">
      <c r="A467" s="3" t="s">
        <v>70</v>
      </c>
    </row>
    <row r="468" spans="1:12">
      <c r="A468" s="3" t="s">
        <v>8</v>
      </c>
      <c r="B468" s="3" t="s">
        <v>9</v>
      </c>
      <c r="C468" s="3" t="s">
        <v>10</v>
      </c>
      <c r="D468" s="3" t="s">
        <v>14</v>
      </c>
      <c r="E468" s="3" t="s">
        <v>15</v>
      </c>
      <c r="F468" s="3" t="s">
        <v>11</v>
      </c>
      <c r="G468" s="3" t="s">
        <v>17</v>
      </c>
      <c r="H468" s="3" t="s">
        <v>19</v>
      </c>
      <c r="I468" s="3" t="s">
        <v>13</v>
      </c>
      <c r="J468" s="3" t="s">
        <v>12</v>
      </c>
      <c r="K468" s="3" t="s">
        <v>18</v>
      </c>
    </row>
    <row r="469" spans="1:12">
      <c r="A469" s="4" t="s">
        <v>22</v>
      </c>
      <c r="B469" s="5" t="s">
        <v>23</v>
      </c>
      <c r="C469" s="6">
        <f>IF(SUM(L470:L476)=0,0,SUM(C470:C476)/SUM(L470:L476))</f>
        <v/>
      </c>
      <c r="D469" s="6">
        <f>IF(SUM(L470:L476)=0,0,SUM(D470:D476)/SUM(L470:L476))</f>
        <v/>
      </c>
      <c r="E469" s="6">
        <f>IF(SUM(L470:L476)=0,0,SUM(E470:E476)/SUM(L470:L476))</f>
        <v/>
      </c>
      <c r="F469" s="6">
        <f>IF(SUM(L470:L476)=0,0,SUM(F470:F476)/SUM(L470:L476))</f>
        <v/>
      </c>
      <c r="G469" s="6">
        <f>IF(SUM(L470:L476)=0,0,SUM(G470:G476)/SUM(L470:L476))</f>
        <v/>
      </c>
      <c r="H469" s="6">
        <f>IF(SUM(L470:L476)=0,0,SUM(H470:H476)/SUM(L470:L476))</f>
        <v/>
      </c>
      <c r="I469" s="6">
        <f>IF(SUM(L470:L476)=0,0,SUM(I470:I476)/SUM(L470:L476))</f>
        <v/>
      </c>
      <c r="J469" s="6">
        <f>IF(SUM(L470:L476)=0,0,SUM(J470:J476)/SUM(L470:L476))</f>
        <v/>
      </c>
      <c r="K469" s="6">
        <f>IF(SUM(L470:L476)=0,0,SUM(K470:K476)/SUM(L470:L476))</f>
        <v/>
      </c>
    </row>
    <row r="470" spans="1:12">
      <c r="A470" s="4" t="s">
        <v>27</v>
      </c>
      <c r="B470" s="7">
        <v>0</v>
      </c>
      <c r="C470" s="6">
        <f>IF(L470=1,1.0,0)</f>
        <v/>
      </c>
      <c r="D470" s="6">
        <f>IF(L470=1,0.8,0)</f>
        <v/>
      </c>
      <c r="E470" s="6">
        <f>IF(L470=1,0.8,0)</f>
        <v/>
      </c>
      <c r="F470" s="6">
        <f>IF(L470=1,0.7,0)</f>
        <v/>
      </c>
      <c r="G470" s="5" t="s">
        <v>23</v>
      </c>
      <c r="H470" s="6">
        <f>IF(L470=1,0.9,0)</f>
        <v/>
      </c>
      <c r="I470" s="5" t="s">
        <v>23</v>
      </c>
      <c r="J470" s="5" t="s">
        <v>23</v>
      </c>
      <c r="K470" s="5" t="s">
        <v>23</v>
      </c>
      <c r="L470" s="8">
        <f>IF(OR(LOOKUP(A470,characters!A:A,characters!B:B)=-1, LOOKUP(A470,characters!A:A,characters!B:B)+0.1&gt;=B470),1,0)</f>
        <v/>
      </c>
    </row>
    <row r="471" spans="1:12">
      <c r="A471" s="4" t="s">
        <v>44</v>
      </c>
      <c r="B471" s="7">
        <v>1</v>
      </c>
      <c r="C471" s="6">
        <f>IF(L471=1,1.0,0)</f>
        <v/>
      </c>
      <c r="D471" s="6">
        <f>IF(L471=1,0.8,0)</f>
        <v/>
      </c>
      <c r="E471" s="6">
        <f>IF(L471=1,0.8,0)</f>
        <v/>
      </c>
      <c r="F471" s="6">
        <f>IF(L471=1,0.8,0)</f>
        <v/>
      </c>
      <c r="G471" s="5" t="s">
        <v>23</v>
      </c>
      <c r="H471" s="6">
        <f>IF(L471=1,0.9,0)</f>
        <v/>
      </c>
      <c r="I471" s="5" t="s">
        <v>23</v>
      </c>
      <c r="J471" s="5" t="s">
        <v>23</v>
      </c>
      <c r="K471" s="5" t="s">
        <v>23</v>
      </c>
      <c r="L471" s="8">
        <f>IF(OR(LOOKUP(A471,characters!A:A,characters!B:B)=-1, LOOKUP(A471,characters!A:A,characters!B:B)+0.1&gt;=B471),1,0)</f>
        <v/>
      </c>
    </row>
    <row r="472" spans="1:12">
      <c r="A472" s="4" t="s">
        <v>48</v>
      </c>
      <c r="B472" s="7">
        <v>1</v>
      </c>
      <c r="C472" s="6">
        <f>IF(L472=1,1.0,0)</f>
        <v/>
      </c>
      <c r="D472" s="6">
        <f>IF(L472=1,0.9,0)</f>
        <v/>
      </c>
      <c r="E472" s="6">
        <f>IF(L472=1,0.9,0)</f>
        <v/>
      </c>
      <c r="F472" s="6">
        <f>IF(L472=1,0.8,0)</f>
        <v/>
      </c>
      <c r="G472" s="5" t="s">
        <v>23</v>
      </c>
      <c r="H472" s="5" t="s">
        <v>23</v>
      </c>
      <c r="I472" s="5" t="s">
        <v>23</v>
      </c>
      <c r="J472" s="5" t="s">
        <v>23</v>
      </c>
      <c r="K472" s="5" t="s">
        <v>23</v>
      </c>
      <c r="L472" s="8">
        <f>IF(OR(LOOKUP(A472,characters!A:A,characters!B:B)=-1, LOOKUP(A472,characters!A:A,characters!B:B)+0.1&gt;=B472),1,0)</f>
        <v/>
      </c>
    </row>
    <row r="473" spans="1:12">
      <c r="A473" s="4" t="s">
        <v>24</v>
      </c>
      <c r="B473" s="7">
        <v>2</v>
      </c>
      <c r="C473" s="6">
        <f>IF(L473=1,1.0,0)</f>
        <v/>
      </c>
      <c r="D473" s="6">
        <f>IF(L473=1,0.9,0)</f>
        <v/>
      </c>
      <c r="E473" s="6">
        <f>IF(L473=1,0.9,0)</f>
        <v/>
      </c>
      <c r="F473" s="6">
        <f>IF(L473=1,0.8,0)</f>
        <v/>
      </c>
      <c r="G473" s="5" t="s">
        <v>23</v>
      </c>
      <c r="H473" s="5" t="s">
        <v>23</v>
      </c>
      <c r="I473" s="5" t="s">
        <v>23</v>
      </c>
      <c r="J473" s="5" t="s">
        <v>23</v>
      </c>
      <c r="K473" s="5" t="s">
        <v>23</v>
      </c>
      <c r="L473" s="8">
        <f>IF(OR(LOOKUP(A473,characters!A:A,characters!B:B)=-1, LOOKUP(A473,characters!A:A,characters!B:B)+0.1&gt;=B473),1,0)</f>
        <v/>
      </c>
    </row>
    <row r="474" spans="1:12">
      <c r="A474" s="4" t="s">
        <v>32</v>
      </c>
      <c r="B474" s="7">
        <v>2</v>
      </c>
      <c r="C474" s="6">
        <f>IF(L474=1,1.0,0)</f>
        <v/>
      </c>
      <c r="D474" s="6">
        <f>IF(L474=1,0.9,0)</f>
        <v/>
      </c>
      <c r="E474" s="6">
        <f>IF(L474=1,0.9,0)</f>
        <v/>
      </c>
      <c r="F474" s="6">
        <f>IF(L474=1,0.8,0)</f>
        <v/>
      </c>
      <c r="G474" s="5" t="s">
        <v>23</v>
      </c>
      <c r="H474" s="5" t="s">
        <v>23</v>
      </c>
      <c r="I474" s="5" t="s">
        <v>23</v>
      </c>
      <c r="J474" s="5" t="s">
        <v>23</v>
      </c>
      <c r="K474" s="6">
        <f>IF(L474=1,0.8,0)</f>
        <v/>
      </c>
      <c r="L474" s="8">
        <f>IF(OR(LOOKUP(A474,characters!A:A,characters!B:B)=-1, LOOKUP(A474,characters!A:A,characters!B:B)+0.1&gt;=B474),1,0)</f>
        <v/>
      </c>
    </row>
    <row r="475" spans="1:12">
      <c r="A475" s="4" t="s">
        <v>41</v>
      </c>
      <c r="B475" s="7">
        <v>2</v>
      </c>
      <c r="C475" s="6">
        <f>IF(L475=1,0.99,0)</f>
        <v/>
      </c>
      <c r="D475" s="5" t="s">
        <v>23</v>
      </c>
      <c r="E475" s="5" t="s">
        <v>23</v>
      </c>
      <c r="F475" s="5" t="s">
        <v>23</v>
      </c>
      <c r="G475" s="6">
        <f>IF(L475=1,1.0,0)</f>
        <v/>
      </c>
      <c r="H475" s="5" t="s">
        <v>23</v>
      </c>
      <c r="I475" s="6">
        <f>IF(L475=1,0.89,0)</f>
        <v/>
      </c>
      <c r="J475" s="6">
        <f>IF(L475=1,0.89,0)</f>
        <v/>
      </c>
      <c r="K475" s="5" t="s">
        <v>23</v>
      </c>
      <c r="L475" s="8">
        <f>IF(OR(LOOKUP(A475,characters!A:A,characters!B:B)=-1, LOOKUP(A475,characters!A:A,characters!B:B)+0.1&gt;=B475),1,0)</f>
        <v/>
      </c>
    </row>
    <row r="476" spans="1:12">
      <c r="A476" s="4" t="s">
        <v>45</v>
      </c>
      <c r="B476" s="7">
        <v>2</v>
      </c>
      <c r="C476" s="6">
        <f>IF(L476=1,1.0,0)</f>
        <v/>
      </c>
      <c r="D476" s="6">
        <f>IF(L476=1,0.9,0)</f>
        <v/>
      </c>
      <c r="E476" s="6">
        <f>IF(L476=1,0.9,0)</f>
        <v/>
      </c>
      <c r="F476" s="6">
        <f>IF(L476=1,0.8,0)</f>
        <v/>
      </c>
      <c r="G476" s="6">
        <f>IF(L476=1,1.0,0)</f>
        <v/>
      </c>
      <c r="H476" s="5" t="s">
        <v>23</v>
      </c>
      <c r="I476" s="5" t="s">
        <v>23</v>
      </c>
      <c r="J476" s="5" t="s">
        <v>23</v>
      </c>
      <c r="K476" s="5" t="s">
        <v>23</v>
      </c>
      <c r="L476" s="8">
        <f>IF(OR(LOOKUP(A476,characters!A:A,characters!B:B)=-1, LOOKUP(A476,characters!A:A,characters!B:B)+0.1&gt;=B476),1,0)</f>
        <v/>
      </c>
    </row>
    <row r="478" spans="1:12">
      <c r="A478" s="3" t="s">
        <v>49</v>
      </c>
      <c r="B478" s="3" t="s">
        <v>9</v>
      </c>
      <c r="C478" s="3" t="s">
        <v>13</v>
      </c>
      <c r="D478" s="3" t="s">
        <v>12</v>
      </c>
      <c r="E478" s="3" t="s">
        <v>19</v>
      </c>
      <c r="F478" s="3" t="s">
        <v>51</v>
      </c>
      <c r="G478" s="3" t="s">
        <v>17</v>
      </c>
      <c r="H478" s="3" t="s">
        <v>21</v>
      </c>
    </row>
    <row r="479" spans="1:12">
      <c r="A479" s="4" t="s">
        <v>22</v>
      </c>
      <c r="B479" s="5" t="s">
        <v>23</v>
      </c>
      <c r="C479" s="6">
        <f>IF(SUM(I480:I486)=0,0,SUM(C480:C486)/SUM(I480:I486))</f>
        <v/>
      </c>
      <c r="D479" s="6">
        <f>IF(SUM(I480:I486)=0,0,SUM(D480:D486)/SUM(I480:I486))</f>
        <v/>
      </c>
      <c r="E479" s="6">
        <f>IF(SUM(I480:I486)=0,0,SUM(E480:E486)/SUM(I480:I486))</f>
        <v/>
      </c>
      <c r="F479" s="6">
        <f>IF(SUM(I480:I486)=0,0,SUM(F480:F486)/SUM(I480:I486))</f>
        <v/>
      </c>
      <c r="G479" s="6">
        <f>IF(SUM(I480:I486)=0,0,SUM(G480:G486)/SUM(I480:I486))</f>
        <v/>
      </c>
      <c r="H479" s="6">
        <f>IF(SUM(I480:I486)=0,0,SUM(H480:H486)/SUM(I480:I486))</f>
        <v/>
      </c>
    </row>
    <row r="480" spans="1:12">
      <c r="A480" s="4" t="s">
        <v>24</v>
      </c>
      <c r="B480" s="7">
        <v>2</v>
      </c>
      <c r="C480" s="6">
        <f>IF(I480=1,1.0,0)</f>
        <v/>
      </c>
      <c r="D480" s="6">
        <f>IF(I480=1,0.9,0)</f>
        <v/>
      </c>
      <c r="E480" s="5" t="s">
        <v>23</v>
      </c>
      <c r="F480" s="5" t="s">
        <v>23</v>
      </c>
      <c r="G480" s="5" t="s">
        <v>23</v>
      </c>
      <c r="H480" s="5" t="s">
        <v>23</v>
      </c>
      <c r="I480" s="8">
        <f>IF(OR(LOOKUP(A480,characters!A:A,characters!B:B)=-1, LOOKUP(A480,characters!A:A,characters!B:B)+0.1&gt;=B480),1,0)</f>
        <v/>
      </c>
    </row>
    <row r="481" spans="1:9">
      <c r="A481" s="4" t="s">
        <v>27</v>
      </c>
      <c r="B481" s="7">
        <v>0</v>
      </c>
      <c r="C481" s="5" t="s">
        <v>23</v>
      </c>
      <c r="D481" s="5" t="s">
        <v>23</v>
      </c>
      <c r="E481" s="6">
        <f>IF(I481=1,1.0,0)</f>
        <v/>
      </c>
      <c r="F481" s="5" t="s">
        <v>23</v>
      </c>
      <c r="G481" s="5" t="s">
        <v>23</v>
      </c>
      <c r="H481" s="5" t="s">
        <v>23</v>
      </c>
      <c r="I481" s="8">
        <f>IF(OR(LOOKUP(A481,characters!A:A,characters!B:B)=-1, LOOKUP(A481,characters!A:A,characters!B:B)+0.1&gt;=B481),1,0)</f>
        <v/>
      </c>
    </row>
    <row r="482" spans="1:9">
      <c r="A482" s="4" t="s">
        <v>32</v>
      </c>
      <c r="B482" s="7">
        <v>2</v>
      </c>
      <c r="C482" s="6">
        <f>IF(I482=1,1.0,0)</f>
        <v/>
      </c>
      <c r="D482" s="6">
        <f>IF(I482=1,0.9,0)</f>
        <v/>
      </c>
      <c r="E482" s="5" t="s">
        <v>23</v>
      </c>
      <c r="F482" s="5" t="s">
        <v>23</v>
      </c>
      <c r="G482" s="5" t="s">
        <v>23</v>
      </c>
      <c r="H482" s="5" t="s">
        <v>23</v>
      </c>
      <c r="I482" s="8">
        <f>IF(OR(LOOKUP(A482,characters!A:A,characters!B:B)=-1, LOOKUP(A482,characters!A:A,characters!B:B)+0.1&gt;=B482),1,0)</f>
        <v/>
      </c>
    </row>
    <row r="483" spans="1:9">
      <c r="A483" s="4" t="s">
        <v>41</v>
      </c>
      <c r="B483" s="7">
        <v>2</v>
      </c>
      <c r="C483" s="5" t="s">
        <v>23</v>
      </c>
      <c r="D483" s="5" t="s">
        <v>23</v>
      </c>
      <c r="E483" s="5" t="s">
        <v>23</v>
      </c>
      <c r="F483" s="6">
        <f>IF(I483=1,1.0,0)</f>
        <v/>
      </c>
      <c r="G483" s="5" t="s">
        <v>23</v>
      </c>
      <c r="H483" s="5" t="s">
        <v>23</v>
      </c>
      <c r="I483" s="8">
        <f>IF(OR(LOOKUP(A483,characters!A:A,characters!B:B)=-1, LOOKUP(A483,characters!A:A,characters!B:B)+0.1&gt;=B483),1,0)</f>
        <v/>
      </c>
    </row>
    <row r="484" spans="1:9">
      <c r="A484" s="4" t="s">
        <v>44</v>
      </c>
      <c r="B484" s="7">
        <v>1</v>
      </c>
      <c r="C484" s="5" t="s">
        <v>23</v>
      </c>
      <c r="D484" s="5" t="s">
        <v>23</v>
      </c>
      <c r="E484" s="6">
        <f>IF(I484=1,1.0,0)</f>
        <v/>
      </c>
      <c r="F484" s="5" t="s">
        <v>23</v>
      </c>
      <c r="G484" s="5" t="s">
        <v>23</v>
      </c>
      <c r="H484" s="5" t="s">
        <v>23</v>
      </c>
      <c r="I484" s="8">
        <f>IF(OR(LOOKUP(A484,characters!A:A,characters!B:B)=-1, LOOKUP(A484,characters!A:A,characters!B:B)+0.1&gt;=B484),1,0)</f>
        <v/>
      </c>
    </row>
    <row r="485" spans="1:9">
      <c r="A485" s="4" t="s">
        <v>45</v>
      </c>
      <c r="B485" s="7">
        <v>2</v>
      </c>
      <c r="C485" s="6">
        <f>IF(I485=1,0.9,0)</f>
        <v/>
      </c>
      <c r="D485" s="5" t="s">
        <v>23</v>
      </c>
      <c r="E485" s="5" t="s">
        <v>23</v>
      </c>
      <c r="F485" s="5" t="s">
        <v>23</v>
      </c>
      <c r="G485" s="6">
        <f>IF(I485=1,1.0,0)</f>
        <v/>
      </c>
      <c r="H485" s="5" t="s">
        <v>23</v>
      </c>
      <c r="I485" s="8">
        <f>IF(OR(LOOKUP(A485,characters!A:A,characters!B:B)=-1, LOOKUP(A485,characters!A:A,characters!B:B)+0.1&gt;=B485),1,0)</f>
        <v/>
      </c>
    </row>
    <row r="486" spans="1:9">
      <c r="A486" s="4" t="s">
        <v>48</v>
      </c>
      <c r="B486" s="7">
        <v>1</v>
      </c>
      <c r="C486" s="5" t="s">
        <v>23</v>
      </c>
      <c r="D486" s="5" t="s">
        <v>23</v>
      </c>
      <c r="E486" s="6">
        <f>IF(I486=1,0.99,0)</f>
        <v/>
      </c>
      <c r="F486" s="5" t="s">
        <v>23</v>
      </c>
      <c r="G486" s="5" t="s">
        <v>23</v>
      </c>
      <c r="H486" s="6">
        <f>IF(I486=1,1.0,0)</f>
        <v/>
      </c>
      <c r="I486" s="8">
        <f>IF(OR(LOOKUP(A486,characters!A:A,characters!B:B)=-1, LOOKUP(A486,characters!A:A,characters!B:B)+0.1&gt;=B486),1,0)</f>
        <v/>
      </c>
    </row>
    <row r="488" spans="1:9">
      <c r="A488" s="3" t="s">
        <v>52</v>
      </c>
      <c r="B488" s="3" t="s">
        <v>9</v>
      </c>
      <c r="C488" s="3" t="s">
        <v>10</v>
      </c>
      <c r="D488" s="3" t="s">
        <v>17</v>
      </c>
    </row>
    <row r="489" spans="1:9">
      <c r="A489" s="4" t="s">
        <v>22</v>
      </c>
      <c r="B489" s="5" t="s">
        <v>23</v>
      </c>
      <c r="C489" s="6">
        <f>IF(SUM(E490:E496)=0,0,SUM(C490:C496)/SUM(E490:E496))</f>
        <v/>
      </c>
      <c r="D489" s="6">
        <f>IF(SUM(E490:E496)=0,0,SUM(D490:D496)/SUM(E490:E496))</f>
        <v/>
      </c>
    </row>
    <row r="490" spans="1:9">
      <c r="A490" s="4" t="s">
        <v>24</v>
      </c>
      <c r="B490" s="7">
        <v>2</v>
      </c>
      <c r="C490" s="6">
        <f>IF(E490=1,1.0,0)</f>
        <v/>
      </c>
      <c r="D490" s="5" t="s">
        <v>23</v>
      </c>
      <c r="E490" s="8">
        <f>IF(OR(LOOKUP(A490,characters!A:A,characters!B:B)=-1, LOOKUP(A490,characters!A:A,characters!B:B)+0.1&gt;=B490),1,0)</f>
        <v/>
      </c>
    </row>
    <row r="491" spans="1:9">
      <c r="A491" s="4" t="s">
        <v>27</v>
      </c>
      <c r="B491" s="7">
        <v>0</v>
      </c>
      <c r="C491" s="6">
        <f>IF(E491=1,1.0,0)</f>
        <v/>
      </c>
      <c r="D491" s="5" t="s">
        <v>23</v>
      </c>
      <c r="E491" s="8">
        <f>IF(OR(LOOKUP(A491,characters!A:A,characters!B:B)=-1, LOOKUP(A491,characters!A:A,characters!B:B)+0.1&gt;=B491),1,0)</f>
        <v/>
      </c>
    </row>
    <row r="492" spans="1:9">
      <c r="A492" s="4" t="s">
        <v>32</v>
      </c>
      <c r="B492" s="7">
        <v>2</v>
      </c>
      <c r="C492" s="6">
        <f>IF(E492=1,1.0,0)</f>
        <v/>
      </c>
      <c r="D492" s="5" t="s">
        <v>23</v>
      </c>
      <c r="E492" s="8">
        <f>IF(OR(LOOKUP(A492,characters!A:A,characters!B:B)=-1, LOOKUP(A492,characters!A:A,characters!B:B)+0.1&gt;=B492),1,0)</f>
        <v/>
      </c>
    </row>
    <row r="493" spans="1:9">
      <c r="A493" s="4" t="s">
        <v>41</v>
      </c>
      <c r="B493" s="7">
        <v>2</v>
      </c>
      <c r="C493" s="5" t="s">
        <v>23</v>
      </c>
      <c r="D493" s="6">
        <f>IF(E493=1,1.0,0)</f>
        <v/>
      </c>
      <c r="E493" s="8">
        <f>IF(OR(LOOKUP(A493,characters!A:A,characters!B:B)=-1, LOOKUP(A493,characters!A:A,characters!B:B)+0.1&gt;=B493),1,0)</f>
        <v/>
      </c>
    </row>
    <row r="494" spans="1:9">
      <c r="A494" s="4" t="s">
        <v>44</v>
      </c>
      <c r="B494" s="7">
        <v>1</v>
      </c>
      <c r="C494" s="6">
        <f>IF(E494=1,1.0,0)</f>
        <v/>
      </c>
      <c r="D494" s="5" t="s">
        <v>23</v>
      </c>
      <c r="E494" s="8">
        <f>IF(OR(LOOKUP(A494,characters!A:A,characters!B:B)=-1, LOOKUP(A494,characters!A:A,characters!B:B)+0.1&gt;=B494),1,0)</f>
        <v/>
      </c>
    </row>
    <row r="495" spans="1:9">
      <c r="A495" s="4" t="s">
        <v>45</v>
      </c>
      <c r="B495" s="7">
        <v>2</v>
      </c>
      <c r="C495" s="6">
        <f>IF(E495=1,1.0,0)</f>
        <v/>
      </c>
      <c r="D495" s="5" t="s">
        <v>23</v>
      </c>
      <c r="E495" s="8">
        <f>IF(OR(LOOKUP(A495,characters!A:A,characters!B:B)=-1, LOOKUP(A495,characters!A:A,characters!B:B)+0.1&gt;=B495),1,0)</f>
        <v/>
      </c>
    </row>
    <row r="496" spans="1:9">
      <c r="A496" s="4" t="s">
        <v>48</v>
      </c>
      <c r="B496" s="7">
        <v>1</v>
      </c>
      <c r="C496" s="6">
        <f>IF(E496=1,1.0,0)</f>
        <v/>
      </c>
      <c r="D496" s="6">
        <f>IF(E496=1,0.99,0)</f>
        <v/>
      </c>
      <c r="E496" s="8">
        <f>IF(OR(LOOKUP(A496,characters!A:A,characters!B:B)=-1, LOOKUP(A496,characters!A:A,characters!B:B)+0.1&gt;=B496),1,0)</f>
        <v/>
      </c>
    </row>
    <row r="503" spans="1:9">
      <c r="A503" s="3" t="s">
        <v>71</v>
      </c>
    </row>
    <row r="504" spans="1:9">
      <c r="A504" s="3" t="s">
        <v>8</v>
      </c>
      <c r="B504" s="3" t="s">
        <v>9</v>
      </c>
      <c r="C504" s="3" t="s">
        <v>10</v>
      </c>
      <c r="D504" s="3" t="s">
        <v>17</v>
      </c>
      <c r="E504" s="3" t="s">
        <v>21</v>
      </c>
      <c r="F504" s="3" t="s">
        <v>19</v>
      </c>
      <c r="G504" s="3" t="s">
        <v>18</v>
      </c>
      <c r="H504" s="3" t="s">
        <v>16</v>
      </c>
    </row>
    <row r="505" spans="1:9">
      <c r="A505" s="4" t="s">
        <v>22</v>
      </c>
      <c r="B505" s="5" t="s">
        <v>23</v>
      </c>
      <c r="C505" s="6">
        <f>IF(SUM(I506:I510)=0,0,SUM(C506:C510)/SUM(I506:I510))</f>
        <v/>
      </c>
      <c r="D505" s="6">
        <f>IF(SUM(I506:I510)=0,0,SUM(D506:D510)/SUM(I506:I510))</f>
        <v/>
      </c>
      <c r="E505" s="6">
        <f>IF(SUM(I506:I510)=0,0,SUM(E506:E510)/SUM(I506:I510))</f>
        <v/>
      </c>
      <c r="F505" s="6">
        <f>IF(SUM(I506:I510)=0,0,SUM(F506:F510)/SUM(I506:I510))</f>
        <v/>
      </c>
      <c r="G505" s="6">
        <f>IF(SUM(I506:I510)=0,0,SUM(G506:G510)/SUM(I506:I510))</f>
        <v/>
      </c>
      <c r="H505" s="6">
        <f>IF(SUM(I506:I510)=0,0,SUM(H506:H510)/SUM(I506:I510))</f>
        <v/>
      </c>
    </row>
    <row r="506" spans="1:9">
      <c r="A506" s="4" t="s">
        <v>72</v>
      </c>
      <c r="B506" s="7">
        <v>0</v>
      </c>
      <c r="C506" s="6">
        <f>IF(I506=1,1.0,0)</f>
        <v/>
      </c>
      <c r="D506" s="6">
        <f>IF(I506=1,0.9,0)</f>
        <v/>
      </c>
      <c r="E506" s="6">
        <f>IF(I506=1,1.0,0)</f>
        <v/>
      </c>
      <c r="F506" s="6">
        <f>IF(I506=1,1.0,0)</f>
        <v/>
      </c>
      <c r="G506" s="5" t="s">
        <v>23</v>
      </c>
      <c r="H506" s="5" t="s">
        <v>23</v>
      </c>
      <c r="I506" s="8">
        <f>IF(OR(LOOKUP(A506,characters!A:A,characters!B:B)=-1, LOOKUP(A506,characters!A:A,characters!B:B)+0.1&gt;=B506),1,0)</f>
        <v/>
      </c>
    </row>
    <row r="507" spans="1:9">
      <c r="A507" s="4" t="s">
        <v>73</v>
      </c>
      <c r="B507" s="7">
        <v>0</v>
      </c>
      <c r="C507" s="6">
        <f>IF(I507=1,1.0,0)</f>
        <v/>
      </c>
      <c r="D507" s="6">
        <f>IF(I507=1,0.79,0)</f>
        <v/>
      </c>
      <c r="E507" s="6">
        <f>IF(I507=1,0.89,0)</f>
        <v/>
      </c>
      <c r="F507" s="6">
        <f>IF(I507=1,0.89,0)</f>
        <v/>
      </c>
      <c r="G507" s="6">
        <f>IF(I507=1,0.9,0)</f>
        <v/>
      </c>
      <c r="H507" s="5" t="s">
        <v>23</v>
      </c>
      <c r="I507" s="8">
        <f>IF(OR(LOOKUP(A507,characters!A:A,characters!B:B)=-1, LOOKUP(A507,characters!A:A,characters!B:B)+0.1&gt;=B507),1,0)</f>
        <v/>
      </c>
    </row>
    <row r="508" spans="1:9">
      <c r="A508" s="4" t="s">
        <v>74</v>
      </c>
      <c r="B508" s="7">
        <v>0</v>
      </c>
      <c r="C508" s="6">
        <f>IF(I508=1,1.0,0)</f>
        <v/>
      </c>
      <c r="D508" s="6">
        <f>IF(I508=1,0.79,0)</f>
        <v/>
      </c>
      <c r="E508" s="6">
        <f>IF(I508=1,0.89,0)</f>
        <v/>
      </c>
      <c r="F508" s="6">
        <f>IF(I508=1,0.89,0)</f>
        <v/>
      </c>
      <c r="G508" s="6">
        <f>IF(I508=1,0.9,0)</f>
        <v/>
      </c>
      <c r="H508" s="5" t="s">
        <v>23</v>
      </c>
      <c r="I508" s="8">
        <f>IF(OR(LOOKUP(A508,characters!A:A,characters!B:B)=-1, LOOKUP(A508,characters!A:A,characters!B:B)+0.1&gt;=B508),1,0)</f>
        <v/>
      </c>
    </row>
    <row r="509" spans="1:9">
      <c r="A509" s="4" t="s">
        <v>75</v>
      </c>
      <c r="B509" s="7">
        <v>1</v>
      </c>
      <c r="C509" s="6">
        <f>IF(I509=1,1.0,0)</f>
        <v/>
      </c>
      <c r="D509" s="6">
        <f>IF(I509=1,0.8,0)</f>
        <v/>
      </c>
      <c r="E509" s="6">
        <f>IF(I509=1,0.9,0)</f>
        <v/>
      </c>
      <c r="F509" s="6">
        <f>IF(I509=1,0.9,0)</f>
        <v/>
      </c>
      <c r="G509" s="5" t="s">
        <v>23</v>
      </c>
      <c r="H509" s="5" t="s">
        <v>23</v>
      </c>
      <c r="I509" s="8">
        <f>IF(OR(LOOKUP(A509,characters!A:A,characters!B:B)=-1, LOOKUP(A509,characters!A:A,characters!B:B)+0.1&gt;=B509),1,0)</f>
        <v/>
      </c>
    </row>
    <row r="510" spans="1:9">
      <c r="A510" s="4" t="s">
        <v>76</v>
      </c>
      <c r="B510" s="7">
        <v>2</v>
      </c>
      <c r="C510" s="6">
        <f>IF(I510=1,1.0,0)</f>
        <v/>
      </c>
      <c r="D510" s="6">
        <f>IF(I510=1,0.89,0)</f>
        <v/>
      </c>
      <c r="E510" s="5" t="s">
        <v>23</v>
      </c>
      <c r="F510" s="5" t="s">
        <v>23</v>
      </c>
      <c r="G510" s="6">
        <f>IF(I510=1,0.9,0)</f>
        <v/>
      </c>
      <c r="H510" s="6">
        <f>IF(I510=1,1.0,0)</f>
        <v/>
      </c>
      <c r="I510" s="8">
        <f>IF(OR(LOOKUP(A510,characters!A:A,characters!B:B)=-1, LOOKUP(A510,characters!A:A,characters!B:B)+0.1&gt;=B510),1,0)</f>
        <v/>
      </c>
    </row>
    <row r="512" spans="1:9">
      <c r="A512" s="3" t="s">
        <v>49</v>
      </c>
      <c r="B512" s="3" t="s">
        <v>9</v>
      </c>
      <c r="C512" s="3" t="s">
        <v>21</v>
      </c>
      <c r="D512" s="3" t="s">
        <v>19</v>
      </c>
      <c r="E512" s="3" t="s">
        <v>16</v>
      </c>
      <c r="F512" s="3" t="s">
        <v>17</v>
      </c>
    </row>
    <row r="513" spans="1:7">
      <c r="A513" s="4" t="s">
        <v>22</v>
      </c>
      <c r="B513" s="5" t="s">
        <v>23</v>
      </c>
      <c r="C513" s="6">
        <f>IF(SUM(G514:G518)=0,0,SUM(C514:C518)/SUM(G514:G518))</f>
        <v/>
      </c>
      <c r="D513" s="6">
        <f>IF(SUM(G514:G518)=0,0,SUM(D514:D518)/SUM(G514:G518))</f>
        <v/>
      </c>
      <c r="E513" s="6">
        <f>IF(SUM(G514:G518)=0,0,SUM(E514:E518)/SUM(G514:G518))</f>
        <v/>
      </c>
      <c r="F513" s="6">
        <f>IF(SUM(G514:G518)=0,0,SUM(F514:F518)/SUM(G514:G518))</f>
        <v/>
      </c>
    </row>
    <row r="514" spans="1:7">
      <c r="A514" s="4" t="s">
        <v>75</v>
      </c>
      <c r="B514" s="7">
        <v>1</v>
      </c>
      <c r="C514" s="6">
        <f>IF(G514=1,1.0,0)</f>
        <v/>
      </c>
      <c r="D514" s="6">
        <f>IF(G514=1,0.99,0)</f>
        <v/>
      </c>
      <c r="E514" s="5" t="s">
        <v>23</v>
      </c>
      <c r="F514" s="5" t="s">
        <v>23</v>
      </c>
      <c r="G514" s="8">
        <f>IF(OR(LOOKUP(A514,characters!A:A,characters!B:B)=-1, LOOKUP(A514,characters!A:A,characters!B:B)+0.1&gt;=B514),1,0)</f>
        <v/>
      </c>
    </row>
    <row r="515" spans="1:7">
      <c r="A515" s="4" t="s">
        <v>72</v>
      </c>
      <c r="B515" s="7">
        <v>0</v>
      </c>
      <c r="C515" s="6">
        <f>IF(G515=1,1.0,0)</f>
        <v/>
      </c>
      <c r="D515" s="6">
        <f>IF(G515=1,0.99,0)</f>
        <v/>
      </c>
      <c r="E515" s="5" t="s">
        <v>23</v>
      </c>
      <c r="F515" s="5" t="s">
        <v>23</v>
      </c>
      <c r="G515" s="8">
        <f>IF(OR(LOOKUP(A515,characters!A:A,characters!B:B)=-1, LOOKUP(A515,characters!A:A,characters!B:B)+0.1&gt;=B515),1,0)</f>
        <v/>
      </c>
    </row>
    <row r="516" spans="1:7">
      <c r="A516" s="4" t="s">
        <v>76</v>
      </c>
      <c r="B516" s="7">
        <v>2</v>
      </c>
      <c r="C516" s="5" t="s">
        <v>23</v>
      </c>
      <c r="D516" s="5" t="s">
        <v>23</v>
      </c>
      <c r="E516" s="6">
        <f>IF(G516=1,1.0,0)</f>
        <v/>
      </c>
      <c r="F516" s="6">
        <f>IF(G516=1,0.9,0)</f>
        <v/>
      </c>
      <c r="G516" s="8">
        <f>IF(OR(LOOKUP(A516,characters!A:A,characters!B:B)=-1, LOOKUP(A516,characters!A:A,characters!B:B)+0.1&gt;=B516),1,0)</f>
        <v/>
      </c>
    </row>
    <row r="517" spans="1:7">
      <c r="A517" s="4" t="s">
        <v>73</v>
      </c>
      <c r="B517" s="7">
        <v>0</v>
      </c>
      <c r="C517" s="6">
        <f>IF(G517=1,1.0,0)</f>
        <v/>
      </c>
      <c r="D517" s="6">
        <f>IF(G517=1,0.99,0)</f>
        <v/>
      </c>
      <c r="E517" s="5" t="s">
        <v>23</v>
      </c>
      <c r="F517" s="5" t="s">
        <v>23</v>
      </c>
      <c r="G517" s="8">
        <f>IF(OR(LOOKUP(A517,characters!A:A,characters!B:B)=-1, LOOKUP(A517,characters!A:A,characters!B:B)+0.1&gt;=B517),1,0)</f>
        <v/>
      </c>
    </row>
    <row r="518" spans="1:7">
      <c r="A518" s="4" t="s">
        <v>74</v>
      </c>
      <c r="B518" s="7">
        <v>0</v>
      </c>
      <c r="C518" s="6">
        <f>IF(G518=1,1.0,0)</f>
        <v/>
      </c>
      <c r="D518" s="6">
        <f>IF(G518=1,0.99,0)</f>
        <v/>
      </c>
      <c r="E518" s="5" t="s">
        <v>23</v>
      </c>
      <c r="F518" s="5" t="s">
        <v>23</v>
      </c>
      <c r="G518" s="8">
        <f>IF(OR(LOOKUP(A518,characters!A:A,characters!B:B)=-1, LOOKUP(A518,characters!A:A,characters!B:B)+0.1&gt;=B518),1,0)</f>
        <v/>
      </c>
    </row>
    <row r="520" spans="1:7">
      <c r="A520" s="3" t="s">
        <v>52</v>
      </c>
      <c r="B520" s="3" t="s">
        <v>9</v>
      </c>
      <c r="C520" s="3" t="s">
        <v>17</v>
      </c>
      <c r="D520" s="3" t="s">
        <v>10</v>
      </c>
    </row>
    <row r="521" spans="1:7">
      <c r="A521" s="4" t="s">
        <v>22</v>
      </c>
      <c r="B521" s="5" t="s">
        <v>23</v>
      </c>
      <c r="C521" s="6">
        <f>IF(SUM(E522:E526)=0,0,SUM(C522:C526)/SUM(E522:E526))</f>
        <v/>
      </c>
      <c r="D521" s="6">
        <f>IF(SUM(E522:E526)=0,0,SUM(D522:D526)/SUM(E522:E526))</f>
        <v/>
      </c>
    </row>
    <row r="522" spans="1:7">
      <c r="A522" s="4" t="s">
        <v>75</v>
      </c>
      <c r="B522" s="7">
        <v>1</v>
      </c>
      <c r="C522" s="6">
        <f>IF(E522=1,1.0,0)</f>
        <v/>
      </c>
      <c r="D522" s="6">
        <f>IF(E522=1,0.99,0)</f>
        <v/>
      </c>
      <c r="E522" s="8">
        <f>IF(OR(LOOKUP(A522,characters!A:A,characters!B:B)=-1, LOOKUP(A522,characters!A:A,characters!B:B)+0.1&gt;=B522),1,0)</f>
        <v/>
      </c>
    </row>
    <row r="523" spans="1:7">
      <c r="A523" s="4" t="s">
        <v>72</v>
      </c>
      <c r="B523" s="7">
        <v>0</v>
      </c>
      <c r="C523" s="6">
        <f>IF(E523=1,1.0,0)</f>
        <v/>
      </c>
      <c r="D523" s="5" t="s">
        <v>23</v>
      </c>
      <c r="E523" s="8">
        <f>IF(OR(LOOKUP(A523,characters!A:A,characters!B:B)=-1, LOOKUP(A523,characters!A:A,characters!B:B)+0.1&gt;=B523),1,0)</f>
        <v/>
      </c>
    </row>
    <row r="524" spans="1:7">
      <c r="A524" s="4" t="s">
        <v>76</v>
      </c>
      <c r="B524" s="7">
        <v>2</v>
      </c>
      <c r="C524" s="5" t="s">
        <v>23</v>
      </c>
      <c r="D524" s="6">
        <f>IF(E524=1,1.0,0)</f>
        <v/>
      </c>
      <c r="E524" s="8">
        <f>IF(OR(LOOKUP(A524,characters!A:A,characters!B:B)=-1, LOOKUP(A524,characters!A:A,characters!B:B)+0.1&gt;=B524),1,0)</f>
        <v/>
      </c>
    </row>
    <row r="525" spans="1:7">
      <c r="A525" s="4" t="s">
        <v>73</v>
      </c>
      <c r="B525" s="7">
        <v>0</v>
      </c>
      <c r="C525" s="6">
        <f>IF(E525=1,0.99,0)</f>
        <v/>
      </c>
      <c r="D525" s="6">
        <f>IF(E525=1,1.0,0)</f>
        <v/>
      </c>
      <c r="E525" s="8">
        <f>IF(OR(LOOKUP(A525,characters!A:A,characters!B:B)=-1, LOOKUP(A525,characters!A:A,characters!B:B)+0.1&gt;=B525),1,0)</f>
        <v/>
      </c>
    </row>
    <row r="526" spans="1:7">
      <c r="A526" s="4" t="s">
        <v>74</v>
      </c>
      <c r="B526" s="7">
        <v>0</v>
      </c>
      <c r="C526" s="6">
        <f>IF(E526=1,0.99,0)</f>
        <v/>
      </c>
      <c r="D526" s="6">
        <f>IF(E526=1,1.0,0)</f>
        <v/>
      </c>
      <c r="E526" s="8">
        <f>IF(OR(LOOKUP(A526,characters!A:A,characters!B:B)=-1, LOOKUP(A526,characters!A:A,characters!B:B)+0.1&gt;=B526),1,0)</f>
        <v/>
      </c>
    </row>
    <row r="533" spans="1:8">
      <c r="A533" s="3" t="s">
        <v>77</v>
      </c>
    </row>
    <row r="534" spans="1:8">
      <c r="A534" s="3" t="s">
        <v>8</v>
      </c>
      <c r="B534" s="3" t="s">
        <v>9</v>
      </c>
      <c r="C534" s="3" t="s">
        <v>12</v>
      </c>
      <c r="D534" s="3" t="s">
        <v>10</v>
      </c>
      <c r="E534" s="3" t="s">
        <v>19</v>
      </c>
      <c r="F534" s="3" t="s">
        <v>21</v>
      </c>
      <c r="G534" s="3" t="s">
        <v>11</v>
      </c>
    </row>
    <row r="535" spans="1:8">
      <c r="A535" s="4" t="s">
        <v>22</v>
      </c>
      <c r="B535" s="5" t="s">
        <v>23</v>
      </c>
      <c r="C535" s="6">
        <f>IF(SUM(H536)=0,0,SUM(C536)/SUM(H536))</f>
        <v/>
      </c>
      <c r="D535" s="6">
        <f>IF(SUM(H536)=0,0,SUM(D536)/SUM(H536))</f>
        <v/>
      </c>
      <c r="E535" s="6">
        <f>IF(SUM(H536)=0,0,SUM(E536)/SUM(H536))</f>
        <v/>
      </c>
      <c r="F535" s="6">
        <f>IF(SUM(H536)=0,0,SUM(F536)/SUM(H536))</f>
        <v/>
      </c>
      <c r="G535" s="6">
        <f>IF(SUM(H536)=0,0,SUM(G536)/SUM(H536))</f>
        <v/>
      </c>
    </row>
    <row r="536" spans="1:8">
      <c r="A536" s="4" t="s">
        <v>25</v>
      </c>
      <c r="B536" s="7">
        <v>3</v>
      </c>
      <c r="C536" s="6">
        <f>IF(H536=1,1.0,0)</f>
        <v/>
      </c>
      <c r="D536" s="6">
        <f>IF(H536=1,0.99,0)</f>
        <v/>
      </c>
      <c r="E536" s="6">
        <f>IF(H536=1,0.89,0)</f>
        <v/>
      </c>
      <c r="F536" s="6">
        <f>IF(H536=1,0.79,0)</f>
        <v/>
      </c>
      <c r="G536" s="6">
        <f>IF(H536=1,0.69,0)</f>
        <v/>
      </c>
      <c r="H536" s="8">
        <f>IF(OR(LOOKUP(A536,characters!A:A,characters!B:B)=-1, LOOKUP(A536,characters!A:A,characters!B:B)+0.1&gt;=B536),1,0)</f>
        <v/>
      </c>
    </row>
    <row r="538" spans="1:8">
      <c r="A538" s="3" t="s">
        <v>49</v>
      </c>
      <c r="B538" s="3" t="s">
        <v>9</v>
      </c>
      <c r="C538" s="3" t="s">
        <v>12</v>
      </c>
      <c r="D538" s="3" t="s">
        <v>19</v>
      </c>
    </row>
    <row r="539" spans="1:8">
      <c r="A539" s="4" t="s">
        <v>22</v>
      </c>
      <c r="B539" s="5" t="s">
        <v>23</v>
      </c>
      <c r="C539" s="6">
        <f>IF(SUM(E540)=0,0,SUM(C540)/SUM(E540))</f>
        <v/>
      </c>
      <c r="D539" s="6">
        <f>IF(SUM(E540)=0,0,SUM(D540)/SUM(E540))</f>
        <v/>
      </c>
    </row>
    <row r="540" spans="1:8">
      <c r="A540" s="4" t="s">
        <v>25</v>
      </c>
      <c r="B540" s="7">
        <v>3</v>
      </c>
      <c r="C540" s="6">
        <f>IF(E540=1,1.0,0)</f>
        <v/>
      </c>
      <c r="D540" s="6">
        <f>IF(E540=1,1.0,0)</f>
        <v/>
      </c>
      <c r="E540" s="8">
        <f>IF(OR(LOOKUP(A540,characters!A:A,characters!B:B)=-1, LOOKUP(A540,characters!A:A,characters!B:B)+0.1&gt;=B540),1,0)</f>
        <v/>
      </c>
    </row>
    <row r="542" spans="1:8">
      <c r="A542" s="3" t="s">
        <v>52</v>
      </c>
      <c r="B542" s="3" t="s">
        <v>9</v>
      </c>
      <c r="C542" s="3" t="s">
        <v>10</v>
      </c>
      <c r="D542" s="3" t="s">
        <v>12</v>
      </c>
    </row>
    <row r="543" spans="1:8">
      <c r="A543" s="4" t="s">
        <v>22</v>
      </c>
      <c r="B543" s="5" t="s">
        <v>23</v>
      </c>
      <c r="C543" s="6">
        <f>IF(SUM(E544)=0,0,SUM(C544)/SUM(E544))</f>
        <v/>
      </c>
      <c r="D543" s="6">
        <f>IF(SUM(E544)=0,0,SUM(D544)/SUM(E544))</f>
        <v/>
      </c>
    </row>
    <row r="544" spans="1:8">
      <c r="A544" s="4" t="s">
        <v>25</v>
      </c>
      <c r="B544" s="7">
        <v>3</v>
      </c>
      <c r="C544" s="6">
        <f>IF(E544=1,1.0,0)</f>
        <v/>
      </c>
      <c r="D544" s="6">
        <f>IF(E544=1,0.99,0)</f>
        <v/>
      </c>
      <c r="E544" s="8">
        <f>IF(OR(LOOKUP(A544,characters!A:A,characters!B:B)=-1, LOOKUP(A544,characters!A:A,characters!B:B)+0.1&gt;=B544),1,0)</f>
        <v/>
      </c>
    </row>
    <row r="551" spans="1:12">
      <c r="A551" s="3" t="s">
        <v>78</v>
      </c>
    </row>
    <row r="552" spans="1:12">
      <c r="A552" s="3" t="s">
        <v>8</v>
      </c>
      <c r="B552" s="3" t="s">
        <v>9</v>
      </c>
      <c r="C552" s="3" t="s">
        <v>10</v>
      </c>
      <c r="D552" s="3" t="s">
        <v>11</v>
      </c>
      <c r="E552" s="3" t="s">
        <v>14</v>
      </c>
      <c r="F552" s="3" t="s">
        <v>15</v>
      </c>
      <c r="G552" s="3" t="s">
        <v>18</v>
      </c>
      <c r="H552" s="3" t="s">
        <v>19</v>
      </c>
      <c r="I552" s="3" t="s">
        <v>13</v>
      </c>
      <c r="J552" s="3" t="s">
        <v>12</v>
      </c>
      <c r="K552" s="3" t="s">
        <v>17</v>
      </c>
    </row>
    <row r="553" spans="1:12">
      <c r="A553" s="4" t="s">
        <v>22</v>
      </c>
      <c r="B553" s="5" t="s">
        <v>23</v>
      </c>
      <c r="C553" s="6">
        <f>IF(SUM(L554:L560)=0,0,SUM(C554:C560)/SUM(L554:L560))</f>
        <v/>
      </c>
      <c r="D553" s="6">
        <f>IF(SUM(L554:L560)=0,0,SUM(D554:D560)/SUM(L554:L560))</f>
        <v/>
      </c>
      <c r="E553" s="6">
        <f>IF(SUM(L554:L560)=0,0,SUM(E554:E560)/SUM(L554:L560))</f>
        <v/>
      </c>
      <c r="F553" s="6">
        <f>IF(SUM(L554:L560)=0,0,SUM(F554:F560)/SUM(L554:L560))</f>
        <v/>
      </c>
      <c r="G553" s="6">
        <f>IF(SUM(L554:L560)=0,0,SUM(G554:G560)/SUM(L554:L560))</f>
        <v/>
      </c>
      <c r="H553" s="6">
        <f>IF(SUM(L554:L560)=0,0,SUM(H554:H560)/SUM(L554:L560))</f>
        <v/>
      </c>
      <c r="I553" s="6">
        <f>IF(SUM(L554:L560)=0,0,SUM(I554:I560)/SUM(L554:L560))</f>
        <v/>
      </c>
      <c r="J553" s="6">
        <f>IF(SUM(L554:L560)=0,0,SUM(J554:J560)/SUM(L554:L560))</f>
        <v/>
      </c>
      <c r="K553" s="6">
        <f>IF(SUM(L554:L560)=0,0,SUM(K554:K560)/SUM(L554:L560))</f>
        <v/>
      </c>
    </row>
    <row r="554" spans="1:12">
      <c r="A554" s="4" t="s">
        <v>24</v>
      </c>
      <c r="B554" s="7">
        <v>0</v>
      </c>
      <c r="C554" s="6">
        <f>IF(L554=1,1.0,0)</f>
        <v/>
      </c>
      <c r="D554" s="6">
        <f>IF(L554=1,0.8,0)</f>
        <v/>
      </c>
      <c r="E554" s="6">
        <f>IF(L554=1,0.9,0)</f>
        <v/>
      </c>
      <c r="F554" s="6">
        <f>IF(L554=1,0.9,0)</f>
        <v/>
      </c>
      <c r="G554" s="5" t="s">
        <v>23</v>
      </c>
      <c r="H554" s="5" t="s">
        <v>23</v>
      </c>
      <c r="I554" s="5" t="s">
        <v>23</v>
      </c>
      <c r="J554" s="5" t="s">
        <v>23</v>
      </c>
      <c r="K554" s="5" t="s">
        <v>23</v>
      </c>
      <c r="L554" s="8">
        <f>IF(OR(LOOKUP(A554,characters!A:A,characters!B:B)=-1, LOOKUP(A554,characters!A:A,characters!B:B)+0.1&gt;=B554),1,0)</f>
        <v/>
      </c>
    </row>
    <row r="555" spans="1:12">
      <c r="A555" s="4" t="s">
        <v>27</v>
      </c>
      <c r="B555" s="7">
        <v>0</v>
      </c>
      <c r="C555" s="6">
        <f>IF(L555=1,1.0,0)</f>
        <v/>
      </c>
      <c r="D555" s="6">
        <f>IF(L555=1,0.7,0)</f>
        <v/>
      </c>
      <c r="E555" s="6">
        <f>IF(L555=1,0.8,0)</f>
        <v/>
      </c>
      <c r="F555" s="6">
        <f>IF(L555=1,0.8,0)</f>
        <v/>
      </c>
      <c r="G555" s="5" t="s">
        <v>23</v>
      </c>
      <c r="H555" s="6">
        <f>IF(L555=1,0.9,0)</f>
        <v/>
      </c>
      <c r="I555" s="5" t="s">
        <v>23</v>
      </c>
      <c r="J555" s="5" t="s">
        <v>23</v>
      </c>
      <c r="K555" s="5" t="s">
        <v>23</v>
      </c>
      <c r="L555" s="8">
        <f>IF(OR(LOOKUP(A555,characters!A:A,characters!B:B)=-1, LOOKUP(A555,characters!A:A,characters!B:B)+0.1&gt;=B555),1,0)</f>
        <v/>
      </c>
    </row>
    <row r="556" spans="1:12">
      <c r="A556" s="4" t="s">
        <v>32</v>
      </c>
      <c r="B556" s="7">
        <v>0</v>
      </c>
      <c r="C556" s="6">
        <f>IF(L556=1,1.0,0)</f>
        <v/>
      </c>
      <c r="D556" s="6">
        <f>IF(L556=1,0.8,0)</f>
        <v/>
      </c>
      <c r="E556" s="6">
        <f>IF(L556=1,0.9,0)</f>
        <v/>
      </c>
      <c r="F556" s="6">
        <f>IF(L556=1,0.9,0)</f>
        <v/>
      </c>
      <c r="G556" s="6">
        <f>IF(L556=1,0.8,0)</f>
        <v/>
      </c>
      <c r="H556" s="5" t="s">
        <v>23</v>
      </c>
      <c r="I556" s="5" t="s">
        <v>23</v>
      </c>
      <c r="J556" s="5" t="s">
        <v>23</v>
      </c>
      <c r="K556" s="5" t="s">
        <v>23</v>
      </c>
      <c r="L556" s="8">
        <f>IF(OR(LOOKUP(A556,characters!A:A,characters!B:B)=-1, LOOKUP(A556,characters!A:A,characters!B:B)+0.1&gt;=B556),1,0)</f>
        <v/>
      </c>
    </row>
    <row r="557" spans="1:12">
      <c r="A557" s="4" t="s">
        <v>42</v>
      </c>
      <c r="B557" s="7">
        <v>0</v>
      </c>
      <c r="C557" s="6">
        <f>IF(L557=1,0.9,0)</f>
        <v/>
      </c>
      <c r="D557" s="6">
        <f>IF(L557=1,0.7,0)</f>
        <v/>
      </c>
      <c r="E557" s="5" t="s">
        <v>23</v>
      </c>
      <c r="F557" s="5" t="s">
        <v>23</v>
      </c>
      <c r="G557" s="6">
        <f>IF(L557=1,1.0,0)</f>
        <v/>
      </c>
      <c r="H557" s="5" t="s">
        <v>23</v>
      </c>
      <c r="I557" s="6">
        <f>IF(L557=1,0.8,0)</f>
        <v/>
      </c>
      <c r="J557" s="6">
        <f>IF(L557=1,0.8,0)</f>
        <v/>
      </c>
      <c r="K557" s="5" t="s">
        <v>23</v>
      </c>
      <c r="L557" s="8">
        <f>IF(OR(LOOKUP(A557,characters!A:A,characters!B:B)=-1, LOOKUP(A557,characters!A:A,characters!B:B)+0.1&gt;=B557),1,0)</f>
        <v/>
      </c>
    </row>
    <row r="558" spans="1:12">
      <c r="A558" s="4" t="s">
        <v>44</v>
      </c>
      <c r="B558" s="7">
        <v>0</v>
      </c>
      <c r="C558" s="6">
        <f>IF(L558=1,1.0,0)</f>
        <v/>
      </c>
      <c r="D558" s="6">
        <f>IF(L558=1,0.8,0)</f>
        <v/>
      </c>
      <c r="E558" s="6">
        <f>IF(L558=1,0.8,0)</f>
        <v/>
      </c>
      <c r="F558" s="6">
        <f>IF(L558=1,0.8,0)</f>
        <v/>
      </c>
      <c r="G558" s="5" t="s">
        <v>23</v>
      </c>
      <c r="H558" s="6">
        <f>IF(L558=1,0.9,0)</f>
        <v/>
      </c>
      <c r="I558" s="5" t="s">
        <v>23</v>
      </c>
      <c r="J558" s="5" t="s">
        <v>23</v>
      </c>
      <c r="K558" s="5" t="s">
        <v>23</v>
      </c>
      <c r="L558" s="8">
        <f>IF(OR(LOOKUP(A558,characters!A:A,characters!B:B)=-1, LOOKUP(A558,characters!A:A,characters!B:B)+0.1&gt;=B558),1,0)</f>
        <v/>
      </c>
    </row>
    <row r="559" spans="1:12">
      <c r="A559" s="4" t="s">
        <v>45</v>
      </c>
      <c r="B559" s="7">
        <v>0</v>
      </c>
      <c r="C559" s="6">
        <f>IF(L559=1,1.0,0)</f>
        <v/>
      </c>
      <c r="D559" s="6">
        <f>IF(L559=1,0.8,0)</f>
        <v/>
      </c>
      <c r="E559" s="6">
        <f>IF(L559=1,0.9,0)</f>
        <v/>
      </c>
      <c r="F559" s="6">
        <f>IF(L559=1,0.9,0)</f>
        <v/>
      </c>
      <c r="G559" s="5" t="s">
        <v>23</v>
      </c>
      <c r="H559" s="5" t="s">
        <v>23</v>
      </c>
      <c r="I559" s="5" t="s">
        <v>23</v>
      </c>
      <c r="J559" s="5" t="s">
        <v>23</v>
      </c>
      <c r="K559" s="6">
        <f>IF(L559=1,1.0,0)</f>
        <v/>
      </c>
      <c r="L559" s="8">
        <f>IF(OR(LOOKUP(A559,characters!A:A,characters!B:B)=-1, LOOKUP(A559,characters!A:A,characters!B:B)+0.1&gt;=B559),1,0)</f>
        <v/>
      </c>
    </row>
    <row r="560" spans="1:12">
      <c r="A560" s="4" t="s">
        <v>46</v>
      </c>
      <c r="B560" s="7">
        <v>0</v>
      </c>
      <c r="C560" s="6">
        <f>IF(L560=1,1.0,0)</f>
        <v/>
      </c>
      <c r="D560" s="5" t="s">
        <v>23</v>
      </c>
      <c r="E560" s="5" t="s">
        <v>23</v>
      </c>
      <c r="F560" s="5" t="s">
        <v>23</v>
      </c>
      <c r="G560" s="6">
        <f>IF(L560=1,1.0,0)</f>
        <v/>
      </c>
      <c r="H560" s="5" t="s">
        <v>23</v>
      </c>
      <c r="I560" s="6">
        <f>IF(L560=1,0.9,0)</f>
        <v/>
      </c>
      <c r="J560" s="6">
        <f>IF(L560=1,0.9,0)</f>
        <v/>
      </c>
      <c r="K560" s="5" t="s">
        <v>23</v>
      </c>
      <c r="L560" s="8">
        <f>IF(OR(LOOKUP(A560,characters!A:A,characters!B:B)=-1, LOOKUP(A560,characters!A:A,characters!B:B)+0.1&gt;=B560),1,0)</f>
        <v/>
      </c>
    </row>
    <row r="562" spans="1:7">
      <c r="A562" s="3" t="s">
        <v>49</v>
      </c>
      <c r="B562" s="3" t="s">
        <v>9</v>
      </c>
      <c r="C562" s="3" t="s">
        <v>13</v>
      </c>
      <c r="D562" s="3" t="s">
        <v>12</v>
      </c>
      <c r="E562" s="3" t="s">
        <v>19</v>
      </c>
      <c r="F562" s="3" t="s">
        <v>17</v>
      </c>
    </row>
    <row r="563" spans="1:7">
      <c r="A563" s="4" t="s">
        <v>22</v>
      </c>
      <c r="B563" s="5" t="s">
        <v>23</v>
      </c>
      <c r="C563" s="6">
        <f>IF(SUM(G564:G570)=0,0,SUM(C564:C570)/SUM(G564:G570))</f>
        <v/>
      </c>
      <c r="D563" s="6">
        <f>IF(SUM(G564:G570)=0,0,SUM(D564:D570)/SUM(G564:G570))</f>
        <v/>
      </c>
      <c r="E563" s="6">
        <f>IF(SUM(G564:G570)=0,0,SUM(E564:E570)/SUM(G564:G570))</f>
        <v/>
      </c>
      <c r="F563" s="6">
        <f>IF(SUM(G564:G570)=0,0,SUM(F564:F570)/SUM(G564:G570))</f>
        <v/>
      </c>
    </row>
    <row r="564" spans="1:7">
      <c r="A564" s="4" t="s">
        <v>24</v>
      </c>
      <c r="B564" s="7">
        <v>0</v>
      </c>
      <c r="C564" s="6">
        <f>IF(G564=1,1.0,0)</f>
        <v/>
      </c>
      <c r="D564" s="6">
        <f>IF(G564=1,0.9,0)</f>
        <v/>
      </c>
      <c r="E564" s="5" t="s">
        <v>23</v>
      </c>
      <c r="F564" s="5" t="s">
        <v>23</v>
      </c>
      <c r="G564" s="8">
        <f>IF(OR(LOOKUP(A564,characters!A:A,characters!B:B)=-1, LOOKUP(A564,characters!A:A,characters!B:B)+0.1&gt;=B564),1,0)</f>
        <v/>
      </c>
    </row>
    <row r="565" spans="1:7">
      <c r="A565" s="4" t="s">
        <v>27</v>
      </c>
      <c r="B565" s="7">
        <v>0</v>
      </c>
      <c r="C565" s="5" t="s">
        <v>23</v>
      </c>
      <c r="D565" s="5" t="s">
        <v>23</v>
      </c>
      <c r="E565" s="6">
        <f>IF(G565=1,1.0,0)</f>
        <v/>
      </c>
      <c r="F565" s="5" t="s">
        <v>23</v>
      </c>
      <c r="G565" s="8">
        <f>IF(OR(LOOKUP(A565,characters!A:A,characters!B:B)=-1, LOOKUP(A565,characters!A:A,characters!B:B)+0.1&gt;=B565),1,0)</f>
        <v/>
      </c>
    </row>
    <row r="566" spans="1:7">
      <c r="A566" s="4" t="s">
        <v>32</v>
      </c>
      <c r="B566" s="7">
        <v>0</v>
      </c>
      <c r="C566" s="6">
        <f>IF(G566=1,1.0,0)</f>
        <v/>
      </c>
      <c r="D566" s="6">
        <f>IF(G566=1,0.9,0)</f>
        <v/>
      </c>
      <c r="E566" s="5" t="s">
        <v>23</v>
      </c>
      <c r="F566" s="5" t="s">
        <v>23</v>
      </c>
      <c r="G566" s="8">
        <f>IF(OR(LOOKUP(A566,characters!A:A,characters!B:B)=-1, LOOKUP(A566,characters!A:A,characters!B:B)+0.1&gt;=B566),1,0)</f>
        <v/>
      </c>
    </row>
    <row r="567" spans="1:7">
      <c r="A567" s="4" t="s">
        <v>42</v>
      </c>
      <c r="B567" s="7">
        <v>0</v>
      </c>
      <c r="C567" s="6">
        <f>IF(G567=1,1.0,0)</f>
        <v/>
      </c>
      <c r="D567" s="6">
        <f>IF(G567=1,0.9,0)</f>
        <v/>
      </c>
      <c r="E567" s="5" t="s">
        <v>23</v>
      </c>
      <c r="F567" s="5" t="s">
        <v>23</v>
      </c>
      <c r="G567" s="8">
        <f>IF(OR(LOOKUP(A567,characters!A:A,characters!B:B)=-1, LOOKUP(A567,characters!A:A,characters!B:B)+0.1&gt;=B567),1,0)</f>
        <v/>
      </c>
    </row>
    <row r="568" spans="1:7">
      <c r="A568" s="4" t="s">
        <v>44</v>
      </c>
      <c r="B568" s="7">
        <v>0</v>
      </c>
      <c r="C568" s="5" t="s">
        <v>23</v>
      </c>
      <c r="D568" s="5" t="s">
        <v>23</v>
      </c>
      <c r="E568" s="6">
        <f>IF(G568=1,1.0,0)</f>
        <v/>
      </c>
      <c r="F568" s="5" t="s">
        <v>23</v>
      </c>
      <c r="G568" s="8">
        <f>IF(OR(LOOKUP(A568,characters!A:A,characters!B:B)=-1, LOOKUP(A568,characters!A:A,characters!B:B)+0.1&gt;=B568),1,0)</f>
        <v/>
      </c>
    </row>
    <row r="569" spans="1:7">
      <c r="A569" s="4" t="s">
        <v>45</v>
      </c>
      <c r="B569" s="7">
        <v>0</v>
      </c>
      <c r="C569" s="6">
        <f>IF(G569=1,0.9,0)</f>
        <v/>
      </c>
      <c r="D569" s="5" t="s">
        <v>23</v>
      </c>
      <c r="E569" s="5" t="s">
        <v>23</v>
      </c>
      <c r="F569" s="6">
        <f>IF(G569=1,1.0,0)</f>
        <v/>
      </c>
      <c r="G569" s="8">
        <f>IF(OR(LOOKUP(A569,characters!A:A,characters!B:B)=-1, LOOKUP(A569,characters!A:A,characters!B:B)+0.1&gt;=B569),1,0)</f>
        <v/>
      </c>
    </row>
    <row r="570" spans="1:7">
      <c r="A570" s="4" t="s">
        <v>46</v>
      </c>
      <c r="B570" s="7">
        <v>0</v>
      </c>
      <c r="C570" s="6">
        <f>IF(G570=1,1.0,0)</f>
        <v/>
      </c>
      <c r="D570" s="6">
        <f>IF(G570=1,0.9,0)</f>
        <v/>
      </c>
      <c r="E570" s="5" t="s">
        <v>23</v>
      </c>
      <c r="F570" s="5" t="s">
        <v>23</v>
      </c>
      <c r="G570" s="8">
        <f>IF(OR(LOOKUP(A570,characters!A:A,characters!B:B)=-1, LOOKUP(A570,characters!A:A,characters!B:B)+0.1&gt;=B570),1,0)</f>
        <v/>
      </c>
    </row>
    <row r="572" spans="1:7">
      <c r="A572" s="3" t="s">
        <v>52</v>
      </c>
      <c r="B572" s="3" t="s">
        <v>9</v>
      </c>
      <c r="C572" s="3" t="s">
        <v>10</v>
      </c>
    </row>
    <row r="573" spans="1:7">
      <c r="A573" s="4" t="s">
        <v>22</v>
      </c>
      <c r="B573" s="5" t="s">
        <v>23</v>
      </c>
      <c r="C573" s="6">
        <f>IF(SUM(D574:D580)=0,0,SUM(C574:C580)/SUM(D574:D580))</f>
        <v/>
      </c>
    </row>
    <row r="574" spans="1:7">
      <c r="A574" s="4" t="s">
        <v>24</v>
      </c>
      <c r="B574" s="7">
        <v>0</v>
      </c>
      <c r="C574" s="6">
        <f>IF(D574=1,1.0,0)</f>
        <v/>
      </c>
      <c r="D574" s="8">
        <f>IF(OR(LOOKUP(A574,characters!A:A,characters!B:B)=-1, LOOKUP(A574,characters!A:A,characters!B:B)+0.1&gt;=B574),1,0)</f>
        <v/>
      </c>
    </row>
    <row r="575" spans="1:7">
      <c r="A575" s="4" t="s">
        <v>27</v>
      </c>
      <c r="B575" s="7">
        <v>0</v>
      </c>
      <c r="C575" s="6">
        <f>IF(D575=1,1.0,0)</f>
        <v/>
      </c>
      <c r="D575" s="8">
        <f>IF(OR(LOOKUP(A575,characters!A:A,characters!B:B)=-1, LOOKUP(A575,characters!A:A,characters!B:B)+0.1&gt;=B575),1,0)</f>
        <v/>
      </c>
    </row>
    <row r="576" spans="1:7">
      <c r="A576" s="4" t="s">
        <v>32</v>
      </c>
      <c r="B576" s="7">
        <v>0</v>
      </c>
      <c r="C576" s="6">
        <f>IF(D576=1,1.0,0)</f>
        <v/>
      </c>
      <c r="D576" s="8">
        <f>IF(OR(LOOKUP(A576,characters!A:A,characters!B:B)=-1, LOOKUP(A576,characters!A:A,characters!B:B)+0.1&gt;=B576),1,0)</f>
        <v/>
      </c>
    </row>
    <row r="577" spans="1:10">
      <c r="A577" s="4" t="s">
        <v>42</v>
      </c>
      <c r="B577" s="7">
        <v>0</v>
      </c>
      <c r="C577" s="6">
        <f>IF(D577=1,1.0,0)</f>
        <v/>
      </c>
      <c r="D577" s="8">
        <f>IF(OR(LOOKUP(A577,characters!A:A,characters!B:B)=-1, LOOKUP(A577,characters!A:A,characters!B:B)+0.1&gt;=B577),1,0)</f>
        <v/>
      </c>
    </row>
    <row r="578" spans="1:10">
      <c r="A578" s="4" t="s">
        <v>44</v>
      </c>
      <c r="B578" s="7">
        <v>0</v>
      </c>
      <c r="C578" s="6">
        <f>IF(D578=1,1.0,0)</f>
        <v/>
      </c>
      <c r="D578" s="8">
        <f>IF(OR(LOOKUP(A578,characters!A:A,characters!B:B)=-1, LOOKUP(A578,characters!A:A,characters!B:B)+0.1&gt;=B578),1,0)</f>
        <v/>
      </c>
    </row>
    <row r="579" spans="1:10">
      <c r="A579" s="4" t="s">
        <v>45</v>
      </c>
      <c r="B579" s="7">
        <v>0</v>
      </c>
      <c r="C579" s="6">
        <f>IF(D579=1,1.0,0)</f>
        <v/>
      </c>
      <c r="D579" s="8">
        <f>IF(OR(LOOKUP(A579,characters!A:A,characters!B:B)=-1, LOOKUP(A579,characters!A:A,characters!B:B)+0.1&gt;=B579),1,0)</f>
        <v/>
      </c>
    </row>
    <row r="580" spans="1:10">
      <c r="A580" s="4" t="s">
        <v>46</v>
      </c>
      <c r="B580" s="7">
        <v>0</v>
      </c>
      <c r="C580" s="6">
        <f>IF(D580=1,1.0,0)</f>
        <v/>
      </c>
      <c r="D580" s="8">
        <f>IF(OR(LOOKUP(A580,characters!A:A,characters!B:B)=-1, LOOKUP(A580,characters!A:A,characters!B:B)+0.1&gt;=B580),1,0)</f>
        <v/>
      </c>
    </row>
    <row r="587" spans="1:10">
      <c r="A587" s="3" t="s">
        <v>79</v>
      </c>
    </row>
    <row r="588" spans="1:10">
      <c r="A588" s="3" t="s">
        <v>8</v>
      </c>
      <c r="B588" s="3" t="s">
        <v>9</v>
      </c>
      <c r="C588" s="3" t="s">
        <v>10</v>
      </c>
      <c r="D588" s="3" t="s">
        <v>12</v>
      </c>
      <c r="E588" s="3" t="s">
        <v>11</v>
      </c>
      <c r="F588" s="3" t="s">
        <v>13</v>
      </c>
      <c r="G588" s="3" t="s">
        <v>16</v>
      </c>
      <c r="H588" s="3" t="s">
        <v>19</v>
      </c>
      <c r="I588" s="3" t="s">
        <v>21</v>
      </c>
    </row>
    <row r="589" spans="1:10">
      <c r="A589" s="4" t="s">
        <v>22</v>
      </c>
      <c r="B589" s="5" t="s">
        <v>23</v>
      </c>
      <c r="C589" s="6">
        <f>IF(SUM(J590:J594)=0,0,SUM(C590:C594)/SUM(J590:J594))</f>
        <v/>
      </c>
      <c r="D589" s="6">
        <f>IF(SUM(J590:J594)=0,0,SUM(D590:D594)/SUM(J590:J594))</f>
        <v/>
      </c>
      <c r="E589" s="6">
        <f>IF(SUM(J590:J594)=0,0,SUM(E590:E594)/SUM(J590:J594))</f>
        <v/>
      </c>
      <c r="F589" s="6">
        <f>IF(SUM(J590:J594)=0,0,SUM(F590:F594)/SUM(J590:J594))</f>
        <v/>
      </c>
      <c r="G589" s="6">
        <f>IF(SUM(J590:J594)=0,0,SUM(G590:G594)/SUM(J590:J594))</f>
        <v/>
      </c>
      <c r="H589" s="6">
        <f>IF(SUM(J590:J594)=0,0,SUM(H590:H594)/SUM(J590:J594))</f>
        <v/>
      </c>
      <c r="I589" s="6">
        <f>IF(SUM(J590:J594)=0,0,SUM(I590:I594)/SUM(J590:J594))</f>
        <v/>
      </c>
    </row>
    <row r="590" spans="1:10">
      <c r="A590" s="4" t="s">
        <v>38</v>
      </c>
      <c r="B590" s="7">
        <v>0</v>
      </c>
      <c r="C590" s="6">
        <f>IF(J590=1,1.0,0)</f>
        <v/>
      </c>
      <c r="D590" s="6">
        <f>IF(J590=1,0.9,0)</f>
        <v/>
      </c>
      <c r="E590" s="6">
        <f>IF(J590=1,0.8,0)</f>
        <v/>
      </c>
      <c r="F590" s="6">
        <f>IF(J590=1,0.8,0)</f>
        <v/>
      </c>
      <c r="G590" s="6">
        <f>IF(J590=1,1.0,0)</f>
        <v/>
      </c>
      <c r="H590" s="5" t="s">
        <v>23</v>
      </c>
      <c r="I590" s="5" t="s">
        <v>23</v>
      </c>
      <c r="J590" s="8">
        <f>IF(OR(LOOKUP(A590,characters!A:A,characters!B:B)=-1, LOOKUP(A590,characters!A:A,characters!B:B)+0.1&gt;=B590),1,0)</f>
        <v/>
      </c>
    </row>
    <row r="591" spans="1:10">
      <c r="A591" s="4" t="s">
        <v>30</v>
      </c>
      <c r="B591" s="7">
        <v>1</v>
      </c>
      <c r="C591" s="6">
        <f>IF(J591=1,1.0,0)</f>
        <v/>
      </c>
      <c r="D591" s="6">
        <f>IF(J591=1,1.0,0)</f>
        <v/>
      </c>
      <c r="E591" s="6">
        <f>IF(J591=1,0.9,0)</f>
        <v/>
      </c>
      <c r="F591" s="6">
        <f>IF(J591=1,0.9,0)</f>
        <v/>
      </c>
      <c r="G591" s="5" t="s">
        <v>23</v>
      </c>
      <c r="H591" s="5" t="s">
        <v>23</v>
      </c>
      <c r="I591" s="5" t="s">
        <v>23</v>
      </c>
      <c r="J591" s="8">
        <f>IF(OR(LOOKUP(A591,characters!A:A,characters!B:B)=-1, LOOKUP(A591,characters!A:A,characters!B:B)+0.1&gt;=B591),1,0)</f>
        <v/>
      </c>
    </row>
    <row r="592" spans="1:10">
      <c r="A592" s="4" t="s">
        <v>25</v>
      </c>
      <c r="B592" s="7">
        <v>2</v>
      </c>
      <c r="C592" s="6">
        <f>IF(J592=1,0.99,0)</f>
        <v/>
      </c>
      <c r="D592" s="6">
        <f>IF(J592=1,1.0,0)</f>
        <v/>
      </c>
      <c r="E592" s="6">
        <f>IF(J592=1,0.69,0)</f>
        <v/>
      </c>
      <c r="F592" s="5" t="s">
        <v>23</v>
      </c>
      <c r="G592" s="5" t="s">
        <v>23</v>
      </c>
      <c r="H592" s="6">
        <f>IF(J592=1,0.89,0)</f>
        <v/>
      </c>
      <c r="I592" s="6">
        <f>IF(J592=1,0.79,0)</f>
        <v/>
      </c>
      <c r="J592" s="8">
        <f>IF(OR(LOOKUP(A592,characters!A:A,characters!B:B)=-1, LOOKUP(A592,characters!A:A,characters!B:B)+0.1&gt;=B592),1,0)</f>
        <v/>
      </c>
    </row>
    <row r="593" spans="1:10">
      <c r="A593" s="4" t="s">
        <v>28</v>
      </c>
      <c r="B593" s="7">
        <v>3</v>
      </c>
      <c r="C593" s="6">
        <f>IF(J593=1,1.0,0)</f>
        <v/>
      </c>
      <c r="D593" s="6">
        <f>IF(J593=1,0.99,0)</f>
        <v/>
      </c>
      <c r="E593" s="6">
        <f>IF(J593=1,0.89,0)</f>
        <v/>
      </c>
      <c r="F593" s="6">
        <f>IF(J593=1,1.0,0)</f>
        <v/>
      </c>
      <c r="G593" s="5" t="s">
        <v>23</v>
      </c>
      <c r="H593" s="5" t="s">
        <v>23</v>
      </c>
      <c r="I593" s="5" t="s">
        <v>23</v>
      </c>
      <c r="J593" s="8">
        <f>IF(OR(LOOKUP(A593,characters!A:A,characters!B:B)=-1, LOOKUP(A593,characters!A:A,characters!B:B)+0.1&gt;=B593),1,0)</f>
        <v/>
      </c>
    </row>
    <row r="594" spans="1:10">
      <c r="A594" s="4" t="s">
        <v>47</v>
      </c>
      <c r="B594" s="7">
        <v>3</v>
      </c>
      <c r="C594" s="6">
        <f>IF(J594=1,0.9,0)</f>
        <v/>
      </c>
      <c r="D594" s="6">
        <f>IF(J594=1,0.8,0)</f>
        <v/>
      </c>
      <c r="E594" s="6">
        <f>IF(J594=1,1.0,0)</f>
        <v/>
      </c>
      <c r="F594" s="6">
        <f>IF(J594=1,0.7,0)</f>
        <v/>
      </c>
      <c r="G594" s="6">
        <f>IF(J594=1,0.6,0)</f>
        <v/>
      </c>
      <c r="H594" s="5" t="s">
        <v>23</v>
      </c>
      <c r="I594" s="5" t="s">
        <v>23</v>
      </c>
      <c r="J594" s="8">
        <f>IF(OR(LOOKUP(A594,characters!A:A,characters!B:B)=-1, LOOKUP(A594,characters!A:A,characters!B:B)+0.1&gt;=B594),1,0)</f>
        <v/>
      </c>
    </row>
    <row r="596" spans="1:10">
      <c r="A596" s="3" t="s">
        <v>49</v>
      </c>
      <c r="B596" s="3" t="s">
        <v>9</v>
      </c>
      <c r="C596" s="3" t="s">
        <v>12</v>
      </c>
      <c r="D596" s="3" t="s">
        <v>19</v>
      </c>
      <c r="E596" s="3" t="s">
        <v>13</v>
      </c>
      <c r="F596" s="3" t="s">
        <v>16</v>
      </c>
    </row>
    <row r="597" spans="1:10">
      <c r="A597" s="4" t="s">
        <v>22</v>
      </c>
      <c r="B597" s="5" t="s">
        <v>23</v>
      </c>
      <c r="C597" s="6">
        <f>IF(SUM(G598:G602)=0,0,SUM(C598:C602)/SUM(G598:G602))</f>
        <v/>
      </c>
      <c r="D597" s="6">
        <f>IF(SUM(G598:G602)=0,0,SUM(D598:D602)/SUM(G598:G602))</f>
        <v/>
      </c>
      <c r="E597" s="6">
        <f>IF(SUM(G598:G602)=0,0,SUM(E598:E602)/SUM(G598:G602))</f>
        <v/>
      </c>
      <c r="F597" s="6">
        <f>IF(SUM(G598:G602)=0,0,SUM(F598:F602)/SUM(G598:G602))</f>
        <v/>
      </c>
    </row>
    <row r="598" spans="1:10">
      <c r="A598" s="4" t="s">
        <v>25</v>
      </c>
      <c r="B598" s="7">
        <v>2</v>
      </c>
      <c r="C598" s="6">
        <f>IF(G598=1,1.0,0)</f>
        <v/>
      </c>
      <c r="D598" s="6">
        <f>IF(G598=1,1.0,0)</f>
        <v/>
      </c>
      <c r="E598" s="5" t="s">
        <v>23</v>
      </c>
      <c r="F598" s="5" t="s">
        <v>23</v>
      </c>
      <c r="G598" s="8">
        <f>IF(OR(LOOKUP(A598,characters!A:A,characters!B:B)=-1, LOOKUP(A598,characters!A:A,characters!B:B)+0.1&gt;=B598),1,0)</f>
        <v/>
      </c>
    </row>
    <row r="599" spans="1:10">
      <c r="A599" s="4" t="s">
        <v>28</v>
      </c>
      <c r="B599" s="7">
        <v>3</v>
      </c>
      <c r="C599" s="6">
        <f>IF(G599=1,0.9,0)</f>
        <v/>
      </c>
      <c r="D599" s="5" t="s">
        <v>23</v>
      </c>
      <c r="E599" s="6">
        <f>IF(G599=1,1.0,0)</f>
        <v/>
      </c>
      <c r="F599" s="5" t="s">
        <v>23</v>
      </c>
      <c r="G599" s="8">
        <f>IF(OR(LOOKUP(A599,characters!A:A,characters!B:B)=-1, LOOKUP(A599,characters!A:A,characters!B:B)+0.1&gt;=B599),1,0)</f>
        <v/>
      </c>
    </row>
    <row r="600" spans="1:10">
      <c r="A600" s="4" t="s">
        <v>30</v>
      </c>
      <c r="B600" s="7">
        <v>1</v>
      </c>
      <c r="C600" s="6">
        <f>IF(G600=1,1.0,0)</f>
        <v/>
      </c>
      <c r="D600" s="5" t="s">
        <v>23</v>
      </c>
      <c r="E600" s="5" t="s">
        <v>23</v>
      </c>
      <c r="F600" s="5" t="s">
        <v>23</v>
      </c>
      <c r="G600" s="8">
        <f>IF(OR(LOOKUP(A600,characters!A:A,characters!B:B)=-1, LOOKUP(A600,characters!A:A,characters!B:B)+0.1&gt;=B600),1,0)</f>
        <v/>
      </c>
    </row>
    <row r="601" spans="1:10">
      <c r="A601" s="4" t="s">
        <v>38</v>
      </c>
      <c r="B601" s="7">
        <v>0</v>
      </c>
      <c r="C601" s="6">
        <f>IF(G601=1,0.99,0)</f>
        <v/>
      </c>
      <c r="D601" s="5" t="s">
        <v>23</v>
      </c>
      <c r="E601" s="5" t="s">
        <v>23</v>
      </c>
      <c r="F601" s="6">
        <f>IF(G601=1,1.0,0)</f>
        <v/>
      </c>
      <c r="G601" s="8">
        <f>IF(OR(LOOKUP(A601,characters!A:A,characters!B:B)=-1, LOOKUP(A601,characters!A:A,characters!B:B)+0.1&gt;=B601),1,0)</f>
        <v/>
      </c>
    </row>
    <row r="602" spans="1:10">
      <c r="A602" s="4" t="s">
        <v>47</v>
      </c>
      <c r="B602" s="7">
        <v>3</v>
      </c>
      <c r="C602" s="6">
        <f>IF(G602=1,1.0,0)</f>
        <v/>
      </c>
      <c r="D602" s="5" t="s">
        <v>23</v>
      </c>
      <c r="E602" s="5" t="s">
        <v>23</v>
      </c>
      <c r="F602" s="5" t="s">
        <v>23</v>
      </c>
      <c r="G602" s="8">
        <f>IF(OR(LOOKUP(A602,characters!A:A,characters!B:B)=-1, LOOKUP(A602,characters!A:A,characters!B:B)+0.1&gt;=B602),1,0)</f>
        <v/>
      </c>
    </row>
    <row r="604" spans="1:10">
      <c r="A604" s="3" t="s">
        <v>52</v>
      </c>
      <c r="B604" s="3" t="s">
        <v>9</v>
      </c>
      <c r="C604" s="3" t="s">
        <v>10</v>
      </c>
      <c r="D604" s="3" t="s">
        <v>12</v>
      </c>
      <c r="E604" s="3" t="s">
        <v>13</v>
      </c>
    </row>
    <row r="605" spans="1:10">
      <c r="A605" s="4" t="s">
        <v>22</v>
      </c>
      <c r="B605" s="5" t="s">
        <v>23</v>
      </c>
      <c r="C605" s="6">
        <f>IF(SUM(F606:F610)=0,0,SUM(C606:C610)/SUM(F606:F610))</f>
        <v/>
      </c>
      <c r="D605" s="6">
        <f>IF(SUM(F606:F610)=0,0,SUM(D606:D610)/SUM(F606:F610))</f>
        <v/>
      </c>
      <c r="E605" s="6">
        <f>IF(SUM(F606:F610)=0,0,SUM(E606:E610)/SUM(F606:F610))</f>
        <v/>
      </c>
    </row>
    <row r="606" spans="1:10">
      <c r="A606" s="4" t="s">
        <v>25</v>
      </c>
      <c r="B606" s="7">
        <v>2</v>
      </c>
      <c r="C606" s="6">
        <f>IF(F606=1,1.0,0)</f>
        <v/>
      </c>
      <c r="D606" s="6">
        <f>IF(F606=1,0.99,0)</f>
        <v/>
      </c>
      <c r="E606" s="5" t="s">
        <v>23</v>
      </c>
      <c r="F606" s="8">
        <f>IF(OR(LOOKUP(A606,characters!A:A,characters!B:B)=-1, LOOKUP(A606,characters!A:A,characters!B:B)+0.1&gt;=B606),1,0)</f>
        <v/>
      </c>
    </row>
    <row r="607" spans="1:10">
      <c r="A607" s="4" t="s">
        <v>28</v>
      </c>
      <c r="B607" s="7">
        <v>3</v>
      </c>
      <c r="C607" s="6">
        <f>IF(F607=1,1.0,0)</f>
        <v/>
      </c>
      <c r="D607" s="5" t="s">
        <v>23</v>
      </c>
      <c r="E607" s="6">
        <f>IF(F607=1,0.9,0)</f>
        <v/>
      </c>
      <c r="F607" s="8">
        <f>IF(OR(LOOKUP(A607,characters!A:A,characters!B:B)=-1, LOOKUP(A607,characters!A:A,characters!B:B)+0.1&gt;=B607),1,0)</f>
        <v/>
      </c>
    </row>
    <row r="608" spans="1:10">
      <c r="A608" s="4" t="s">
        <v>30</v>
      </c>
      <c r="B608" s="7">
        <v>1</v>
      </c>
      <c r="C608" s="6">
        <f>IF(F608=1,1.0,0)</f>
        <v/>
      </c>
      <c r="D608" s="5" t="s">
        <v>23</v>
      </c>
      <c r="E608" s="5" t="s">
        <v>23</v>
      </c>
      <c r="F608" s="8">
        <f>IF(OR(LOOKUP(A608,characters!A:A,characters!B:B)=-1, LOOKUP(A608,characters!A:A,characters!B:B)+0.1&gt;=B608),1,0)</f>
        <v/>
      </c>
    </row>
    <row r="609" spans="1:9">
      <c r="A609" s="4" t="s">
        <v>38</v>
      </c>
      <c r="B609" s="7">
        <v>0</v>
      </c>
      <c r="C609" s="6">
        <f>IF(F609=1,1.0,0)</f>
        <v/>
      </c>
      <c r="D609" s="5" t="s">
        <v>23</v>
      </c>
      <c r="E609" s="5" t="s">
        <v>23</v>
      </c>
      <c r="F609" s="8">
        <f>IF(OR(LOOKUP(A609,characters!A:A,characters!B:B)=-1, LOOKUP(A609,characters!A:A,characters!B:B)+0.1&gt;=B609),1,0)</f>
        <v/>
      </c>
    </row>
    <row r="610" spans="1:9">
      <c r="A610" s="4" t="s">
        <v>47</v>
      </c>
      <c r="B610" s="7">
        <v>3</v>
      </c>
      <c r="C610" s="6">
        <f>IF(F610=1,1.0,0)</f>
        <v/>
      </c>
      <c r="D610" s="6">
        <f>IF(F610=1,0.99,0)</f>
        <v/>
      </c>
      <c r="E610" s="5" t="s">
        <v>23</v>
      </c>
      <c r="F610" s="8">
        <f>IF(OR(LOOKUP(A610,characters!A:A,characters!B:B)=-1, LOOKUP(A610,characters!A:A,characters!B:B)+0.1&gt;=B610),1,0)</f>
        <v/>
      </c>
    </row>
    <row r="617" spans="1:9">
      <c r="A617" s="3" t="s">
        <v>80</v>
      </c>
    </row>
    <row r="618" spans="1:9">
      <c r="A618" s="3" t="s">
        <v>8</v>
      </c>
      <c r="B618" s="3" t="s">
        <v>9</v>
      </c>
      <c r="C618" s="3" t="s">
        <v>19</v>
      </c>
      <c r="D618" s="3" t="s">
        <v>21</v>
      </c>
      <c r="E618" s="3" t="s">
        <v>10</v>
      </c>
      <c r="F618" s="3" t="s">
        <v>17</v>
      </c>
      <c r="G618" s="3" t="s">
        <v>12</v>
      </c>
      <c r="H618" s="3" t="s">
        <v>11</v>
      </c>
    </row>
    <row r="619" spans="1:9">
      <c r="A619" s="4" t="s">
        <v>22</v>
      </c>
      <c r="B619" s="5" t="s">
        <v>23</v>
      </c>
      <c r="C619" s="6">
        <f>IF(SUM(I620:I627)=0,0,SUM(C620:C627)/SUM(I620:I627))</f>
        <v/>
      </c>
      <c r="D619" s="6">
        <f>IF(SUM(I620:I627)=0,0,SUM(D620:D627)/SUM(I620:I627))</f>
        <v/>
      </c>
      <c r="E619" s="6">
        <f>IF(SUM(I620:I627)=0,0,SUM(E620:E627)/SUM(I620:I627))</f>
        <v/>
      </c>
      <c r="F619" s="6">
        <f>IF(SUM(I620:I627)=0,0,SUM(F620:F627)/SUM(I620:I627))</f>
        <v/>
      </c>
      <c r="G619" s="6">
        <f>IF(SUM(I620:I627)=0,0,SUM(G620:G627)/SUM(I620:I627))</f>
        <v/>
      </c>
      <c r="H619" s="6">
        <f>IF(SUM(I620:I627)=0,0,SUM(H620:H627)/SUM(I620:I627))</f>
        <v/>
      </c>
    </row>
    <row r="620" spans="1:9">
      <c r="A620" s="4" t="s">
        <v>72</v>
      </c>
      <c r="B620" s="7">
        <v>0</v>
      </c>
      <c r="C620" s="6">
        <f>IF(I620=1,1.0,0)</f>
        <v/>
      </c>
      <c r="D620" s="6">
        <f>IF(I620=1,1.0,0)</f>
        <v/>
      </c>
      <c r="E620" s="6">
        <f>IF(I620=1,1.0,0)</f>
        <v/>
      </c>
      <c r="F620" s="6">
        <f>IF(I620=1,0.9,0)</f>
        <v/>
      </c>
      <c r="G620" s="5" t="s">
        <v>23</v>
      </c>
      <c r="H620" s="5" t="s">
        <v>23</v>
      </c>
      <c r="I620" s="8">
        <f>IF(OR(LOOKUP(A620,characters!A:A,characters!B:B)=-1, LOOKUP(A620,characters!A:A,characters!B:B)+0.1&gt;=B620),1,0)</f>
        <v/>
      </c>
    </row>
    <row r="621" spans="1:9">
      <c r="A621" s="4" t="s">
        <v>81</v>
      </c>
      <c r="B621" s="7">
        <v>0</v>
      </c>
      <c r="C621" s="6">
        <f>IF(I621=1,0.9,0)</f>
        <v/>
      </c>
      <c r="D621" s="6">
        <f>IF(I621=1,0.9,0)</f>
        <v/>
      </c>
      <c r="E621" s="6">
        <f>IF(I621=1,1.0,0)</f>
        <v/>
      </c>
      <c r="F621" s="6">
        <f>IF(I621=1,0.8,0)</f>
        <v/>
      </c>
      <c r="G621" s="5" t="s">
        <v>23</v>
      </c>
      <c r="H621" s="5" t="s">
        <v>23</v>
      </c>
      <c r="I621" s="8">
        <f>IF(OR(LOOKUP(A621,characters!A:A,characters!B:B)=-1, LOOKUP(A621,characters!A:A,characters!B:B)+0.1&gt;=B621),1,0)</f>
        <v/>
      </c>
    </row>
    <row r="622" spans="1:9">
      <c r="A622" s="4" t="s">
        <v>82</v>
      </c>
      <c r="B622" s="7">
        <v>0</v>
      </c>
      <c r="C622" s="6">
        <f>IF(I622=1,1.0,0)</f>
        <v/>
      </c>
      <c r="D622" s="6">
        <f>IF(I622=1,1.0,0)</f>
        <v/>
      </c>
      <c r="E622" s="6">
        <f>IF(I622=1,1.0,0)</f>
        <v/>
      </c>
      <c r="F622" s="6">
        <f>IF(I622=1,0.9,0)</f>
        <v/>
      </c>
      <c r="G622" s="5" t="s">
        <v>23</v>
      </c>
      <c r="H622" s="5" t="s">
        <v>23</v>
      </c>
      <c r="I622" s="8">
        <f>IF(OR(LOOKUP(A622,characters!A:A,characters!B:B)=-1, LOOKUP(A622,characters!A:A,characters!B:B)+0.1&gt;=B622),1,0)</f>
        <v/>
      </c>
    </row>
    <row r="623" spans="1:9">
      <c r="A623" s="4" t="s">
        <v>83</v>
      </c>
      <c r="B623" s="7">
        <v>0</v>
      </c>
      <c r="C623" s="6">
        <f>IF(I623=1,0.99,0)</f>
        <v/>
      </c>
      <c r="D623" s="6">
        <f>IF(I623=1,1.0,0)</f>
        <v/>
      </c>
      <c r="E623" s="6">
        <f>IF(I623=1,1.0,0)</f>
        <v/>
      </c>
      <c r="F623" s="6">
        <f>IF(I623=1,0.89,0)</f>
        <v/>
      </c>
      <c r="G623" s="5" t="s">
        <v>23</v>
      </c>
      <c r="H623" s="5" t="s">
        <v>23</v>
      </c>
      <c r="I623" s="8">
        <f>IF(OR(LOOKUP(A623,characters!A:A,characters!B:B)=-1, LOOKUP(A623,characters!A:A,characters!B:B)+0.1&gt;=B623),1,0)</f>
        <v/>
      </c>
    </row>
    <row r="624" spans="1:9">
      <c r="A624" s="4" t="s">
        <v>84</v>
      </c>
      <c r="B624" s="7">
        <v>0</v>
      </c>
      <c r="C624" s="6">
        <f>IF(I624=1,0.9,0)</f>
        <v/>
      </c>
      <c r="D624" s="6">
        <f>IF(I624=1,0.9,0)</f>
        <v/>
      </c>
      <c r="E624" s="6">
        <f>IF(I624=1,1.0,0)</f>
        <v/>
      </c>
      <c r="F624" s="6">
        <f>IF(I624=1,0.8,0)</f>
        <v/>
      </c>
      <c r="G624" s="5" t="s">
        <v>23</v>
      </c>
      <c r="H624" s="5" t="s">
        <v>23</v>
      </c>
      <c r="I624" s="8">
        <f>IF(OR(LOOKUP(A624,characters!A:A,characters!B:B)=-1, LOOKUP(A624,characters!A:A,characters!B:B)+0.1&gt;=B624),1,0)</f>
        <v/>
      </c>
    </row>
    <row r="625" spans="1:11">
      <c r="A625" s="4" t="s">
        <v>25</v>
      </c>
      <c r="B625" s="7">
        <v>1</v>
      </c>
      <c r="C625" s="6">
        <f>IF(I625=1,0.89,0)</f>
        <v/>
      </c>
      <c r="D625" s="6">
        <f>IF(I625=1,0.79,0)</f>
        <v/>
      </c>
      <c r="E625" s="6">
        <f>IF(I625=1,0.99,0)</f>
        <v/>
      </c>
      <c r="F625" s="5" t="s">
        <v>23</v>
      </c>
      <c r="G625" s="6">
        <f>IF(I625=1,1.0,0)</f>
        <v/>
      </c>
      <c r="H625" s="6">
        <f>IF(I625=1,0.69,0)</f>
        <v/>
      </c>
      <c r="I625" s="8">
        <f>IF(OR(LOOKUP(A625,characters!A:A,characters!B:B)=-1, LOOKUP(A625,characters!A:A,characters!B:B)+0.1&gt;=B625),1,0)</f>
        <v/>
      </c>
    </row>
    <row r="626" spans="1:11">
      <c r="A626" s="4" t="s">
        <v>85</v>
      </c>
      <c r="B626" s="7">
        <v>1</v>
      </c>
      <c r="C626" s="6">
        <f>IF(I626=1,1.0,0)</f>
        <v/>
      </c>
      <c r="D626" s="6">
        <f>IF(I626=1,1.0,0)</f>
        <v/>
      </c>
      <c r="E626" s="5" t="s">
        <v>23</v>
      </c>
      <c r="F626" s="6">
        <f>IF(I626=1,0.9,0)</f>
        <v/>
      </c>
      <c r="G626" s="5" t="s">
        <v>23</v>
      </c>
      <c r="H626" s="5" t="s">
        <v>23</v>
      </c>
      <c r="I626" s="8">
        <f>IF(OR(LOOKUP(A626,characters!A:A,characters!B:B)=-1, LOOKUP(A626,characters!A:A,characters!B:B)+0.1&gt;=B626),1,0)</f>
        <v/>
      </c>
    </row>
    <row r="627" spans="1:11">
      <c r="A627" s="4" t="s">
        <v>86</v>
      </c>
      <c r="B627" s="7">
        <v>2</v>
      </c>
      <c r="C627" s="6">
        <f>IF(I627=1,0.99,0)</f>
        <v/>
      </c>
      <c r="D627" s="6">
        <f>IF(I627=1,1.0,0)</f>
        <v/>
      </c>
      <c r="E627" s="6">
        <f>IF(I627=1,0.79,0)</f>
        <v/>
      </c>
      <c r="F627" s="6">
        <f>IF(I627=1,0.89,0)</f>
        <v/>
      </c>
      <c r="G627" s="5" t="s">
        <v>23</v>
      </c>
      <c r="H627" s="5" t="s">
        <v>23</v>
      </c>
      <c r="I627" s="8">
        <f>IF(OR(LOOKUP(A627,characters!A:A,characters!B:B)=-1, LOOKUP(A627,characters!A:A,characters!B:B)+0.1&gt;=B627),1,0)</f>
        <v/>
      </c>
    </row>
    <row r="629" spans="1:11">
      <c r="A629" s="3" t="s">
        <v>64</v>
      </c>
      <c r="B629" s="3" t="s">
        <v>9</v>
      </c>
      <c r="C629" s="3" t="s">
        <v>12</v>
      </c>
      <c r="D629" s="3" t="s">
        <v>68</v>
      </c>
      <c r="E629" s="3" t="s">
        <v>87</v>
      </c>
      <c r="F629" s="3" t="s">
        <v>17</v>
      </c>
      <c r="G629" s="3" t="s">
        <v>88</v>
      </c>
      <c r="H629" s="3" t="s">
        <v>69</v>
      </c>
      <c r="I629" s="3" t="s">
        <v>89</v>
      </c>
      <c r="J629" s="3" t="s">
        <v>90</v>
      </c>
    </row>
    <row r="630" spans="1:11">
      <c r="A630" s="4" t="s">
        <v>22</v>
      </c>
      <c r="B630" s="5" t="s">
        <v>23</v>
      </c>
      <c r="C630" s="6">
        <f>IF(SUM(K631:K638)=0,0,SUM(C631:C638)/SUM(K631:K638))</f>
        <v/>
      </c>
      <c r="D630" s="6">
        <f>IF(SUM(K631:K638)=0,0,SUM(D631:D638)/SUM(K631:K638))</f>
        <v/>
      </c>
      <c r="E630" s="6">
        <f>IF(SUM(K631:K638)=0,0,SUM(E631:E638)/SUM(K631:K638))</f>
        <v/>
      </c>
      <c r="F630" s="6">
        <f>IF(SUM(K631:K638)=0,0,SUM(F631:F638)/SUM(K631:K638))</f>
        <v/>
      </c>
      <c r="G630" s="6">
        <f>IF(SUM(K631:K638)=0,0,SUM(G631:G638)/SUM(K631:K638))</f>
        <v/>
      </c>
      <c r="H630" s="6">
        <f>IF(SUM(K631:K638)=0,0,SUM(H631:H638)/SUM(K631:K638))</f>
        <v/>
      </c>
      <c r="I630" s="6">
        <f>IF(SUM(K631:K638)=0,0,SUM(I631:I638)/SUM(K631:K638))</f>
        <v/>
      </c>
      <c r="J630" s="6">
        <f>IF(SUM(K631:K638)=0,0,SUM(J631:J638)/SUM(K631:K638))</f>
        <v/>
      </c>
    </row>
    <row r="631" spans="1:11">
      <c r="A631" s="4" t="s">
        <v>25</v>
      </c>
      <c r="B631" s="7">
        <v>1</v>
      </c>
      <c r="C631" s="6">
        <f>IF(K631=1,1.0,0)</f>
        <v/>
      </c>
      <c r="D631" s="6">
        <f>IF(K631=1,1.0,0)</f>
        <v/>
      </c>
      <c r="E631" s="5" t="s">
        <v>23</v>
      </c>
      <c r="F631" s="5" t="s">
        <v>23</v>
      </c>
      <c r="G631" s="5" t="s">
        <v>23</v>
      </c>
      <c r="H631" s="5" t="s">
        <v>23</v>
      </c>
      <c r="I631" s="5" t="s">
        <v>23</v>
      </c>
      <c r="J631" s="5" t="s">
        <v>23</v>
      </c>
      <c r="K631" s="8">
        <f>IF(OR(LOOKUP(A631,characters!A:A,characters!B:B)=-1, LOOKUP(A631,characters!A:A,characters!B:B)+0.1&gt;=B631),1,0)</f>
        <v/>
      </c>
    </row>
    <row r="632" spans="1:11">
      <c r="A632" s="4" t="s">
        <v>72</v>
      </c>
      <c r="B632" s="7">
        <v>0</v>
      </c>
      <c r="C632" s="5" t="s">
        <v>23</v>
      </c>
      <c r="D632" s="5" t="s">
        <v>23</v>
      </c>
      <c r="E632" s="6">
        <f>IF(K632=1,1.0,0)</f>
        <v/>
      </c>
      <c r="F632" s="6">
        <f>IF(K632=1,0.9,0)</f>
        <v/>
      </c>
      <c r="G632" s="5" t="s">
        <v>23</v>
      </c>
      <c r="H632" s="5" t="s">
        <v>23</v>
      </c>
      <c r="I632" s="5" t="s">
        <v>23</v>
      </c>
      <c r="J632" s="5" t="s">
        <v>23</v>
      </c>
      <c r="K632" s="8">
        <f>IF(OR(LOOKUP(A632,characters!A:A,characters!B:B)=-1, LOOKUP(A632,characters!A:A,characters!B:B)+0.1&gt;=B632),1,0)</f>
        <v/>
      </c>
    </row>
    <row r="633" spans="1:11">
      <c r="A633" s="4" t="s">
        <v>81</v>
      </c>
      <c r="B633" s="7">
        <v>0</v>
      </c>
      <c r="C633" s="5" t="s">
        <v>23</v>
      </c>
      <c r="D633" s="6">
        <f>IF(K633=1,1.0,0)</f>
        <v/>
      </c>
      <c r="E633" s="5" t="s">
        <v>23</v>
      </c>
      <c r="F633" s="6">
        <f>IF(K633=1,0.99,0)</f>
        <v/>
      </c>
      <c r="G633" s="5" t="s">
        <v>23</v>
      </c>
      <c r="H633" s="5" t="s">
        <v>23</v>
      </c>
      <c r="I633" s="5" t="s">
        <v>23</v>
      </c>
      <c r="J633" s="5" t="s">
        <v>23</v>
      </c>
      <c r="K633" s="8">
        <f>IF(OR(LOOKUP(A633,characters!A:A,characters!B:B)=-1, LOOKUP(A633,characters!A:A,characters!B:B)+0.1&gt;=B633),1,0)</f>
        <v/>
      </c>
    </row>
    <row r="634" spans="1:11">
      <c r="A634" s="4" t="s">
        <v>82</v>
      </c>
      <c r="B634" s="7">
        <v>0</v>
      </c>
      <c r="C634" s="5" t="s">
        <v>23</v>
      </c>
      <c r="D634" s="5" t="s">
        <v>23</v>
      </c>
      <c r="E634" s="5" t="s">
        <v>23</v>
      </c>
      <c r="F634" s="6">
        <f>IF(K634=1,0.9,0)</f>
        <v/>
      </c>
      <c r="G634" s="6">
        <f>IF(K634=1,1.0,0)</f>
        <v/>
      </c>
      <c r="H634" s="5" t="s">
        <v>23</v>
      </c>
      <c r="I634" s="5" t="s">
        <v>23</v>
      </c>
      <c r="J634" s="5" t="s">
        <v>23</v>
      </c>
      <c r="K634" s="8">
        <f>IF(OR(LOOKUP(A634,characters!A:A,characters!B:B)=-1, LOOKUP(A634,characters!A:A,characters!B:B)+0.1&gt;=B634),1,0)</f>
        <v/>
      </c>
    </row>
    <row r="635" spans="1:11">
      <c r="A635" s="4" t="s">
        <v>86</v>
      </c>
      <c r="B635" s="7">
        <v>2</v>
      </c>
      <c r="C635" s="5" t="s">
        <v>23</v>
      </c>
      <c r="D635" s="5" t="s">
        <v>23</v>
      </c>
      <c r="E635" s="5" t="s">
        <v>23</v>
      </c>
      <c r="F635" s="5" t="s">
        <v>23</v>
      </c>
      <c r="G635" s="5" t="s">
        <v>23</v>
      </c>
      <c r="H635" s="6">
        <f>IF(K635=1,1.0,0)</f>
        <v/>
      </c>
      <c r="I635" s="5" t="s">
        <v>23</v>
      </c>
      <c r="J635" s="5" t="s">
        <v>23</v>
      </c>
      <c r="K635" s="8">
        <f>IF(OR(LOOKUP(A635,characters!A:A,characters!B:B)=-1, LOOKUP(A635,characters!A:A,characters!B:B)+0.1&gt;=B635),1,0)</f>
        <v/>
      </c>
    </row>
    <row r="636" spans="1:11">
      <c r="A636" s="4" t="s">
        <v>83</v>
      </c>
      <c r="B636" s="7">
        <v>0</v>
      </c>
      <c r="C636" s="5" t="s">
        <v>23</v>
      </c>
      <c r="D636" s="5" t="s">
        <v>23</v>
      </c>
      <c r="E636" s="5" t="s">
        <v>23</v>
      </c>
      <c r="F636" s="5" t="s">
        <v>23</v>
      </c>
      <c r="G636" s="5" t="s">
        <v>23</v>
      </c>
      <c r="H636" s="5" t="s">
        <v>23</v>
      </c>
      <c r="I636" s="6">
        <f>IF(K636=1,1.0,0)</f>
        <v/>
      </c>
      <c r="J636" s="5" t="s">
        <v>23</v>
      </c>
      <c r="K636" s="8">
        <f>IF(OR(LOOKUP(A636,characters!A:A,characters!B:B)=-1, LOOKUP(A636,characters!A:A,characters!B:B)+0.1&gt;=B636),1,0)</f>
        <v/>
      </c>
    </row>
    <row r="637" spans="1:11">
      <c r="A637" s="4" t="s">
        <v>84</v>
      </c>
      <c r="B637" s="7">
        <v>0</v>
      </c>
      <c r="C637" s="5" t="s">
        <v>23</v>
      </c>
      <c r="D637" s="5" t="s">
        <v>23</v>
      </c>
      <c r="E637" s="5" t="s">
        <v>23</v>
      </c>
      <c r="F637" s="6">
        <f>IF(K637=1,0.9,0)</f>
        <v/>
      </c>
      <c r="G637" s="5" t="s">
        <v>23</v>
      </c>
      <c r="H637" s="5" t="s">
        <v>23</v>
      </c>
      <c r="I637" s="5" t="s">
        <v>23</v>
      </c>
      <c r="J637" s="6">
        <f>IF(K637=1,1.0,0)</f>
        <v/>
      </c>
      <c r="K637" s="8">
        <f>IF(OR(LOOKUP(A637,characters!A:A,characters!B:B)=-1, LOOKUP(A637,characters!A:A,characters!B:B)+0.1&gt;=B637),1,0)</f>
        <v/>
      </c>
    </row>
    <row r="638" spans="1:11">
      <c r="A638" s="4" t="s">
        <v>85</v>
      </c>
      <c r="B638" s="7">
        <v>1</v>
      </c>
      <c r="C638" s="5" t="s">
        <v>23</v>
      </c>
      <c r="D638" s="5" t="s">
        <v>23</v>
      </c>
      <c r="E638" s="6">
        <f>IF(K638=1,1.0,0)</f>
        <v/>
      </c>
      <c r="F638" s="6">
        <f>IF(K638=1,0.9,0)</f>
        <v/>
      </c>
      <c r="G638" s="5" t="s">
        <v>23</v>
      </c>
      <c r="H638" s="5" t="s">
        <v>23</v>
      </c>
      <c r="I638" s="5" t="s">
        <v>23</v>
      </c>
      <c r="J638" s="5" t="s">
        <v>23</v>
      </c>
      <c r="K638" s="8">
        <f>IF(OR(LOOKUP(A638,characters!A:A,characters!B:B)=-1, LOOKUP(A638,characters!A:A,characters!B:B)+0.1&gt;=B638),1,0)</f>
        <v/>
      </c>
    </row>
    <row r="640" spans="1:11">
      <c r="A640" s="3" t="s">
        <v>65</v>
      </c>
      <c r="B640" s="3" t="s">
        <v>9</v>
      </c>
      <c r="C640" s="3" t="s">
        <v>12</v>
      </c>
      <c r="D640" s="3" t="s">
        <v>17</v>
      </c>
      <c r="E640" s="3" t="s">
        <v>51</v>
      </c>
      <c r="F640" s="3" t="s">
        <v>66</v>
      </c>
    </row>
    <row r="641" spans="1:7">
      <c r="A641" s="4" t="s">
        <v>22</v>
      </c>
      <c r="B641" s="5" t="s">
        <v>23</v>
      </c>
      <c r="C641" s="6">
        <f>IF(SUM(G642:G649)=0,0,SUM(C642:C649)/SUM(G642:G649))</f>
        <v/>
      </c>
      <c r="D641" s="6">
        <f>IF(SUM(G642:G649)=0,0,SUM(D642:D649)/SUM(G642:G649))</f>
        <v/>
      </c>
      <c r="E641" s="6">
        <f>IF(SUM(G642:G649)=0,0,SUM(E642:E649)/SUM(G642:G649))</f>
        <v/>
      </c>
      <c r="F641" s="6">
        <f>IF(SUM(G642:G649)=0,0,SUM(F642:F649)/SUM(G642:G649))</f>
        <v/>
      </c>
    </row>
    <row r="642" spans="1:7">
      <c r="A642" s="4" t="s">
        <v>25</v>
      </c>
      <c r="B642" s="7">
        <v>1</v>
      </c>
      <c r="C642" s="6">
        <f>IF(G642=1,1.0,0)</f>
        <v/>
      </c>
      <c r="D642" s="5" t="s">
        <v>23</v>
      </c>
      <c r="E642" s="5" t="s">
        <v>23</v>
      </c>
      <c r="F642" s="5" t="s">
        <v>23</v>
      </c>
      <c r="G642" s="8">
        <f>IF(OR(LOOKUP(A642,characters!A:A,characters!B:B)=-1, LOOKUP(A642,characters!A:A,characters!B:B)+0.1&gt;=B642),1,0)</f>
        <v/>
      </c>
    </row>
    <row r="643" spans="1:7">
      <c r="A643" s="4" t="s">
        <v>72</v>
      </c>
      <c r="B643" s="7">
        <v>0</v>
      </c>
      <c r="C643" s="5" t="s">
        <v>23</v>
      </c>
      <c r="D643" s="6">
        <f>IF(G643=1,1.0,0)</f>
        <v/>
      </c>
      <c r="E643" s="5" t="s">
        <v>23</v>
      </c>
      <c r="F643" s="5" t="s">
        <v>23</v>
      </c>
      <c r="G643" s="8">
        <f>IF(OR(LOOKUP(A643,characters!A:A,characters!B:B)=-1, LOOKUP(A643,characters!A:A,characters!B:B)+0.1&gt;=B643),1,0)</f>
        <v/>
      </c>
    </row>
    <row r="644" spans="1:7">
      <c r="A644" s="4" t="s">
        <v>81</v>
      </c>
      <c r="B644" s="7">
        <v>0</v>
      </c>
      <c r="C644" s="5" t="s">
        <v>23</v>
      </c>
      <c r="D644" s="6">
        <f>IF(G644=1,1.0,0)</f>
        <v/>
      </c>
      <c r="E644" s="5" t="s">
        <v>23</v>
      </c>
      <c r="F644" s="5" t="s">
        <v>23</v>
      </c>
      <c r="G644" s="8">
        <f>IF(OR(LOOKUP(A644,characters!A:A,characters!B:B)=-1, LOOKUP(A644,characters!A:A,characters!B:B)+0.1&gt;=B644),1,0)</f>
        <v/>
      </c>
    </row>
    <row r="645" spans="1:7">
      <c r="A645" s="4" t="s">
        <v>82</v>
      </c>
      <c r="B645" s="7">
        <v>0</v>
      </c>
      <c r="C645" s="5" t="s">
        <v>23</v>
      </c>
      <c r="D645" s="6">
        <f>IF(G645=1,1.0,0)</f>
        <v/>
      </c>
      <c r="E645" s="5" t="s">
        <v>23</v>
      </c>
      <c r="F645" s="5" t="s">
        <v>23</v>
      </c>
      <c r="G645" s="8">
        <f>IF(OR(LOOKUP(A645,characters!A:A,characters!B:B)=-1, LOOKUP(A645,characters!A:A,characters!B:B)+0.1&gt;=B645),1,0)</f>
        <v/>
      </c>
    </row>
    <row r="646" spans="1:7">
      <c r="A646" s="4" t="s">
        <v>86</v>
      </c>
      <c r="B646" s="7">
        <v>2</v>
      </c>
      <c r="C646" s="5" t="s">
        <v>23</v>
      </c>
      <c r="D646" s="6">
        <f>IF(G646=1,1.0,0)</f>
        <v/>
      </c>
      <c r="E646" s="5" t="s">
        <v>23</v>
      </c>
      <c r="F646" s="5" t="s">
        <v>23</v>
      </c>
      <c r="G646" s="8">
        <f>IF(OR(LOOKUP(A646,characters!A:A,characters!B:B)=-1, LOOKUP(A646,characters!A:A,characters!B:B)+0.1&gt;=B646),1,0)</f>
        <v/>
      </c>
    </row>
    <row r="647" spans="1:7">
      <c r="A647" s="4" t="s">
        <v>83</v>
      </c>
      <c r="B647" s="7">
        <v>0</v>
      </c>
      <c r="C647" s="5" t="s">
        <v>23</v>
      </c>
      <c r="D647" s="5" t="s">
        <v>23</v>
      </c>
      <c r="E647" s="6">
        <f>IF(G647=1,1.0,0)</f>
        <v/>
      </c>
      <c r="F647" s="5" t="s">
        <v>23</v>
      </c>
      <c r="G647" s="8">
        <f>IF(OR(LOOKUP(A647,characters!A:A,characters!B:B)=-1, LOOKUP(A647,characters!A:A,characters!B:B)+0.1&gt;=B647),1,0)</f>
        <v/>
      </c>
    </row>
    <row r="648" spans="1:7">
      <c r="A648" s="4" t="s">
        <v>84</v>
      </c>
      <c r="B648" s="7">
        <v>0</v>
      </c>
      <c r="C648" s="5" t="s">
        <v>23</v>
      </c>
      <c r="D648" s="6">
        <f>IF(G648=1,1.0,0)</f>
        <v/>
      </c>
      <c r="E648" s="5" t="s">
        <v>23</v>
      </c>
      <c r="F648" s="5" t="s">
        <v>23</v>
      </c>
      <c r="G648" s="8">
        <f>IF(OR(LOOKUP(A648,characters!A:A,characters!B:B)=-1, LOOKUP(A648,characters!A:A,characters!B:B)+0.1&gt;=B648),1,0)</f>
        <v/>
      </c>
    </row>
    <row r="649" spans="1:7">
      <c r="A649" s="4" t="s">
        <v>85</v>
      </c>
      <c r="B649" s="7">
        <v>1</v>
      </c>
      <c r="C649" s="5" t="s">
        <v>23</v>
      </c>
      <c r="D649" s="6">
        <f>IF(G649=1,1.0,0)</f>
        <v/>
      </c>
      <c r="E649" s="5" t="s">
        <v>23</v>
      </c>
      <c r="F649" s="6">
        <f>IF(G649=1,0.9,0)</f>
        <v/>
      </c>
      <c r="G649" s="8">
        <f>IF(OR(LOOKUP(A649,characters!A:A,characters!B:B)=-1, LOOKUP(A649,characters!A:A,characters!B:B)+0.1&gt;=B649),1,0)</f>
        <v/>
      </c>
    </row>
    <row r="656" spans="1:7">
      <c r="A656" s="3" t="s">
        <v>91</v>
      </c>
    </row>
    <row r="657" spans="1:14">
      <c r="A657" s="3" t="s">
        <v>8</v>
      </c>
      <c r="B657" s="3" t="s">
        <v>9</v>
      </c>
      <c r="C657" s="3" t="s">
        <v>10</v>
      </c>
      <c r="D657" s="3" t="s">
        <v>14</v>
      </c>
      <c r="E657" s="3" t="s">
        <v>15</v>
      </c>
      <c r="F657" s="3" t="s">
        <v>18</v>
      </c>
      <c r="G657" s="3" t="s">
        <v>11</v>
      </c>
      <c r="H657" s="3" t="s">
        <v>17</v>
      </c>
      <c r="I657" s="3" t="s">
        <v>16</v>
      </c>
      <c r="J657" s="3" t="s">
        <v>19</v>
      </c>
      <c r="K657" s="3" t="s">
        <v>21</v>
      </c>
      <c r="L657" s="3" t="s">
        <v>13</v>
      </c>
      <c r="M657" s="3" t="s">
        <v>12</v>
      </c>
    </row>
    <row r="658" spans="1:14">
      <c r="A658" s="4" t="s">
        <v>22</v>
      </c>
      <c r="B658" s="5" t="s">
        <v>23</v>
      </c>
      <c r="C658" s="6">
        <f>IF(SUM(N659:N672)=0,0,SUM(C659:C672)/SUM(N659:N672))</f>
        <v/>
      </c>
      <c r="D658" s="6">
        <f>IF(SUM(N659:N672)=0,0,SUM(D659:D672)/SUM(N659:N672))</f>
        <v/>
      </c>
      <c r="E658" s="6">
        <f>IF(SUM(N659:N672)=0,0,SUM(E659:E672)/SUM(N659:N672))</f>
        <v/>
      </c>
      <c r="F658" s="6">
        <f>IF(SUM(N659:N672)=0,0,SUM(F659:F672)/SUM(N659:N672))</f>
        <v/>
      </c>
      <c r="G658" s="6">
        <f>IF(SUM(N659:N672)=0,0,SUM(G659:G672)/SUM(N659:N672))</f>
        <v/>
      </c>
      <c r="H658" s="6">
        <f>IF(SUM(N659:N672)=0,0,SUM(H659:H672)/SUM(N659:N672))</f>
        <v/>
      </c>
      <c r="I658" s="6">
        <f>IF(SUM(N659:N672)=0,0,SUM(I659:I672)/SUM(N659:N672))</f>
        <v/>
      </c>
      <c r="J658" s="6">
        <f>IF(SUM(N659:N672)=0,0,SUM(J659:J672)/SUM(N659:N672))</f>
        <v/>
      </c>
      <c r="K658" s="6">
        <f>IF(SUM(N659:N672)=0,0,SUM(K659:K672)/SUM(N659:N672))</f>
        <v/>
      </c>
      <c r="L658" s="6">
        <f>IF(SUM(N659:N672)=0,0,SUM(L659:L672)/SUM(N659:N672))</f>
        <v/>
      </c>
      <c r="M658" s="6">
        <f>IF(SUM(N659:N672)=0,0,SUM(M659:M672)/SUM(N659:N672))</f>
        <v/>
      </c>
    </row>
    <row r="659" spans="1:14">
      <c r="A659" s="4" t="s">
        <v>24</v>
      </c>
      <c r="B659" s="7">
        <v>0</v>
      </c>
      <c r="C659" s="6">
        <f>IF(N659=1,1.0,0)</f>
        <v/>
      </c>
      <c r="D659" s="6">
        <f>IF(N659=1,0.9,0)</f>
        <v/>
      </c>
      <c r="E659" s="6">
        <f>IF(N659=1,0.9,0)</f>
        <v/>
      </c>
      <c r="F659" s="5" t="s">
        <v>23</v>
      </c>
      <c r="G659" s="6">
        <f>IF(N659=1,0.8,0)</f>
        <v/>
      </c>
      <c r="H659" s="5" t="s">
        <v>23</v>
      </c>
      <c r="I659" s="5" t="s">
        <v>23</v>
      </c>
      <c r="J659" s="5" t="s">
        <v>23</v>
      </c>
      <c r="K659" s="5" t="s">
        <v>23</v>
      </c>
      <c r="L659" s="5" t="s">
        <v>23</v>
      </c>
      <c r="M659" s="5" t="s">
        <v>23</v>
      </c>
      <c r="N659" s="8">
        <f>IF(OR(LOOKUP(A659,characters!A:A,characters!B:B)=-1, LOOKUP(A659,characters!A:A,characters!B:B)+0.1&gt;=B659),1,0)</f>
        <v/>
      </c>
    </row>
    <row r="660" spans="1:14">
      <c r="A660" s="4" t="s">
        <v>32</v>
      </c>
      <c r="B660" s="7">
        <v>0</v>
      </c>
      <c r="C660" s="6">
        <f>IF(N660=1,1.0,0)</f>
        <v/>
      </c>
      <c r="D660" s="6">
        <f>IF(N660=1,0.9,0)</f>
        <v/>
      </c>
      <c r="E660" s="6">
        <f>IF(N660=1,0.9,0)</f>
        <v/>
      </c>
      <c r="F660" s="6">
        <f>IF(N660=1,0.8,0)</f>
        <v/>
      </c>
      <c r="G660" s="6">
        <f>IF(N660=1,0.8,0)</f>
        <v/>
      </c>
      <c r="H660" s="5" t="s">
        <v>23</v>
      </c>
      <c r="I660" s="5" t="s">
        <v>23</v>
      </c>
      <c r="J660" s="5" t="s">
        <v>23</v>
      </c>
      <c r="K660" s="5" t="s">
        <v>23</v>
      </c>
      <c r="L660" s="5" t="s">
        <v>23</v>
      </c>
      <c r="M660" s="5" t="s">
        <v>23</v>
      </c>
      <c r="N660" s="8">
        <f>IF(OR(LOOKUP(A660,characters!A:A,characters!B:B)=-1, LOOKUP(A660,characters!A:A,characters!B:B)+0.1&gt;=B660),1,0)</f>
        <v/>
      </c>
    </row>
    <row r="661" spans="1:14">
      <c r="A661" s="4" t="s">
        <v>34</v>
      </c>
      <c r="B661" s="7">
        <v>0</v>
      </c>
      <c r="C661" s="6">
        <f>IF(N661=1,0.9,0)</f>
        <v/>
      </c>
      <c r="D661" s="5" t="s">
        <v>23</v>
      </c>
      <c r="E661" s="5" t="s">
        <v>23</v>
      </c>
      <c r="F661" s="5" t="s">
        <v>23</v>
      </c>
      <c r="G661" s="5" t="s">
        <v>23</v>
      </c>
      <c r="H661" s="6">
        <f>IF(N661=1,0.8,0)</f>
        <v/>
      </c>
      <c r="I661" s="6">
        <f>IF(N661=1,1.0,0)</f>
        <v/>
      </c>
      <c r="J661" s="5" t="s">
        <v>23</v>
      </c>
      <c r="K661" s="5" t="s">
        <v>23</v>
      </c>
      <c r="L661" s="5" t="s">
        <v>23</v>
      </c>
      <c r="M661" s="5" t="s">
        <v>23</v>
      </c>
      <c r="N661" s="8">
        <f>IF(OR(LOOKUP(A661,characters!A:A,characters!B:B)=-1, LOOKUP(A661,characters!A:A,characters!B:B)+0.1&gt;=B661),1,0)</f>
        <v/>
      </c>
    </row>
    <row r="662" spans="1:14">
      <c r="A662" s="4" t="s">
        <v>40</v>
      </c>
      <c r="B662" s="7">
        <v>0</v>
      </c>
      <c r="C662" s="6">
        <f>IF(N662=1,1.0,0)</f>
        <v/>
      </c>
      <c r="D662" s="6">
        <f>IF(N662=1,0.9,0)</f>
        <v/>
      </c>
      <c r="E662" s="6">
        <f>IF(N662=1,0.9,0)</f>
        <v/>
      </c>
      <c r="F662" s="5" t="s">
        <v>23</v>
      </c>
      <c r="G662" s="6">
        <f>IF(N662=1,0.8,0)</f>
        <v/>
      </c>
      <c r="H662" s="5" t="s">
        <v>23</v>
      </c>
      <c r="I662" s="6">
        <f>IF(N662=1,1.0,0)</f>
        <v/>
      </c>
      <c r="J662" s="5" t="s">
        <v>23</v>
      </c>
      <c r="K662" s="5" t="s">
        <v>23</v>
      </c>
      <c r="L662" s="5" t="s">
        <v>23</v>
      </c>
      <c r="M662" s="5" t="s">
        <v>23</v>
      </c>
      <c r="N662" s="8">
        <f>IF(OR(LOOKUP(A662,characters!A:A,characters!B:B)=-1, LOOKUP(A662,characters!A:A,characters!B:B)+0.1&gt;=B662),1,0)</f>
        <v/>
      </c>
    </row>
    <row r="663" spans="1:14">
      <c r="A663" s="4" t="s">
        <v>44</v>
      </c>
      <c r="B663" s="7">
        <v>0</v>
      </c>
      <c r="C663" s="6">
        <f>IF(N663=1,1.0,0)</f>
        <v/>
      </c>
      <c r="D663" s="6">
        <f>IF(N663=1,0.8,0)</f>
        <v/>
      </c>
      <c r="E663" s="6">
        <f>IF(N663=1,0.8,0)</f>
        <v/>
      </c>
      <c r="F663" s="5" t="s">
        <v>23</v>
      </c>
      <c r="G663" s="6">
        <f>IF(N663=1,0.8,0)</f>
        <v/>
      </c>
      <c r="H663" s="5" t="s">
        <v>23</v>
      </c>
      <c r="I663" s="5" t="s">
        <v>23</v>
      </c>
      <c r="J663" s="6">
        <f>IF(N663=1,0.9,0)</f>
        <v/>
      </c>
      <c r="K663" s="5" t="s">
        <v>23</v>
      </c>
      <c r="L663" s="5" t="s">
        <v>23</v>
      </c>
      <c r="M663" s="5" t="s">
        <v>23</v>
      </c>
      <c r="N663" s="8">
        <f>IF(OR(LOOKUP(A663,characters!A:A,characters!B:B)=-1, LOOKUP(A663,characters!A:A,characters!B:B)+0.1&gt;=B663),1,0)</f>
        <v/>
      </c>
    </row>
    <row r="664" spans="1:14">
      <c r="A664" s="4" t="s">
        <v>45</v>
      </c>
      <c r="B664" s="7">
        <v>0</v>
      </c>
      <c r="C664" s="6">
        <f>IF(N664=1,1.0,0)</f>
        <v/>
      </c>
      <c r="D664" s="6">
        <f>IF(N664=1,0.9,0)</f>
        <v/>
      </c>
      <c r="E664" s="6">
        <f>IF(N664=1,0.9,0)</f>
        <v/>
      </c>
      <c r="F664" s="5" t="s">
        <v>23</v>
      </c>
      <c r="G664" s="6">
        <f>IF(N664=1,0.8,0)</f>
        <v/>
      </c>
      <c r="H664" s="6">
        <f>IF(N664=1,1.0,0)</f>
        <v/>
      </c>
      <c r="I664" s="5" t="s">
        <v>23</v>
      </c>
      <c r="J664" s="5" t="s">
        <v>23</v>
      </c>
      <c r="K664" s="5" t="s">
        <v>23</v>
      </c>
      <c r="L664" s="5" t="s">
        <v>23</v>
      </c>
      <c r="M664" s="5" t="s">
        <v>23</v>
      </c>
      <c r="N664" s="8">
        <f>IF(OR(LOOKUP(A664,characters!A:A,characters!B:B)=-1, LOOKUP(A664,characters!A:A,characters!B:B)+0.1&gt;=B664),1,0)</f>
        <v/>
      </c>
    </row>
    <row r="665" spans="1:14">
      <c r="A665" s="4" t="s">
        <v>46</v>
      </c>
      <c r="B665" s="7">
        <v>0</v>
      </c>
      <c r="C665" s="6">
        <f>IF(N665=1,1.0,0)</f>
        <v/>
      </c>
      <c r="D665" s="5" t="s">
        <v>23</v>
      </c>
      <c r="E665" s="5" t="s">
        <v>23</v>
      </c>
      <c r="F665" s="6">
        <f>IF(N665=1,1.0,0)</f>
        <v/>
      </c>
      <c r="G665" s="5" t="s">
        <v>23</v>
      </c>
      <c r="H665" s="5" t="s">
        <v>23</v>
      </c>
      <c r="I665" s="5" t="s">
        <v>23</v>
      </c>
      <c r="J665" s="5" t="s">
        <v>23</v>
      </c>
      <c r="K665" s="5" t="s">
        <v>23</v>
      </c>
      <c r="L665" s="6">
        <f>IF(N665=1,0.9,0)</f>
        <v/>
      </c>
      <c r="M665" s="6">
        <f>IF(N665=1,0.9,0)</f>
        <v/>
      </c>
      <c r="N665" s="8">
        <f>IF(OR(LOOKUP(A665,characters!A:A,characters!B:B)=-1, LOOKUP(A665,characters!A:A,characters!B:B)+0.1&gt;=B665),1,0)</f>
        <v/>
      </c>
    </row>
    <row r="666" spans="1:14">
      <c r="A666" s="4" t="s">
        <v>27</v>
      </c>
      <c r="B666" s="7">
        <v>1</v>
      </c>
      <c r="C666" s="6">
        <f>IF(N666=1,1.0,0)</f>
        <v/>
      </c>
      <c r="D666" s="6">
        <f>IF(N666=1,0.8,0)</f>
        <v/>
      </c>
      <c r="E666" s="6">
        <f>IF(N666=1,0.8,0)</f>
        <v/>
      </c>
      <c r="F666" s="5" t="s">
        <v>23</v>
      </c>
      <c r="G666" s="6">
        <f>IF(N666=1,0.7,0)</f>
        <v/>
      </c>
      <c r="H666" s="5" t="s">
        <v>23</v>
      </c>
      <c r="I666" s="5" t="s">
        <v>23</v>
      </c>
      <c r="J666" s="6">
        <f>IF(N666=1,0.9,0)</f>
        <v/>
      </c>
      <c r="K666" s="5" t="s">
        <v>23</v>
      </c>
      <c r="L666" s="5" t="s">
        <v>23</v>
      </c>
      <c r="M666" s="5" t="s">
        <v>23</v>
      </c>
      <c r="N666" s="8">
        <f>IF(OR(LOOKUP(A666,characters!A:A,characters!B:B)=-1, LOOKUP(A666,characters!A:A,characters!B:B)+0.1&gt;=B666),1,0)</f>
        <v/>
      </c>
    </row>
    <row r="667" spans="1:14">
      <c r="A667" s="4" t="s">
        <v>43</v>
      </c>
      <c r="B667" s="7">
        <v>1</v>
      </c>
      <c r="C667" s="6">
        <f>IF(N667=1,1.0,0)</f>
        <v/>
      </c>
      <c r="D667" s="6">
        <f>IF(N667=1,0.9,0)</f>
        <v/>
      </c>
      <c r="E667" s="6">
        <f>IF(N667=1,0.9,0)</f>
        <v/>
      </c>
      <c r="F667" s="6">
        <f>IF(N667=1,0.9,0)</f>
        <v/>
      </c>
      <c r="G667" s="6">
        <f>IF(N667=1,0.8,0)</f>
        <v/>
      </c>
      <c r="H667" s="5" t="s">
        <v>23</v>
      </c>
      <c r="I667" s="6">
        <f>IF(N667=1,1.0,0)</f>
        <v/>
      </c>
      <c r="J667" s="5" t="s">
        <v>23</v>
      </c>
      <c r="K667" s="5" t="s">
        <v>23</v>
      </c>
      <c r="L667" s="5" t="s">
        <v>23</v>
      </c>
      <c r="M667" s="5" t="s">
        <v>23</v>
      </c>
      <c r="N667" s="8">
        <f>IF(OR(LOOKUP(A667,characters!A:A,characters!B:B)=-1, LOOKUP(A667,characters!A:A,characters!B:B)+0.1&gt;=B667),1,0)</f>
        <v/>
      </c>
    </row>
    <row r="668" spans="1:14">
      <c r="A668" s="4" t="s">
        <v>75</v>
      </c>
      <c r="B668" s="7">
        <v>2</v>
      </c>
      <c r="C668" s="6">
        <f>IF(N668=1,1.0,0)</f>
        <v/>
      </c>
      <c r="D668" s="5" t="s">
        <v>23</v>
      </c>
      <c r="E668" s="5" t="s">
        <v>23</v>
      </c>
      <c r="F668" s="5" t="s">
        <v>23</v>
      </c>
      <c r="G668" s="5" t="s">
        <v>23</v>
      </c>
      <c r="H668" s="6">
        <f>IF(N668=1,0.8,0)</f>
        <v/>
      </c>
      <c r="I668" s="5" t="s">
        <v>23</v>
      </c>
      <c r="J668" s="6">
        <f>IF(N668=1,0.9,0)</f>
        <v/>
      </c>
      <c r="K668" s="6">
        <f>IF(N668=1,0.9,0)</f>
        <v/>
      </c>
      <c r="L668" s="5" t="s">
        <v>23</v>
      </c>
      <c r="M668" s="5" t="s">
        <v>23</v>
      </c>
      <c r="N668" s="8">
        <f>IF(OR(LOOKUP(A668,characters!A:A,characters!B:B)=-1, LOOKUP(A668,characters!A:A,characters!B:B)+0.1&gt;=B668),1,0)</f>
        <v/>
      </c>
    </row>
    <row r="669" spans="1:14">
      <c r="A669" s="4" t="s">
        <v>92</v>
      </c>
      <c r="B669" s="7">
        <v>2</v>
      </c>
      <c r="C669" s="6">
        <f>IF(N669=1,0.9,0)</f>
        <v/>
      </c>
      <c r="D669" s="5" t="s">
        <v>23</v>
      </c>
      <c r="E669" s="5" t="s">
        <v>23</v>
      </c>
      <c r="F669" s="6">
        <f>IF(N669=1,0.7,0)</f>
        <v/>
      </c>
      <c r="G669" s="5" t="s">
        <v>23</v>
      </c>
      <c r="H669" s="6">
        <f>IF(N669=1,0.8,0)</f>
        <v/>
      </c>
      <c r="I669" s="6">
        <f>IF(N669=1,1.0,0)</f>
        <v/>
      </c>
      <c r="J669" s="5" t="s">
        <v>23</v>
      </c>
      <c r="K669" s="5" t="s">
        <v>23</v>
      </c>
      <c r="L669" s="5" t="s">
        <v>23</v>
      </c>
      <c r="M669" s="5" t="s">
        <v>23</v>
      </c>
      <c r="N669" s="8">
        <f>IF(OR(LOOKUP(A669,characters!A:A,characters!B:B)=-1, LOOKUP(A669,characters!A:A,characters!B:B)+0.1&gt;=B669),1,0)</f>
        <v/>
      </c>
    </row>
    <row r="670" spans="1:14">
      <c r="A670" s="4" t="s">
        <v>93</v>
      </c>
      <c r="B670" s="7">
        <v>2</v>
      </c>
      <c r="C670" s="6">
        <f>IF(N670=1,1.0,0)</f>
        <v/>
      </c>
      <c r="D670" s="5" t="s">
        <v>23</v>
      </c>
      <c r="E670" s="5" t="s">
        <v>23</v>
      </c>
      <c r="F670" s="6">
        <f>IF(N670=1,0.8,0)</f>
        <v/>
      </c>
      <c r="G670" s="5" t="s">
        <v>23</v>
      </c>
      <c r="H670" s="6">
        <f>IF(N670=1,0.9,0)</f>
        <v/>
      </c>
      <c r="I670" s="6">
        <f>IF(N670=1,1.0,0)</f>
        <v/>
      </c>
      <c r="J670" s="5" t="s">
        <v>23</v>
      </c>
      <c r="K670" s="5" t="s">
        <v>23</v>
      </c>
      <c r="L670" s="5" t="s">
        <v>23</v>
      </c>
      <c r="M670" s="5" t="s">
        <v>23</v>
      </c>
      <c r="N670" s="8">
        <f>IF(OR(LOOKUP(A670,characters!A:A,characters!B:B)=-1, LOOKUP(A670,characters!A:A,characters!B:B)+0.1&gt;=B670),1,0)</f>
        <v/>
      </c>
    </row>
    <row r="671" spans="1:14">
      <c r="A671" s="4" t="s">
        <v>94</v>
      </c>
      <c r="B671" s="7">
        <v>3</v>
      </c>
      <c r="C671" s="6">
        <f>IF(N671=1,1.0,0)</f>
        <v/>
      </c>
      <c r="D671" s="5" t="s">
        <v>23</v>
      </c>
      <c r="E671" s="5" t="s">
        <v>23</v>
      </c>
      <c r="F671" s="6">
        <f>IF(N671=1,0.99,0)</f>
        <v/>
      </c>
      <c r="G671" s="5" t="s">
        <v>23</v>
      </c>
      <c r="H671" s="5" t="s">
        <v>23</v>
      </c>
      <c r="I671" s="5" t="s">
        <v>23</v>
      </c>
      <c r="J671" s="5" t="s">
        <v>23</v>
      </c>
      <c r="K671" s="5" t="s">
        <v>23</v>
      </c>
      <c r="L671" s="5" t="s">
        <v>23</v>
      </c>
      <c r="M671" s="5" t="s">
        <v>23</v>
      </c>
      <c r="N671" s="8">
        <f>IF(OR(LOOKUP(A671,characters!A:A,characters!B:B)=-1, LOOKUP(A671,characters!A:A,characters!B:B)+0.1&gt;=B671),1,0)</f>
        <v/>
      </c>
    </row>
    <row r="672" spans="1:14">
      <c r="A672" s="4" t="s">
        <v>95</v>
      </c>
      <c r="B672" s="7">
        <v>3</v>
      </c>
      <c r="C672" s="6">
        <f>IF(N672=1,1.0,0)</f>
        <v/>
      </c>
      <c r="D672" s="5" t="s">
        <v>23</v>
      </c>
      <c r="E672" s="5" t="s">
        <v>23</v>
      </c>
      <c r="F672" s="6">
        <f>IF(N672=1,0.9,0)</f>
        <v/>
      </c>
      <c r="G672" s="5" t="s">
        <v>23</v>
      </c>
      <c r="H672" s="6">
        <f>IF(N672=1,0.8,0)</f>
        <v/>
      </c>
      <c r="I672" s="5" t="s">
        <v>23</v>
      </c>
      <c r="J672" s="5" t="s">
        <v>23</v>
      </c>
      <c r="K672" s="5" t="s">
        <v>23</v>
      </c>
      <c r="L672" s="5" t="s">
        <v>23</v>
      </c>
      <c r="M672" s="5" t="s">
        <v>23</v>
      </c>
      <c r="N672" s="8">
        <f>IF(OR(LOOKUP(A672,characters!A:A,characters!B:B)=-1, LOOKUP(A672,characters!A:A,characters!B:B)+0.1&gt;=B672),1,0)</f>
        <v/>
      </c>
    </row>
    <row r="674" spans="1:9">
      <c r="A674" s="3" t="s">
        <v>49</v>
      </c>
      <c r="B674" s="3" t="s">
        <v>9</v>
      </c>
      <c r="C674" s="3" t="s">
        <v>21</v>
      </c>
      <c r="D674" s="3" t="s">
        <v>19</v>
      </c>
      <c r="E674" s="3" t="s">
        <v>13</v>
      </c>
      <c r="F674" s="3" t="s">
        <v>12</v>
      </c>
      <c r="G674" s="3" t="s">
        <v>16</v>
      </c>
      <c r="H674" s="3" t="s">
        <v>17</v>
      </c>
    </row>
    <row r="675" spans="1:9">
      <c r="A675" s="4" t="s">
        <v>22</v>
      </c>
      <c r="B675" s="5" t="s">
        <v>23</v>
      </c>
      <c r="C675" s="6">
        <f>IF(SUM(I676:I689)=0,0,SUM(C676:C689)/SUM(I676:I689))</f>
        <v/>
      </c>
      <c r="D675" s="6">
        <f>IF(SUM(I676:I689)=0,0,SUM(D676:D689)/SUM(I676:I689))</f>
        <v/>
      </c>
      <c r="E675" s="6">
        <f>IF(SUM(I676:I689)=0,0,SUM(E676:E689)/SUM(I676:I689))</f>
        <v/>
      </c>
      <c r="F675" s="6">
        <f>IF(SUM(I676:I689)=0,0,SUM(F676:F689)/SUM(I676:I689))</f>
        <v/>
      </c>
      <c r="G675" s="6">
        <f>IF(SUM(I676:I689)=0,0,SUM(G676:G689)/SUM(I676:I689))</f>
        <v/>
      </c>
      <c r="H675" s="6">
        <f>IF(SUM(I676:I689)=0,0,SUM(H676:H689)/SUM(I676:I689))</f>
        <v/>
      </c>
    </row>
    <row r="676" spans="1:9">
      <c r="A676" s="4" t="s">
        <v>75</v>
      </c>
      <c r="B676" s="7">
        <v>2</v>
      </c>
      <c r="C676" s="6">
        <f>IF(I676=1,1.0,0)</f>
        <v/>
      </c>
      <c r="D676" s="6">
        <f>IF(I676=1,0.99,0)</f>
        <v/>
      </c>
      <c r="E676" s="5" t="s">
        <v>23</v>
      </c>
      <c r="F676" s="5" t="s">
        <v>23</v>
      </c>
      <c r="G676" s="5" t="s">
        <v>23</v>
      </c>
      <c r="H676" s="5" t="s">
        <v>23</v>
      </c>
      <c r="I676" s="8">
        <f>IF(OR(LOOKUP(A676,characters!A:A,characters!B:B)=-1, LOOKUP(A676,characters!A:A,characters!B:B)+0.1&gt;=B676),1,0)</f>
        <v/>
      </c>
    </row>
    <row r="677" spans="1:9">
      <c r="A677" s="4" t="s">
        <v>24</v>
      </c>
      <c r="B677" s="7">
        <v>0</v>
      </c>
      <c r="C677" s="5" t="s">
        <v>23</v>
      </c>
      <c r="D677" s="5" t="s">
        <v>23</v>
      </c>
      <c r="E677" s="6">
        <f>IF(I677=1,1.0,0)</f>
        <v/>
      </c>
      <c r="F677" s="6">
        <f>IF(I677=1,0.9,0)</f>
        <v/>
      </c>
      <c r="G677" s="5" t="s">
        <v>23</v>
      </c>
      <c r="H677" s="5" t="s">
        <v>23</v>
      </c>
      <c r="I677" s="8">
        <f>IF(OR(LOOKUP(A677,characters!A:A,characters!B:B)=-1, LOOKUP(A677,characters!A:A,characters!B:B)+0.1&gt;=B677),1,0)</f>
        <v/>
      </c>
    </row>
    <row r="678" spans="1:9">
      <c r="A678" s="4" t="s">
        <v>92</v>
      </c>
      <c r="B678" s="7">
        <v>2</v>
      </c>
      <c r="C678" s="5" t="s">
        <v>23</v>
      </c>
      <c r="D678" s="5" t="s">
        <v>23</v>
      </c>
      <c r="E678" s="5" t="s">
        <v>23</v>
      </c>
      <c r="F678" s="5" t="s">
        <v>23</v>
      </c>
      <c r="G678" s="6">
        <f>IF(I678=1,1.0,0)</f>
        <v/>
      </c>
      <c r="H678" s="6">
        <f>IF(I678=1,0.9,0)</f>
        <v/>
      </c>
      <c r="I678" s="8">
        <f>IF(OR(LOOKUP(A678,characters!A:A,characters!B:B)=-1, LOOKUP(A678,characters!A:A,characters!B:B)+0.1&gt;=B678),1,0)</f>
        <v/>
      </c>
    </row>
    <row r="679" spans="1:9">
      <c r="A679" s="4" t="s">
        <v>94</v>
      </c>
      <c r="B679" s="7">
        <v>3</v>
      </c>
      <c r="C679" s="5" t="s">
        <v>23</v>
      </c>
      <c r="D679" s="5" t="s">
        <v>23</v>
      </c>
      <c r="E679" s="5" t="s">
        <v>23</v>
      </c>
      <c r="F679" s="5" t="s">
        <v>23</v>
      </c>
      <c r="G679" s="5" t="s">
        <v>23</v>
      </c>
      <c r="H679" s="5" t="s">
        <v>23</v>
      </c>
      <c r="I679" s="8">
        <f>IF(OR(LOOKUP(A679,characters!A:A,characters!B:B)=-1, LOOKUP(A679,characters!A:A,characters!B:B)+0.1&gt;=B679),1,0)</f>
        <v/>
      </c>
    </row>
    <row r="680" spans="1:9">
      <c r="A680" s="4" t="s">
        <v>27</v>
      </c>
      <c r="B680" s="7">
        <v>1</v>
      </c>
      <c r="C680" s="5" t="s">
        <v>23</v>
      </c>
      <c r="D680" s="6">
        <f>IF(I680=1,1.0,0)</f>
        <v/>
      </c>
      <c r="E680" s="5" t="s">
        <v>23</v>
      </c>
      <c r="F680" s="5" t="s">
        <v>23</v>
      </c>
      <c r="G680" s="5" t="s">
        <v>23</v>
      </c>
      <c r="H680" s="5" t="s">
        <v>23</v>
      </c>
      <c r="I680" s="8">
        <f>IF(OR(LOOKUP(A680,characters!A:A,characters!B:B)=-1, LOOKUP(A680,characters!A:A,characters!B:B)+0.1&gt;=B680),1,0)</f>
        <v/>
      </c>
    </row>
    <row r="681" spans="1:9">
      <c r="A681" s="4" t="s">
        <v>32</v>
      </c>
      <c r="B681" s="7">
        <v>0</v>
      </c>
      <c r="C681" s="5" t="s">
        <v>23</v>
      </c>
      <c r="D681" s="5" t="s">
        <v>23</v>
      </c>
      <c r="E681" s="6">
        <f>IF(I681=1,1.0,0)</f>
        <v/>
      </c>
      <c r="F681" s="6">
        <f>IF(I681=1,0.9,0)</f>
        <v/>
      </c>
      <c r="G681" s="5" t="s">
        <v>23</v>
      </c>
      <c r="H681" s="5" t="s">
        <v>23</v>
      </c>
      <c r="I681" s="8">
        <f>IF(OR(LOOKUP(A681,characters!A:A,characters!B:B)=-1, LOOKUP(A681,characters!A:A,characters!B:B)+0.1&gt;=B681),1,0)</f>
        <v/>
      </c>
    </row>
    <row r="682" spans="1:9">
      <c r="A682" s="4" t="s">
        <v>34</v>
      </c>
      <c r="B682" s="7">
        <v>0</v>
      </c>
      <c r="C682" s="5" t="s">
        <v>23</v>
      </c>
      <c r="D682" s="5" t="s">
        <v>23</v>
      </c>
      <c r="E682" s="5" t="s">
        <v>23</v>
      </c>
      <c r="F682" s="5" t="s">
        <v>23</v>
      </c>
      <c r="G682" s="6">
        <f>IF(I682=1,1.0,0)</f>
        <v/>
      </c>
      <c r="H682" s="5" t="s">
        <v>23</v>
      </c>
      <c r="I682" s="8">
        <f>IF(OR(LOOKUP(A682,characters!A:A,characters!B:B)=-1, LOOKUP(A682,characters!A:A,characters!B:B)+0.1&gt;=B682),1,0)</f>
        <v/>
      </c>
    </row>
    <row r="683" spans="1:9">
      <c r="A683" s="4" t="s">
        <v>40</v>
      </c>
      <c r="B683" s="7">
        <v>0</v>
      </c>
      <c r="C683" s="5" t="s">
        <v>23</v>
      </c>
      <c r="D683" s="5" t="s">
        <v>23</v>
      </c>
      <c r="E683" s="6">
        <f>IF(I683=1,0.9,0)</f>
        <v/>
      </c>
      <c r="F683" s="5" t="s">
        <v>23</v>
      </c>
      <c r="G683" s="6">
        <f>IF(I683=1,1.0,0)</f>
        <v/>
      </c>
      <c r="H683" s="5" t="s">
        <v>23</v>
      </c>
      <c r="I683" s="8">
        <f>IF(OR(LOOKUP(A683,characters!A:A,characters!B:B)=-1, LOOKUP(A683,characters!A:A,characters!B:B)+0.1&gt;=B683),1,0)</f>
        <v/>
      </c>
    </row>
    <row r="684" spans="1:9">
      <c r="A684" s="4" t="s">
        <v>95</v>
      </c>
      <c r="B684" s="7">
        <v>3</v>
      </c>
      <c r="C684" s="5" t="s">
        <v>23</v>
      </c>
      <c r="D684" s="5" t="s">
        <v>23</v>
      </c>
      <c r="E684" s="5" t="s">
        <v>23</v>
      </c>
      <c r="F684" s="5" t="s">
        <v>23</v>
      </c>
      <c r="G684" s="5" t="s">
        <v>23</v>
      </c>
      <c r="H684" s="6">
        <f>IF(I684=1,1.0,0)</f>
        <v/>
      </c>
      <c r="I684" s="8">
        <f>IF(OR(LOOKUP(A684,characters!A:A,characters!B:B)=-1, LOOKUP(A684,characters!A:A,characters!B:B)+0.1&gt;=B684),1,0)</f>
        <v/>
      </c>
    </row>
    <row r="685" spans="1:9">
      <c r="A685" s="4" t="s">
        <v>93</v>
      </c>
      <c r="B685" s="7">
        <v>2</v>
      </c>
      <c r="C685" s="5" t="s">
        <v>23</v>
      </c>
      <c r="D685" s="5" t="s">
        <v>23</v>
      </c>
      <c r="E685" s="5" t="s">
        <v>23</v>
      </c>
      <c r="F685" s="5" t="s">
        <v>23</v>
      </c>
      <c r="G685" s="6">
        <f>IF(I685=1,1.0,0)</f>
        <v/>
      </c>
      <c r="H685" s="6">
        <f>IF(I685=1,0.99,0)</f>
        <v/>
      </c>
      <c r="I685" s="8">
        <f>IF(OR(LOOKUP(A685,characters!A:A,characters!B:B)=-1, LOOKUP(A685,characters!A:A,characters!B:B)+0.1&gt;=B685),1,0)</f>
        <v/>
      </c>
    </row>
    <row r="686" spans="1:9">
      <c r="A686" s="4" t="s">
        <v>43</v>
      </c>
      <c r="B686" s="7">
        <v>1</v>
      </c>
      <c r="C686" s="5" t="s">
        <v>23</v>
      </c>
      <c r="D686" s="5" t="s">
        <v>23</v>
      </c>
      <c r="E686" s="5" t="s">
        <v>23</v>
      </c>
      <c r="F686" s="5" t="s">
        <v>23</v>
      </c>
      <c r="G686" s="6">
        <f>IF(I686=1,1.0,0)</f>
        <v/>
      </c>
      <c r="H686" s="5" t="s">
        <v>23</v>
      </c>
      <c r="I686" s="8">
        <f>IF(OR(LOOKUP(A686,characters!A:A,characters!B:B)=-1, LOOKUP(A686,characters!A:A,characters!B:B)+0.1&gt;=B686),1,0)</f>
        <v/>
      </c>
    </row>
    <row r="687" spans="1:9">
      <c r="A687" s="4" t="s">
        <v>44</v>
      </c>
      <c r="B687" s="7">
        <v>0</v>
      </c>
      <c r="C687" s="5" t="s">
        <v>23</v>
      </c>
      <c r="D687" s="6">
        <f>IF(I687=1,1.0,0)</f>
        <v/>
      </c>
      <c r="E687" s="5" t="s">
        <v>23</v>
      </c>
      <c r="F687" s="5" t="s">
        <v>23</v>
      </c>
      <c r="G687" s="5" t="s">
        <v>23</v>
      </c>
      <c r="H687" s="5" t="s">
        <v>23</v>
      </c>
      <c r="I687" s="8">
        <f>IF(OR(LOOKUP(A687,characters!A:A,characters!B:B)=-1, LOOKUP(A687,characters!A:A,characters!B:B)+0.1&gt;=B687),1,0)</f>
        <v/>
      </c>
    </row>
    <row r="688" spans="1:9">
      <c r="A688" s="4" t="s">
        <v>45</v>
      </c>
      <c r="B688" s="7">
        <v>0</v>
      </c>
      <c r="C688" s="5" t="s">
        <v>23</v>
      </c>
      <c r="D688" s="5" t="s">
        <v>23</v>
      </c>
      <c r="E688" s="6">
        <f>IF(I688=1,0.9,0)</f>
        <v/>
      </c>
      <c r="F688" s="5" t="s">
        <v>23</v>
      </c>
      <c r="G688" s="5" t="s">
        <v>23</v>
      </c>
      <c r="H688" s="6">
        <f>IF(I688=1,1.0,0)</f>
        <v/>
      </c>
      <c r="I688" s="8">
        <f>IF(OR(LOOKUP(A688,characters!A:A,characters!B:B)=-1, LOOKUP(A688,characters!A:A,characters!B:B)+0.1&gt;=B688),1,0)</f>
        <v/>
      </c>
    </row>
    <row r="689" spans="1:9">
      <c r="A689" s="4" t="s">
        <v>46</v>
      </c>
      <c r="B689" s="7">
        <v>0</v>
      </c>
      <c r="C689" s="5" t="s">
        <v>23</v>
      </c>
      <c r="D689" s="5" t="s">
        <v>23</v>
      </c>
      <c r="E689" s="6">
        <f>IF(I689=1,1.0,0)</f>
        <v/>
      </c>
      <c r="F689" s="6">
        <f>IF(I689=1,0.9,0)</f>
        <v/>
      </c>
      <c r="G689" s="5" t="s">
        <v>23</v>
      </c>
      <c r="H689" s="5" t="s">
        <v>23</v>
      </c>
      <c r="I689" s="8">
        <f>IF(OR(LOOKUP(A689,characters!A:A,characters!B:B)=-1, LOOKUP(A689,characters!A:A,characters!B:B)+0.1&gt;=B689),1,0)</f>
        <v/>
      </c>
    </row>
    <row r="691" spans="1:9">
      <c r="A691" s="3" t="s">
        <v>52</v>
      </c>
      <c r="B691" s="3" t="s">
        <v>9</v>
      </c>
      <c r="C691" s="3" t="s">
        <v>17</v>
      </c>
      <c r="D691" s="3" t="s">
        <v>10</v>
      </c>
    </row>
    <row r="692" spans="1:9">
      <c r="A692" s="4" t="s">
        <v>22</v>
      </c>
      <c r="B692" s="5" t="s">
        <v>23</v>
      </c>
      <c r="C692" s="6">
        <f>IF(SUM(E693:E706)=0,0,SUM(C693:C706)/SUM(E693:E706))</f>
        <v/>
      </c>
      <c r="D692" s="6">
        <f>IF(SUM(E693:E706)=0,0,SUM(D693:D706)/SUM(E693:E706))</f>
        <v/>
      </c>
    </row>
    <row r="693" spans="1:9">
      <c r="A693" s="4" t="s">
        <v>75</v>
      </c>
      <c r="B693" s="7">
        <v>2</v>
      </c>
      <c r="C693" s="6">
        <f>IF(E693=1,1.0,0)</f>
        <v/>
      </c>
      <c r="D693" s="6">
        <f>IF(E693=1,0.99,0)</f>
        <v/>
      </c>
      <c r="E693" s="8">
        <f>IF(OR(LOOKUP(A693,characters!A:A,characters!B:B)=-1, LOOKUP(A693,characters!A:A,characters!B:B)+0.1&gt;=B693),1,0)</f>
        <v/>
      </c>
    </row>
    <row r="694" spans="1:9">
      <c r="A694" s="4" t="s">
        <v>24</v>
      </c>
      <c r="B694" s="7">
        <v>0</v>
      </c>
      <c r="C694" s="5" t="s">
        <v>23</v>
      </c>
      <c r="D694" s="6">
        <f>IF(E694=1,1.0,0)</f>
        <v/>
      </c>
      <c r="E694" s="8">
        <f>IF(OR(LOOKUP(A694,characters!A:A,characters!B:B)=-1, LOOKUP(A694,characters!A:A,characters!B:B)+0.1&gt;=B694),1,0)</f>
        <v/>
      </c>
    </row>
    <row r="695" spans="1:9">
      <c r="A695" s="4" t="s">
        <v>92</v>
      </c>
      <c r="B695" s="7">
        <v>2</v>
      </c>
      <c r="C695" s="5" t="s">
        <v>23</v>
      </c>
      <c r="D695" s="6">
        <f>IF(E695=1,1.0,0)</f>
        <v/>
      </c>
      <c r="E695" s="8">
        <f>IF(OR(LOOKUP(A695,characters!A:A,characters!B:B)=-1, LOOKUP(A695,characters!A:A,characters!B:B)+0.1&gt;=B695),1,0)</f>
        <v/>
      </c>
    </row>
    <row r="696" spans="1:9">
      <c r="A696" s="4" t="s">
        <v>94</v>
      </c>
      <c r="B696" s="7">
        <v>3</v>
      </c>
      <c r="C696" s="5" t="s">
        <v>23</v>
      </c>
      <c r="D696" s="6">
        <f>IF(E696=1,1.0,0)</f>
        <v/>
      </c>
      <c r="E696" s="8">
        <f>IF(OR(LOOKUP(A696,characters!A:A,characters!B:B)=-1, LOOKUP(A696,characters!A:A,characters!B:B)+0.1&gt;=B696),1,0)</f>
        <v/>
      </c>
    </row>
    <row r="697" spans="1:9">
      <c r="A697" s="4" t="s">
        <v>27</v>
      </c>
      <c r="B697" s="7">
        <v>1</v>
      </c>
      <c r="C697" s="5" t="s">
        <v>23</v>
      </c>
      <c r="D697" s="6">
        <f>IF(E697=1,1.0,0)</f>
        <v/>
      </c>
      <c r="E697" s="8">
        <f>IF(OR(LOOKUP(A697,characters!A:A,characters!B:B)=-1, LOOKUP(A697,characters!A:A,characters!B:B)+0.1&gt;=B697),1,0)</f>
        <v/>
      </c>
    </row>
    <row r="698" spans="1:9">
      <c r="A698" s="4" t="s">
        <v>32</v>
      </c>
      <c r="B698" s="7">
        <v>0</v>
      </c>
      <c r="C698" s="5" t="s">
        <v>23</v>
      </c>
      <c r="D698" s="6">
        <f>IF(E698=1,1.0,0)</f>
        <v/>
      </c>
      <c r="E698" s="8">
        <f>IF(OR(LOOKUP(A698,characters!A:A,characters!B:B)=-1, LOOKUP(A698,characters!A:A,characters!B:B)+0.1&gt;=B698),1,0)</f>
        <v/>
      </c>
    </row>
    <row r="699" spans="1:9">
      <c r="A699" s="4" t="s">
        <v>34</v>
      </c>
      <c r="B699" s="7">
        <v>0</v>
      </c>
      <c r="C699" s="5" t="s">
        <v>23</v>
      </c>
      <c r="D699" s="6">
        <f>IF(E699=1,1.0,0)</f>
        <v/>
      </c>
      <c r="E699" s="8">
        <f>IF(OR(LOOKUP(A699,characters!A:A,characters!B:B)=-1, LOOKUP(A699,characters!A:A,characters!B:B)+0.1&gt;=B699),1,0)</f>
        <v/>
      </c>
    </row>
    <row r="700" spans="1:9">
      <c r="A700" s="4" t="s">
        <v>40</v>
      </c>
      <c r="B700" s="7">
        <v>0</v>
      </c>
      <c r="C700" s="5" t="s">
        <v>23</v>
      </c>
      <c r="D700" s="6">
        <f>IF(E700=1,1.0,0)</f>
        <v/>
      </c>
      <c r="E700" s="8">
        <f>IF(OR(LOOKUP(A700,characters!A:A,characters!B:B)=-1, LOOKUP(A700,characters!A:A,characters!B:B)+0.1&gt;=B700),1,0)</f>
        <v/>
      </c>
    </row>
    <row r="701" spans="1:9">
      <c r="A701" s="4" t="s">
        <v>95</v>
      </c>
      <c r="B701" s="7">
        <v>3</v>
      </c>
      <c r="C701" s="5" t="s">
        <v>23</v>
      </c>
      <c r="D701" s="6">
        <f>IF(E701=1,1.0,0)</f>
        <v/>
      </c>
      <c r="E701" s="8">
        <f>IF(OR(LOOKUP(A701,characters!A:A,characters!B:B)=-1, LOOKUP(A701,characters!A:A,characters!B:B)+0.1&gt;=B701),1,0)</f>
        <v/>
      </c>
    </row>
    <row r="702" spans="1:9">
      <c r="A702" s="4" t="s">
        <v>93</v>
      </c>
      <c r="B702" s="7">
        <v>2</v>
      </c>
      <c r="C702" s="5" t="s">
        <v>23</v>
      </c>
      <c r="D702" s="6">
        <f>IF(E702=1,1.0,0)</f>
        <v/>
      </c>
      <c r="E702" s="8">
        <f>IF(OR(LOOKUP(A702,characters!A:A,characters!B:B)=-1, LOOKUP(A702,characters!A:A,characters!B:B)+0.1&gt;=B702),1,0)</f>
        <v/>
      </c>
    </row>
    <row r="703" spans="1:9">
      <c r="A703" s="4" t="s">
        <v>43</v>
      </c>
      <c r="B703" s="7">
        <v>1</v>
      </c>
      <c r="C703" s="5" t="s">
        <v>23</v>
      </c>
      <c r="D703" s="6">
        <f>IF(E703=1,1.0,0)</f>
        <v/>
      </c>
      <c r="E703" s="8">
        <f>IF(OR(LOOKUP(A703,characters!A:A,characters!B:B)=-1, LOOKUP(A703,characters!A:A,characters!B:B)+0.1&gt;=B703),1,0)</f>
        <v/>
      </c>
    </row>
    <row r="704" spans="1:9">
      <c r="A704" s="4" t="s">
        <v>44</v>
      </c>
      <c r="B704" s="7">
        <v>0</v>
      </c>
      <c r="C704" s="5" t="s">
        <v>23</v>
      </c>
      <c r="D704" s="6">
        <f>IF(E704=1,1.0,0)</f>
        <v/>
      </c>
      <c r="E704" s="8">
        <f>IF(OR(LOOKUP(A704,characters!A:A,characters!B:B)=-1, LOOKUP(A704,characters!A:A,characters!B:B)+0.1&gt;=B704),1,0)</f>
        <v/>
      </c>
    </row>
    <row r="705" spans="1:8">
      <c r="A705" s="4" t="s">
        <v>45</v>
      </c>
      <c r="B705" s="7">
        <v>0</v>
      </c>
      <c r="C705" s="5" t="s">
        <v>23</v>
      </c>
      <c r="D705" s="6">
        <f>IF(E705=1,1.0,0)</f>
        <v/>
      </c>
      <c r="E705" s="8">
        <f>IF(OR(LOOKUP(A705,characters!A:A,characters!B:B)=-1, LOOKUP(A705,characters!A:A,characters!B:B)+0.1&gt;=B705),1,0)</f>
        <v/>
      </c>
    </row>
    <row r="706" spans="1:8">
      <c r="A706" s="4" t="s">
        <v>46</v>
      </c>
      <c r="B706" s="7">
        <v>0</v>
      </c>
      <c r="C706" s="5" t="s">
        <v>23</v>
      </c>
      <c r="D706" s="6">
        <f>IF(E706=1,1.0,0)</f>
        <v/>
      </c>
      <c r="E706" s="8">
        <f>IF(OR(LOOKUP(A706,characters!A:A,characters!B:B)=-1, LOOKUP(A706,characters!A:A,characters!B:B)+0.1&gt;=B706),1,0)</f>
        <v/>
      </c>
    </row>
    <row r="713" spans="1:8">
      <c r="A713" s="3" t="s">
        <v>96</v>
      </c>
    </row>
    <row r="714" spans="1:8">
      <c r="A714" s="3" t="s">
        <v>8</v>
      </c>
      <c r="B714" s="3" t="s">
        <v>9</v>
      </c>
      <c r="C714" s="3" t="s">
        <v>10</v>
      </c>
      <c r="D714" s="3" t="s">
        <v>19</v>
      </c>
      <c r="E714" s="3" t="s">
        <v>14</v>
      </c>
      <c r="F714" s="3" t="s">
        <v>15</v>
      </c>
      <c r="G714" s="3" t="s">
        <v>11</v>
      </c>
    </row>
    <row r="715" spans="1:8">
      <c r="A715" s="4" t="s">
        <v>22</v>
      </c>
      <c r="B715" s="5" t="s">
        <v>23</v>
      </c>
      <c r="C715" s="6">
        <f>IF(SUM(H716)=0,0,SUM(C716)/SUM(H716))</f>
        <v/>
      </c>
      <c r="D715" s="6">
        <f>IF(SUM(H716)=0,0,SUM(D716)/SUM(H716))</f>
        <v/>
      </c>
      <c r="E715" s="6">
        <f>IF(SUM(H716)=0,0,SUM(E716)/SUM(H716))</f>
        <v/>
      </c>
      <c r="F715" s="6">
        <f>IF(SUM(H716)=0,0,SUM(F716)/SUM(H716))</f>
        <v/>
      </c>
      <c r="G715" s="6">
        <f>IF(SUM(H716)=0,0,SUM(G716)/SUM(H716))</f>
        <v/>
      </c>
    </row>
    <row r="716" spans="1:8">
      <c r="A716" s="4" t="s">
        <v>44</v>
      </c>
      <c r="B716" s="7">
        <v>0</v>
      </c>
      <c r="C716" s="6">
        <f>IF(H716=1,1.0,0)</f>
        <v/>
      </c>
      <c r="D716" s="6">
        <f>IF(H716=1,0.9,0)</f>
        <v/>
      </c>
      <c r="E716" s="6">
        <f>IF(H716=1,0.8,0)</f>
        <v/>
      </c>
      <c r="F716" s="6">
        <f>IF(H716=1,0.8,0)</f>
        <v/>
      </c>
      <c r="G716" s="6">
        <f>IF(H716=1,0.8,0)</f>
        <v/>
      </c>
      <c r="H716" s="8">
        <f>IF(OR(LOOKUP(A716,characters!A:A,characters!B:B)=-1, LOOKUP(A716,characters!A:A,characters!B:B)+0.1&gt;=B716),1,0)</f>
        <v/>
      </c>
    </row>
    <row r="718" spans="1:8">
      <c r="A718" s="3" t="s">
        <v>49</v>
      </c>
      <c r="B718" s="3" t="s">
        <v>9</v>
      </c>
      <c r="C718" s="3" t="s">
        <v>19</v>
      </c>
    </row>
    <row r="719" spans="1:8">
      <c r="A719" s="4" t="s">
        <v>22</v>
      </c>
      <c r="B719" s="5" t="s">
        <v>23</v>
      </c>
      <c r="C719" s="6">
        <f>IF(SUM(D720)=0,0,SUM(C720)/SUM(D720))</f>
        <v/>
      </c>
    </row>
    <row r="720" spans="1:8">
      <c r="A720" s="4" t="s">
        <v>44</v>
      </c>
      <c r="B720" s="7">
        <v>0</v>
      </c>
      <c r="C720" s="6">
        <f>IF(D720=1,1.0,0)</f>
        <v/>
      </c>
      <c r="D720" s="8">
        <f>IF(OR(LOOKUP(A720,characters!A:A,characters!B:B)=-1, LOOKUP(A720,characters!A:A,characters!B:B)+0.1&gt;=B720),1,0)</f>
        <v/>
      </c>
    </row>
    <row r="722" spans="1:8">
      <c r="A722" s="3" t="s">
        <v>52</v>
      </c>
      <c r="B722" s="3" t="s">
        <v>9</v>
      </c>
      <c r="C722" s="3" t="s">
        <v>10</v>
      </c>
    </row>
    <row r="723" spans="1:8">
      <c r="A723" s="4" t="s">
        <v>22</v>
      </c>
      <c r="B723" s="5" t="s">
        <v>23</v>
      </c>
      <c r="C723" s="6">
        <f>IF(SUM(D724)=0,0,SUM(C724)/SUM(D724))</f>
        <v/>
      </c>
    </row>
    <row r="724" spans="1:8">
      <c r="A724" s="4" t="s">
        <v>44</v>
      </c>
      <c r="B724" s="7">
        <v>0</v>
      </c>
      <c r="C724" s="6">
        <f>IF(D724=1,1.0,0)</f>
        <v/>
      </c>
      <c r="D724" s="8">
        <f>IF(OR(LOOKUP(A724,characters!A:A,characters!B:B)=-1, LOOKUP(A724,characters!A:A,characters!B:B)+0.1&gt;=B724),1,0)</f>
        <v/>
      </c>
    </row>
    <row r="731" spans="1:8">
      <c r="A731" s="3" t="s">
        <v>97</v>
      </c>
    </row>
    <row r="732" spans="1:8">
      <c r="A732" s="3" t="s">
        <v>8</v>
      </c>
      <c r="B732" s="3" t="s">
        <v>9</v>
      </c>
      <c r="C732" s="3" t="s">
        <v>10</v>
      </c>
      <c r="D732" s="3" t="s">
        <v>17</v>
      </c>
      <c r="E732" s="3" t="s">
        <v>12</v>
      </c>
      <c r="F732" s="3" t="s">
        <v>13</v>
      </c>
      <c r="G732" s="3" t="s">
        <v>11</v>
      </c>
    </row>
    <row r="733" spans="1:8">
      <c r="A733" s="4" t="s">
        <v>22</v>
      </c>
      <c r="B733" s="5" t="s">
        <v>23</v>
      </c>
      <c r="C733" s="6">
        <f>IF(SUM(H734)=0,0,SUM(C734)/SUM(H734))</f>
        <v/>
      </c>
      <c r="D733" s="6">
        <f>IF(SUM(H734)=0,0,SUM(D734)/SUM(H734))</f>
        <v/>
      </c>
      <c r="E733" s="6">
        <f>IF(SUM(H734)=0,0,SUM(E734)/SUM(H734))</f>
        <v/>
      </c>
      <c r="F733" s="6">
        <f>IF(SUM(H734)=0,0,SUM(F734)/SUM(H734))</f>
        <v/>
      </c>
      <c r="G733" s="6">
        <f>IF(SUM(H734)=0,0,SUM(G734)/SUM(H734))</f>
        <v/>
      </c>
    </row>
    <row r="734" spans="1:8">
      <c r="A734" s="4" t="s">
        <v>36</v>
      </c>
      <c r="B734" s="7">
        <v>0</v>
      </c>
      <c r="C734" s="6">
        <f>IF(H734=1,1.0,0)</f>
        <v/>
      </c>
      <c r="D734" s="6">
        <f>IF(H734=1,0.9,0)</f>
        <v/>
      </c>
      <c r="E734" s="6">
        <f>IF(H734=1,0.8,0)</f>
        <v/>
      </c>
      <c r="F734" s="6">
        <f>IF(H734=1,0.8,0)</f>
        <v/>
      </c>
      <c r="G734" s="6">
        <f>IF(H734=1,0.7,0)</f>
        <v/>
      </c>
      <c r="H734" s="8">
        <f>IF(OR(LOOKUP(A734,characters!A:A,characters!B:B)=-1, LOOKUP(A734,characters!A:A,characters!B:B)+0.1&gt;=B734),1,0)</f>
        <v/>
      </c>
    </row>
    <row r="736" spans="1:8">
      <c r="A736" s="3" t="s">
        <v>49</v>
      </c>
      <c r="B736" s="3" t="s">
        <v>9</v>
      </c>
      <c r="C736" s="3" t="s">
        <v>50</v>
      </c>
    </row>
    <row r="737" spans="1:9">
      <c r="A737" s="4" t="s">
        <v>22</v>
      </c>
      <c r="B737" s="5" t="s">
        <v>23</v>
      </c>
      <c r="C737" s="6">
        <f>IF(SUM(D738)=0,0,SUM(C738)/SUM(D738))</f>
        <v/>
      </c>
    </row>
    <row r="738" spans="1:9">
      <c r="A738" s="4" t="s">
        <v>36</v>
      </c>
      <c r="B738" s="7">
        <v>0</v>
      </c>
      <c r="C738" s="6">
        <f>IF(D738=1,1.0,0)</f>
        <v/>
      </c>
      <c r="D738" s="8">
        <f>IF(OR(LOOKUP(A738,characters!A:A,characters!B:B)=-1, LOOKUP(A738,characters!A:A,characters!B:B)+0.1&gt;=B738),1,0)</f>
        <v/>
      </c>
    </row>
    <row r="740" spans="1:9">
      <c r="A740" s="3" t="s">
        <v>52</v>
      </c>
      <c r="B740" s="3" t="s">
        <v>9</v>
      </c>
      <c r="C740" s="3" t="s">
        <v>10</v>
      </c>
    </row>
    <row r="741" spans="1:9">
      <c r="A741" s="4" t="s">
        <v>22</v>
      </c>
      <c r="B741" s="5" t="s">
        <v>23</v>
      </c>
      <c r="C741" s="6">
        <f>IF(SUM(D742)=0,0,SUM(C742)/SUM(D742))</f>
        <v/>
      </c>
    </row>
    <row r="742" spans="1:9">
      <c r="A742" s="4" t="s">
        <v>36</v>
      </c>
      <c r="B742" s="7">
        <v>0</v>
      </c>
      <c r="C742" s="6">
        <f>IF(D742=1,1.0,0)</f>
        <v/>
      </c>
      <c r="D742" s="8">
        <f>IF(OR(LOOKUP(A742,characters!A:A,characters!B:B)=-1, LOOKUP(A742,characters!A:A,characters!B:B)+0.1&gt;=B742),1,0)</f>
        <v/>
      </c>
    </row>
    <row r="749" spans="1:9">
      <c r="A749" s="3" t="s">
        <v>98</v>
      </c>
    </row>
    <row r="750" spans="1:9">
      <c r="A750" s="3" t="s">
        <v>8</v>
      </c>
      <c r="B750" s="3" t="s">
        <v>9</v>
      </c>
      <c r="C750" s="3" t="s">
        <v>16</v>
      </c>
      <c r="D750" s="3" t="s">
        <v>10</v>
      </c>
      <c r="E750" s="3" t="s">
        <v>17</v>
      </c>
      <c r="F750" s="3" t="s">
        <v>13</v>
      </c>
      <c r="G750" s="3" t="s">
        <v>12</v>
      </c>
      <c r="H750" s="3" t="s">
        <v>18</v>
      </c>
    </row>
    <row r="751" spans="1:9">
      <c r="A751" s="4" t="s">
        <v>22</v>
      </c>
      <c r="B751" s="5" t="s">
        <v>23</v>
      </c>
      <c r="C751" s="6">
        <f>IF(SUM(I752:I753)=0,0,SUM(C752:C753)/SUM(I752:I753))</f>
        <v/>
      </c>
      <c r="D751" s="6">
        <f>IF(SUM(I752:I753)=0,0,SUM(D752:D753)/SUM(I752:I753))</f>
        <v/>
      </c>
      <c r="E751" s="6">
        <f>IF(SUM(I752:I753)=0,0,SUM(E752:E753)/SUM(I752:I753))</f>
        <v/>
      </c>
      <c r="F751" s="6">
        <f>IF(SUM(I752:I753)=0,0,SUM(F752:F753)/SUM(I752:I753))</f>
        <v/>
      </c>
      <c r="G751" s="6">
        <f>IF(SUM(I752:I753)=0,0,SUM(G752:G753)/SUM(I752:I753))</f>
        <v/>
      </c>
      <c r="H751" s="6">
        <f>IF(SUM(I752:I753)=0,0,SUM(H752:H753)/SUM(I752:I753))</f>
        <v/>
      </c>
    </row>
    <row r="752" spans="1:9">
      <c r="A752" s="4" t="s">
        <v>31</v>
      </c>
      <c r="B752" s="7">
        <v>0</v>
      </c>
      <c r="C752" s="6">
        <f>IF(I752=1,1.0,0)</f>
        <v/>
      </c>
      <c r="D752" s="6">
        <f>IF(I752=1,0.9,0)</f>
        <v/>
      </c>
      <c r="E752" s="6">
        <f>IF(I752=1,0.8,0)</f>
        <v/>
      </c>
      <c r="F752" s="6">
        <f>IF(I752=1,0.7,0)</f>
        <v/>
      </c>
      <c r="G752" s="6">
        <f>IF(I752=1,0.7,0)</f>
        <v/>
      </c>
      <c r="H752" s="6">
        <f>IF(I752=1,0.7,0)</f>
        <v/>
      </c>
      <c r="I752" s="8">
        <f>IF(OR(LOOKUP(A752,characters!A:A,characters!B:B)=-1, LOOKUP(A752,characters!A:A,characters!B:B)+0.1&gt;=B752),1,0)</f>
        <v/>
      </c>
    </row>
    <row r="753" spans="1:9">
      <c r="A753" s="4" t="s">
        <v>34</v>
      </c>
      <c r="B753" s="7">
        <v>1</v>
      </c>
      <c r="C753" s="6">
        <f>IF(I753=1,1.0,0)</f>
        <v/>
      </c>
      <c r="D753" s="6">
        <f>IF(I753=1,0.9,0)</f>
        <v/>
      </c>
      <c r="E753" s="6">
        <f>IF(I753=1,0.8,0)</f>
        <v/>
      </c>
      <c r="F753" s="5" t="s">
        <v>23</v>
      </c>
      <c r="G753" s="5" t="s">
        <v>23</v>
      </c>
      <c r="H753" s="5" t="s">
        <v>23</v>
      </c>
      <c r="I753" s="8">
        <f>IF(OR(LOOKUP(A753,characters!A:A,characters!B:B)=-1, LOOKUP(A753,characters!A:A,characters!B:B)+0.1&gt;=B753),1,0)</f>
        <v/>
      </c>
    </row>
    <row r="755" spans="1:9">
      <c r="A755" s="3" t="s">
        <v>49</v>
      </c>
      <c r="B755" s="3" t="s">
        <v>9</v>
      </c>
      <c r="C755" s="3" t="s">
        <v>17</v>
      </c>
      <c r="D755" s="3" t="s">
        <v>16</v>
      </c>
    </row>
    <row r="756" spans="1:9">
      <c r="A756" s="4" t="s">
        <v>22</v>
      </c>
      <c r="B756" s="5" t="s">
        <v>23</v>
      </c>
      <c r="C756" s="6">
        <f>IF(SUM(E757:E758)=0,0,SUM(C757:C758)/SUM(E757:E758))</f>
        <v/>
      </c>
      <c r="D756" s="6">
        <f>IF(SUM(E757:E758)=0,0,SUM(D757:D758)/SUM(E757:E758))</f>
        <v/>
      </c>
    </row>
    <row r="757" spans="1:9">
      <c r="A757" s="4" t="s">
        <v>31</v>
      </c>
      <c r="B757" s="7">
        <v>0</v>
      </c>
      <c r="C757" s="6">
        <f>IF(E757=1,1.0,0)</f>
        <v/>
      </c>
      <c r="D757" s="6">
        <f>IF(E757=1,0.9,0)</f>
        <v/>
      </c>
      <c r="E757" s="8">
        <f>IF(OR(LOOKUP(A757,characters!A:A,characters!B:B)=-1, LOOKUP(A757,characters!A:A,characters!B:B)+0.1&gt;=B757),1,0)</f>
        <v/>
      </c>
    </row>
    <row r="758" spans="1:9">
      <c r="A758" s="4" t="s">
        <v>34</v>
      </c>
      <c r="B758" s="7">
        <v>1</v>
      </c>
      <c r="C758" s="5" t="s">
        <v>23</v>
      </c>
      <c r="D758" s="6">
        <f>IF(E758=1,1.0,0)</f>
        <v/>
      </c>
      <c r="E758" s="8">
        <f>IF(OR(LOOKUP(A758,characters!A:A,characters!B:B)=-1, LOOKUP(A758,characters!A:A,characters!B:B)+0.1&gt;=B758),1,0)</f>
        <v/>
      </c>
    </row>
    <row r="760" spans="1:9">
      <c r="A760" s="3" t="s">
        <v>52</v>
      </c>
      <c r="B760" s="3" t="s">
        <v>9</v>
      </c>
      <c r="C760" s="3" t="s">
        <v>10</v>
      </c>
    </row>
    <row r="761" spans="1:9">
      <c r="A761" s="4" t="s">
        <v>22</v>
      </c>
      <c r="B761" s="5" t="s">
        <v>23</v>
      </c>
      <c r="C761" s="6">
        <f>IF(SUM(D762:D763)=0,0,SUM(C762:C763)/SUM(D762:D763))</f>
        <v/>
      </c>
    </row>
    <row r="762" spans="1:9">
      <c r="A762" s="4" t="s">
        <v>31</v>
      </c>
      <c r="B762" s="7">
        <v>0</v>
      </c>
      <c r="C762" s="6">
        <f>IF(D762=1,1.0,0)</f>
        <v/>
      </c>
      <c r="D762" s="8">
        <f>IF(OR(LOOKUP(A762,characters!A:A,characters!B:B)=-1, LOOKUP(A762,characters!A:A,characters!B:B)+0.1&gt;=B762),1,0)</f>
        <v/>
      </c>
    </row>
    <row r="763" spans="1:9">
      <c r="A763" s="4" t="s">
        <v>34</v>
      </c>
      <c r="B763" s="7">
        <v>1</v>
      </c>
      <c r="C763" s="6">
        <f>IF(D763=1,1.0,0)</f>
        <v/>
      </c>
      <c r="D763" s="8">
        <f>IF(OR(LOOKUP(A763,characters!A:A,characters!B:B)=-1, LOOKUP(A763,characters!A:A,characters!B:B)+0.1&gt;=B763),1,0)</f>
        <v/>
      </c>
    </row>
    <row r="770" spans="1:7">
      <c r="A770" s="3" t="s">
        <v>99</v>
      </c>
    </row>
    <row r="771" spans="1:7">
      <c r="A771" s="3" t="s">
        <v>8</v>
      </c>
      <c r="B771" s="3" t="s">
        <v>9</v>
      </c>
      <c r="C771" s="3" t="s">
        <v>10</v>
      </c>
      <c r="D771" s="3" t="s">
        <v>21</v>
      </c>
      <c r="E771" s="3" t="s">
        <v>19</v>
      </c>
      <c r="F771" s="3" t="s">
        <v>17</v>
      </c>
    </row>
    <row r="772" spans="1:7">
      <c r="A772" s="4" t="s">
        <v>22</v>
      </c>
      <c r="B772" s="5" t="s">
        <v>23</v>
      </c>
      <c r="C772" s="6">
        <f>IF(SUM(G773:G774)=0,0,SUM(C773:C774)/SUM(G773:G774))</f>
        <v/>
      </c>
      <c r="D772" s="6">
        <f>IF(SUM(G773:G774)=0,0,SUM(D773:D774)/SUM(G773:G774))</f>
        <v/>
      </c>
      <c r="E772" s="6">
        <f>IF(SUM(G773:G774)=0,0,SUM(E773:E774)/SUM(G773:G774))</f>
        <v/>
      </c>
      <c r="F772" s="6">
        <f>IF(SUM(G773:G774)=0,0,SUM(F773:F774)/SUM(G773:G774))</f>
        <v/>
      </c>
    </row>
    <row r="773" spans="1:7">
      <c r="A773" s="4" t="s">
        <v>100</v>
      </c>
      <c r="B773" s="7">
        <v>2</v>
      </c>
      <c r="C773" s="6">
        <f>IF(G773=1,1.0,0)</f>
        <v/>
      </c>
      <c r="D773" s="6">
        <f>IF(G773=1,1.0,0)</f>
        <v/>
      </c>
      <c r="E773" s="6">
        <f>IF(G773=1,1.0,0)</f>
        <v/>
      </c>
      <c r="F773" s="6">
        <f>IF(G773=1,0.9,0)</f>
        <v/>
      </c>
      <c r="G773" s="8">
        <f>IF(OR(LOOKUP(A773,characters!A:A,characters!B:B)=-1, LOOKUP(A773,characters!A:A,characters!B:B)+0.1&gt;=B773),1,0)</f>
        <v/>
      </c>
    </row>
    <row r="774" spans="1:7">
      <c r="A774" s="4" t="s">
        <v>101</v>
      </c>
      <c r="B774" s="7">
        <v>3</v>
      </c>
      <c r="C774" s="6">
        <f>IF(G774=1,1.0,0)</f>
        <v/>
      </c>
      <c r="D774" s="6">
        <f>IF(G774=1,0.9,0)</f>
        <v/>
      </c>
      <c r="E774" s="6">
        <f>IF(G774=1,0.9,0)</f>
        <v/>
      </c>
      <c r="F774" s="6">
        <f>IF(G774=1,0.8,0)</f>
        <v/>
      </c>
      <c r="G774" s="8">
        <f>IF(OR(LOOKUP(A774,characters!A:A,characters!B:B)=-1, LOOKUP(A774,characters!A:A,characters!B:B)+0.1&gt;=B774),1,0)</f>
        <v/>
      </c>
    </row>
    <row r="776" spans="1:7">
      <c r="A776" s="3" t="s">
        <v>49</v>
      </c>
      <c r="B776" s="3" t="s">
        <v>9</v>
      </c>
      <c r="C776" s="3" t="s">
        <v>21</v>
      </c>
      <c r="D776" s="3" t="s">
        <v>19</v>
      </c>
    </row>
    <row r="777" spans="1:7">
      <c r="A777" s="4" t="s">
        <v>22</v>
      </c>
      <c r="B777" s="5" t="s">
        <v>23</v>
      </c>
      <c r="C777" s="6">
        <f>IF(SUM(E778:E779)=0,0,SUM(C778:C779)/SUM(E778:E779))</f>
        <v/>
      </c>
      <c r="D777" s="6">
        <f>IF(SUM(E778:E779)=0,0,SUM(D778:D779)/SUM(E778:E779))</f>
        <v/>
      </c>
    </row>
    <row r="778" spans="1:7">
      <c r="A778" s="4" t="s">
        <v>100</v>
      </c>
      <c r="B778" s="7">
        <v>2</v>
      </c>
      <c r="C778" s="6">
        <f>IF(E778=1,1.0,0)</f>
        <v/>
      </c>
      <c r="D778" s="6">
        <f>IF(E778=1,0.99,0)</f>
        <v/>
      </c>
      <c r="E778" s="8">
        <f>IF(OR(LOOKUP(A778,characters!A:A,characters!B:B)=-1, LOOKUP(A778,characters!A:A,characters!B:B)+0.1&gt;=B778),1,0)</f>
        <v/>
      </c>
    </row>
    <row r="779" spans="1:7">
      <c r="A779" s="4" t="s">
        <v>101</v>
      </c>
      <c r="B779" s="7">
        <v>3</v>
      </c>
      <c r="C779" s="6">
        <f>IF(E779=1,1.0,0)</f>
        <v/>
      </c>
      <c r="D779" s="6">
        <f>IF(E779=1,0.99,0)</f>
        <v/>
      </c>
      <c r="E779" s="8">
        <f>IF(OR(LOOKUP(A779,characters!A:A,characters!B:B)=-1, LOOKUP(A779,characters!A:A,characters!B:B)+0.1&gt;=B779),1,0)</f>
        <v/>
      </c>
    </row>
    <row r="781" spans="1:7">
      <c r="A781" s="3" t="s">
        <v>52</v>
      </c>
      <c r="B781" s="3" t="s">
        <v>9</v>
      </c>
      <c r="C781" s="3" t="s">
        <v>17</v>
      </c>
      <c r="D781" s="3" t="s">
        <v>10</v>
      </c>
    </row>
    <row r="782" spans="1:7">
      <c r="A782" s="4" t="s">
        <v>22</v>
      </c>
      <c r="B782" s="5" t="s">
        <v>23</v>
      </c>
      <c r="C782" s="6">
        <f>IF(SUM(E783:E784)=0,0,SUM(C783:C784)/SUM(E783:E784))</f>
        <v/>
      </c>
      <c r="D782" s="6">
        <f>IF(SUM(E783:E784)=0,0,SUM(D783:D784)/SUM(E783:E784))</f>
        <v/>
      </c>
    </row>
    <row r="783" spans="1:7">
      <c r="A783" s="4" t="s">
        <v>100</v>
      </c>
      <c r="B783" s="7">
        <v>2</v>
      </c>
      <c r="C783" s="6">
        <f>IF(E783=1,1.0,0)</f>
        <v/>
      </c>
      <c r="D783" s="5" t="s">
        <v>23</v>
      </c>
      <c r="E783" s="8">
        <f>IF(OR(LOOKUP(A783,characters!A:A,characters!B:B)=-1, LOOKUP(A783,characters!A:A,characters!B:B)+0.1&gt;=B783),1,0)</f>
        <v/>
      </c>
    </row>
    <row r="784" spans="1:7">
      <c r="A784" s="4" t="s">
        <v>101</v>
      </c>
      <c r="B784" s="7">
        <v>3</v>
      </c>
      <c r="C784" s="6">
        <f>IF(E784=1,0.99,0)</f>
        <v/>
      </c>
      <c r="D784" s="6">
        <f>IF(E784=1,1.0,0)</f>
        <v/>
      </c>
      <c r="E784" s="8">
        <f>IF(OR(LOOKUP(A784,characters!A:A,characters!B:B)=-1, LOOKUP(A784,characters!A:A,characters!B:B)+0.1&gt;=B784),1,0)</f>
        <v/>
      </c>
    </row>
    <row r="791" spans="1:11">
      <c r="A791" s="3" t="s">
        <v>102</v>
      </c>
    </row>
    <row r="792" spans="1:11">
      <c r="A792" s="3" t="s">
        <v>8</v>
      </c>
      <c r="B792" s="3" t="s">
        <v>9</v>
      </c>
      <c r="C792" s="3" t="s">
        <v>10</v>
      </c>
      <c r="D792" s="3" t="s">
        <v>17</v>
      </c>
      <c r="E792" s="3" t="s">
        <v>19</v>
      </c>
      <c r="F792" s="3" t="s">
        <v>21</v>
      </c>
      <c r="G792" s="3" t="s">
        <v>18</v>
      </c>
      <c r="H792" s="3" t="s">
        <v>16</v>
      </c>
      <c r="I792" s="3" t="s">
        <v>13</v>
      </c>
      <c r="J792" s="3" t="s">
        <v>12</v>
      </c>
    </row>
    <row r="793" spans="1:11">
      <c r="A793" s="4" t="s">
        <v>22</v>
      </c>
      <c r="B793" s="5" t="s">
        <v>23</v>
      </c>
      <c r="C793" s="6">
        <f>IF(SUM(K794:K818)=0,0,SUM(C794:C818)/SUM(K794:K818))</f>
        <v/>
      </c>
      <c r="D793" s="6">
        <f>IF(SUM(K794:K818)=0,0,SUM(D794:D818)/SUM(K794:K818))</f>
        <v/>
      </c>
      <c r="E793" s="6">
        <f>IF(SUM(K794:K818)=0,0,SUM(E794:E818)/SUM(K794:K818))</f>
        <v/>
      </c>
      <c r="F793" s="6">
        <f>IF(SUM(K794:K818)=0,0,SUM(F794:F818)/SUM(K794:K818))</f>
        <v/>
      </c>
      <c r="G793" s="6">
        <f>IF(SUM(K794:K818)=0,0,SUM(G794:G818)/SUM(K794:K818))</f>
        <v/>
      </c>
      <c r="H793" s="6">
        <f>IF(SUM(K794:K818)=0,0,SUM(H794:H818)/SUM(K794:K818))</f>
        <v/>
      </c>
      <c r="I793" s="6">
        <f>IF(SUM(K794:K818)=0,0,SUM(I794:I818)/SUM(K794:K818))</f>
        <v/>
      </c>
      <c r="J793" s="6">
        <f>IF(SUM(K794:K818)=0,0,SUM(J794:J818)/SUM(K794:K818))</f>
        <v/>
      </c>
    </row>
    <row r="794" spans="1:11">
      <c r="A794" s="4" t="s">
        <v>31</v>
      </c>
      <c r="B794" s="7">
        <v>0</v>
      </c>
      <c r="C794" s="6">
        <f>IF(K794=1,0.9,0)</f>
        <v/>
      </c>
      <c r="D794" s="6">
        <f>IF(K794=1,0.8,0)</f>
        <v/>
      </c>
      <c r="E794" s="5" t="s">
        <v>23</v>
      </c>
      <c r="F794" s="5" t="s">
        <v>23</v>
      </c>
      <c r="G794" s="6">
        <f>IF(K794=1,0.7,0)</f>
        <v/>
      </c>
      <c r="H794" s="6">
        <f>IF(K794=1,1.0,0)</f>
        <v/>
      </c>
      <c r="I794" s="6">
        <f>IF(K794=1,0.7,0)</f>
        <v/>
      </c>
      <c r="J794" s="6">
        <f>IF(K794=1,0.7,0)</f>
        <v/>
      </c>
      <c r="K794" s="8">
        <f>IF(OR(LOOKUP(A794,characters!A:A,characters!B:B)=-1, LOOKUP(A794,characters!A:A,characters!B:B)+0.1&gt;=B794),1,0)</f>
        <v/>
      </c>
    </row>
    <row r="795" spans="1:11">
      <c r="A795" s="4" t="s">
        <v>101</v>
      </c>
      <c r="B795" s="7">
        <v>0</v>
      </c>
      <c r="C795" s="6">
        <f>IF(K795=1,1.0,0)</f>
        <v/>
      </c>
      <c r="D795" s="6">
        <f>IF(K795=1,0.8,0)</f>
        <v/>
      </c>
      <c r="E795" s="6">
        <f>IF(K795=1,0.9,0)</f>
        <v/>
      </c>
      <c r="F795" s="6">
        <f>IF(K795=1,0.9,0)</f>
        <v/>
      </c>
      <c r="G795" s="5" t="s">
        <v>23</v>
      </c>
      <c r="H795" s="5" t="s">
        <v>23</v>
      </c>
      <c r="I795" s="5" t="s">
        <v>23</v>
      </c>
      <c r="J795" s="5" t="s">
        <v>23</v>
      </c>
      <c r="K795" s="8">
        <f>IF(OR(LOOKUP(A795,characters!A:A,characters!B:B)=-1, LOOKUP(A795,characters!A:A,characters!B:B)+0.1&gt;=B795),1,0)</f>
        <v/>
      </c>
    </row>
    <row r="796" spans="1:11">
      <c r="A796" s="4" t="s">
        <v>59</v>
      </c>
      <c r="B796" s="7">
        <v>0</v>
      </c>
      <c r="C796" s="6">
        <f>IF(K796=1,1.0,0)</f>
        <v/>
      </c>
      <c r="D796" s="6">
        <f>IF(K796=1,0.9,0)</f>
        <v/>
      </c>
      <c r="E796" s="5" t="s">
        <v>23</v>
      </c>
      <c r="F796" s="5" t="s">
        <v>23</v>
      </c>
      <c r="G796" s="6">
        <f>IF(K796=1,0.8,0)</f>
        <v/>
      </c>
      <c r="H796" s="6">
        <f>IF(K796=1,1.0,0)</f>
        <v/>
      </c>
      <c r="I796" s="5" t="s">
        <v>23</v>
      </c>
      <c r="J796" s="5" t="s">
        <v>23</v>
      </c>
      <c r="K796" s="8">
        <f>IF(OR(LOOKUP(A796,characters!A:A,characters!B:B)=-1, LOOKUP(A796,characters!A:A,characters!B:B)+0.1&gt;=B796),1,0)</f>
        <v/>
      </c>
    </row>
    <row r="797" spans="1:11">
      <c r="A797" s="4" t="s">
        <v>93</v>
      </c>
      <c r="B797" s="7">
        <v>0</v>
      </c>
      <c r="C797" s="6">
        <f>IF(K797=1,1.0,0)</f>
        <v/>
      </c>
      <c r="D797" s="6">
        <f>IF(K797=1,0.9,0)</f>
        <v/>
      </c>
      <c r="E797" s="5" t="s">
        <v>23</v>
      </c>
      <c r="F797" s="5" t="s">
        <v>23</v>
      </c>
      <c r="G797" s="6">
        <f>IF(K797=1,0.8,0)</f>
        <v/>
      </c>
      <c r="H797" s="6">
        <f>IF(K797=1,1.0,0)</f>
        <v/>
      </c>
      <c r="I797" s="5" t="s">
        <v>23</v>
      </c>
      <c r="J797" s="5" t="s">
        <v>23</v>
      </c>
      <c r="K797" s="8">
        <f>IF(OR(LOOKUP(A797,characters!A:A,characters!B:B)=-1, LOOKUP(A797,characters!A:A,characters!B:B)+0.1&gt;=B797),1,0)</f>
        <v/>
      </c>
    </row>
    <row r="798" spans="1:11">
      <c r="A798" s="4" t="s">
        <v>60</v>
      </c>
      <c r="B798" s="7">
        <v>0</v>
      </c>
      <c r="C798" s="6">
        <f>IF(K798=1,1.0,0)</f>
        <v/>
      </c>
      <c r="D798" s="6">
        <f>IF(K798=1,0.8,0)</f>
        <v/>
      </c>
      <c r="E798" s="6">
        <f>IF(K798=1,0.9,0)</f>
        <v/>
      </c>
      <c r="F798" s="6">
        <f>IF(K798=1,0.9,0)</f>
        <v/>
      </c>
      <c r="G798" s="5" t="s">
        <v>23</v>
      </c>
      <c r="H798" s="5" t="s">
        <v>23</v>
      </c>
      <c r="I798" s="5" t="s">
        <v>23</v>
      </c>
      <c r="J798" s="5" t="s">
        <v>23</v>
      </c>
      <c r="K798" s="8">
        <f>IF(OR(LOOKUP(A798,characters!A:A,characters!B:B)=-1, LOOKUP(A798,characters!A:A,characters!B:B)+0.1&gt;=B798),1,0)</f>
        <v/>
      </c>
    </row>
    <row r="799" spans="1:11">
      <c r="A799" s="4" t="s">
        <v>103</v>
      </c>
      <c r="B799" s="7">
        <v>0</v>
      </c>
      <c r="C799" s="6">
        <f>IF(K799=1,1.0,0)</f>
        <v/>
      </c>
      <c r="D799" s="6">
        <f>IF(K799=1,0.8,0)</f>
        <v/>
      </c>
      <c r="E799" s="6">
        <f>IF(K799=1,0.9,0)</f>
        <v/>
      </c>
      <c r="F799" s="6">
        <f>IF(K799=1,0.7,0)</f>
        <v/>
      </c>
      <c r="G799" s="5" t="s">
        <v>23</v>
      </c>
      <c r="H799" s="5" t="s">
        <v>23</v>
      </c>
      <c r="I799" s="5" t="s">
        <v>23</v>
      </c>
      <c r="J799" s="5" t="s">
        <v>23</v>
      </c>
      <c r="K799" s="8">
        <f>IF(OR(LOOKUP(A799,characters!A:A,characters!B:B)=-1, LOOKUP(A799,characters!A:A,characters!B:B)+0.1&gt;=B799),1,0)</f>
        <v/>
      </c>
    </row>
    <row r="800" spans="1:11">
      <c r="A800" s="4" t="s">
        <v>57</v>
      </c>
      <c r="B800" s="7">
        <v>1</v>
      </c>
      <c r="C800" s="6">
        <f>IF(K800=1,1.0,0)</f>
        <v/>
      </c>
      <c r="D800" s="6">
        <f>IF(K800=1,0.8,0)</f>
        <v/>
      </c>
      <c r="E800" s="6">
        <f>IF(K800=1,0.9,0)</f>
        <v/>
      </c>
      <c r="F800" s="6">
        <f>IF(K800=1,0.9,0)</f>
        <v/>
      </c>
      <c r="G800" s="5" t="s">
        <v>23</v>
      </c>
      <c r="H800" s="5" t="s">
        <v>23</v>
      </c>
      <c r="I800" s="5" t="s">
        <v>23</v>
      </c>
      <c r="J800" s="5" t="s">
        <v>23</v>
      </c>
      <c r="K800" s="8">
        <f>IF(OR(LOOKUP(A800,characters!A:A,characters!B:B)=-1, LOOKUP(A800,characters!A:A,characters!B:B)+0.1&gt;=B800),1,0)</f>
        <v/>
      </c>
    </row>
    <row r="801" spans="1:11">
      <c r="A801" s="4" t="s">
        <v>92</v>
      </c>
      <c r="B801" s="7">
        <v>1</v>
      </c>
      <c r="C801" s="6">
        <f>IF(K801=1,0.9,0)</f>
        <v/>
      </c>
      <c r="D801" s="6">
        <f>IF(K801=1,0.8,0)</f>
        <v/>
      </c>
      <c r="E801" s="5" t="s">
        <v>23</v>
      </c>
      <c r="F801" s="5" t="s">
        <v>23</v>
      </c>
      <c r="G801" s="6">
        <f>IF(K801=1,0.7,0)</f>
        <v/>
      </c>
      <c r="H801" s="6">
        <f>IF(K801=1,1.0,0)</f>
        <v/>
      </c>
      <c r="I801" s="5" t="s">
        <v>23</v>
      </c>
      <c r="J801" s="5" t="s">
        <v>23</v>
      </c>
      <c r="K801" s="8">
        <f>IF(OR(LOOKUP(A801,characters!A:A,characters!B:B)=-1, LOOKUP(A801,characters!A:A,characters!B:B)+0.1&gt;=B801),1,0)</f>
        <v/>
      </c>
    </row>
    <row r="802" spans="1:11">
      <c r="A802" s="4" t="s">
        <v>104</v>
      </c>
      <c r="B802" s="7">
        <v>1</v>
      </c>
      <c r="C802" s="6">
        <f>IF(K802=1,1.0,0)</f>
        <v/>
      </c>
      <c r="D802" s="6">
        <f>IF(K802=1,0.9,0)</f>
        <v/>
      </c>
      <c r="E802" s="6">
        <f>IF(K802=1,1.0,0)</f>
        <v/>
      </c>
      <c r="F802" s="6">
        <f>IF(K802=1,1.0,0)</f>
        <v/>
      </c>
      <c r="G802" s="5" t="s">
        <v>23</v>
      </c>
      <c r="H802" s="5" t="s">
        <v>23</v>
      </c>
      <c r="I802" s="5" t="s">
        <v>23</v>
      </c>
      <c r="J802" s="5" t="s">
        <v>23</v>
      </c>
      <c r="K802" s="8">
        <f>IF(OR(LOOKUP(A802,characters!A:A,characters!B:B)=-1, LOOKUP(A802,characters!A:A,characters!B:B)+0.1&gt;=B802),1,0)</f>
        <v/>
      </c>
    </row>
    <row r="803" spans="1:11">
      <c r="A803" s="4" t="s">
        <v>105</v>
      </c>
      <c r="B803" s="7">
        <v>1</v>
      </c>
      <c r="C803" s="5" t="s">
        <v>23</v>
      </c>
      <c r="D803" s="6">
        <f>IF(K803=1,0.9,0)</f>
        <v/>
      </c>
      <c r="E803" s="6">
        <f>IF(K803=1,1.0,0)</f>
        <v/>
      </c>
      <c r="F803" s="6">
        <f>IF(K803=1,1.0,0)</f>
        <v/>
      </c>
      <c r="G803" s="5" t="s">
        <v>23</v>
      </c>
      <c r="H803" s="5" t="s">
        <v>23</v>
      </c>
      <c r="I803" s="5" t="s">
        <v>23</v>
      </c>
      <c r="J803" s="5" t="s">
        <v>23</v>
      </c>
      <c r="K803" s="8">
        <f>IF(OR(LOOKUP(A803,characters!A:A,characters!B:B)=-1, LOOKUP(A803,characters!A:A,characters!B:B)+0.1&gt;=B803),1,0)</f>
        <v/>
      </c>
    </row>
    <row r="804" spans="1:11">
      <c r="A804" s="4" t="s">
        <v>106</v>
      </c>
      <c r="B804" s="7">
        <v>1</v>
      </c>
      <c r="C804" s="6">
        <f>IF(K804=1,1.0,0)</f>
        <v/>
      </c>
      <c r="D804" s="6">
        <f>IF(K804=1,0.8,0)</f>
        <v/>
      </c>
      <c r="E804" s="6">
        <f>IF(K804=1,0.9,0)</f>
        <v/>
      </c>
      <c r="F804" s="6">
        <f>IF(K804=1,0.9,0)</f>
        <v/>
      </c>
      <c r="G804" s="5" t="s">
        <v>23</v>
      </c>
      <c r="H804" s="5" t="s">
        <v>23</v>
      </c>
      <c r="I804" s="5" t="s">
        <v>23</v>
      </c>
      <c r="J804" s="5" t="s">
        <v>23</v>
      </c>
      <c r="K804" s="8">
        <f>IF(OR(LOOKUP(A804,characters!A:A,characters!B:B)=-1, LOOKUP(A804,characters!A:A,characters!B:B)+0.1&gt;=B804),1,0)</f>
        <v/>
      </c>
    </row>
    <row r="805" spans="1:11">
      <c r="A805" s="4" t="s">
        <v>76</v>
      </c>
      <c r="B805" s="7">
        <v>1</v>
      </c>
      <c r="C805" s="6">
        <f>IF(K805=1,1.0,0)</f>
        <v/>
      </c>
      <c r="D805" s="6">
        <f>IF(K805=1,0.89,0)</f>
        <v/>
      </c>
      <c r="E805" s="5" t="s">
        <v>23</v>
      </c>
      <c r="F805" s="5" t="s">
        <v>23</v>
      </c>
      <c r="G805" s="6">
        <f>IF(K805=1,0.9,0)</f>
        <v/>
      </c>
      <c r="H805" s="6">
        <f>IF(K805=1,1.0,0)</f>
        <v/>
      </c>
      <c r="I805" s="5" t="s">
        <v>23</v>
      </c>
      <c r="J805" s="5" t="s">
        <v>23</v>
      </c>
      <c r="K805" s="8">
        <f>IF(OR(LOOKUP(A805,characters!A:A,characters!B:B)=-1, LOOKUP(A805,characters!A:A,characters!B:B)+0.1&gt;=B805),1,0)</f>
        <v/>
      </c>
    </row>
    <row r="806" spans="1:11">
      <c r="A806" s="4" t="s">
        <v>107</v>
      </c>
      <c r="B806" s="7">
        <v>1</v>
      </c>
      <c r="C806" s="6">
        <f>IF(K806=1,1.0,0)</f>
        <v/>
      </c>
      <c r="D806" s="6">
        <f>IF(K806=1,0.8,0)</f>
        <v/>
      </c>
      <c r="E806" s="6">
        <f>IF(K806=1,0.9,0)</f>
        <v/>
      </c>
      <c r="F806" s="6">
        <f>IF(K806=1,0.9,0)</f>
        <v/>
      </c>
      <c r="G806" s="5" t="s">
        <v>23</v>
      </c>
      <c r="H806" s="5" t="s">
        <v>23</v>
      </c>
      <c r="I806" s="5" t="s">
        <v>23</v>
      </c>
      <c r="J806" s="5" t="s">
        <v>23</v>
      </c>
      <c r="K806" s="8">
        <f>IF(OR(LOOKUP(A806,characters!A:A,characters!B:B)=-1, LOOKUP(A806,characters!A:A,characters!B:B)+0.1&gt;=B806),1,0)</f>
        <v/>
      </c>
    </row>
    <row r="807" spans="1:11">
      <c r="A807" s="4" t="s">
        <v>108</v>
      </c>
      <c r="B807" s="7">
        <v>1</v>
      </c>
      <c r="C807" s="6">
        <f>IF(K807=1,1.0,0)</f>
        <v/>
      </c>
      <c r="D807" s="6">
        <f>IF(K807=1,0.8,0)</f>
        <v/>
      </c>
      <c r="E807" s="6">
        <f>IF(K807=1,0.9,0)</f>
        <v/>
      </c>
      <c r="F807" s="6">
        <f>IF(K807=1,0.9,0)</f>
        <v/>
      </c>
      <c r="G807" s="5" t="s">
        <v>23</v>
      </c>
      <c r="H807" s="5" t="s">
        <v>23</v>
      </c>
      <c r="I807" s="5" t="s">
        <v>23</v>
      </c>
      <c r="J807" s="5" t="s">
        <v>23</v>
      </c>
      <c r="K807" s="8">
        <f>IF(OR(LOOKUP(A807,characters!A:A,characters!B:B)=-1, LOOKUP(A807,characters!A:A,characters!B:B)+0.1&gt;=B807),1,0)</f>
        <v/>
      </c>
    </row>
    <row r="808" spans="1:11">
      <c r="A808" s="4" t="s">
        <v>109</v>
      </c>
      <c r="B808" s="7">
        <v>1</v>
      </c>
      <c r="C808" s="5" t="s">
        <v>23</v>
      </c>
      <c r="D808" s="6">
        <f>IF(K808=1,0.9,0)</f>
        <v/>
      </c>
      <c r="E808" s="6">
        <f>IF(K808=1,1.0,0)</f>
        <v/>
      </c>
      <c r="F808" s="6">
        <f>IF(K808=1,1.0,0)</f>
        <v/>
      </c>
      <c r="G808" s="5" t="s">
        <v>23</v>
      </c>
      <c r="H808" s="5" t="s">
        <v>23</v>
      </c>
      <c r="I808" s="5" t="s">
        <v>23</v>
      </c>
      <c r="J808" s="5" t="s">
        <v>23</v>
      </c>
      <c r="K808" s="8">
        <f>IF(OR(LOOKUP(A808,characters!A:A,characters!B:B)=-1, LOOKUP(A808,characters!A:A,characters!B:B)+0.1&gt;=B808),1,0)</f>
        <v/>
      </c>
    </row>
    <row r="809" spans="1:11">
      <c r="A809" s="4" t="s">
        <v>73</v>
      </c>
      <c r="B809" s="7">
        <v>1</v>
      </c>
      <c r="C809" s="6">
        <f>IF(K809=1,1.0,0)</f>
        <v/>
      </c>
      <c r="D809" s="6">
        <f>IF(K809=1,0.79,0)</f>
        <v/>
      </c>
      <c r="E809" s="6">
        <f>IF(K809=1,0.89,0)</f>
        <v/>
      </c>
      <c r="F809" s="6">
        <f>IF(K809=1,0.89,0)</f>
        <v/>
      </c>
      <c r="G809" s="6">
        <f>IF(K809=1,0.9,0)</f>
        <v/>
      </c>
      <c r="H809" s="5" t="s">
        <v>23</v>
      </c>
      <c r="I809" s="5" t="s">
        <v>23</v>
      </c>
      <c r="J809" s="5" t="s">
        <v>23</v>
      </c>
      <c r="K809" s="8">
        <f>IF(OR(LOOKUP(A809,characters!A:A,characters!B:B)=-1, LOOKUP(A809,characters!A:A,characters!B:B)+0.1&gt;=B809),1,0)</f>
        <v/>
      </c>
    </row>
    <row r="810" spans="1:11">
      <c r="A810" s="4" t="s">
        <v>74</v>
      </c>
      <c r="B810" s="7">
        <v>1</v>
      </c>
      <c r="C810" s="6">
        <f>IF(K810=1,1.0,0)</f>
        <v/>
      </c>
      <c r="D810" s="6">
        <f>IF(K810=1,0.79,0)</f>
        <v/>
      </c>
      <c r="E810" s="6">
        <f>IF(K810=1,0.89,0)</f>
        <v/>
      </c>
      <c r="F810" s="6">
        <f>IF(K810=1,0.89,0)</f>
        <v/>
      </c>
      <c r="G810" s="6">
        <f>IF(K810=1,0.9,0)</f>
        <v/>
      </c>
      <c r="H810" s="5" t="s">
        <v>23</v>
      </c>
      <c r="I810" s="5" t="s">
        <v>23</v>
      </c>
      <c r="J810" s="5" t="s">
        <v>23</v>
      </c>
      <c r="K810" s="8">
        <f>IF(OR(LOOKUP(A810,characters!A:A,characters!B:B)=-1, LOOKUP(A810,characters!A:A,characters!B:B)+0.1&gt;=B810),1,0)</f>
        <v/>
      </c>
    </row>
    <row r="811" spans="1:11">
      <c r="A811" s="4" t="s">
        <v>75</v>
      </c>
      <c r="B811" s="7">
        <v>2</v>
      </c>
      <c r="C811" s="6">
        <f>IF(K811=1,1.0,0)</f>
        <v/>
      </c>
      <c r="D811" s="6">
        <f>IF(K811=1,0.8,0)</f>
        <v/>
      </c>
      <c r="E811" s="6">
        <f>IF(K811=1,0.9,0)</f>
        <v/>
      </c>
      <c r="F811" s="6">
        <f>IF(K811=1,0.9,0)</f>
        <v/>
      </c>
      <c r="G811" s="5" t="s">
        <v>23</v>
      </c>
      <c r="H811" s="5" t="s">
        <v>23</v>
      </c>
      <c r="I811" s="5" t="s">
        <v>23</v>
      </c>
      <c r="J811" s="5" t="s">
        <v>23</v>
      </c>
      <c r="K811" s="8">
        <f>IF(OR(LOOKUP(A811,characters!A:A,characters!B:B)=-1, LOOKUP(A811,characters!A:A,characters!B:B)+0.1&gt;=B811),1,0)</f>
        <v/>
      </c>
    </row>
    <row r="812" spans="1:11">
      <c r="A812" s="4" t="s">
        <v>81</v>
      </c>
      <c r="B812" s="7">
        <v>2</v>
      </c>
      <c r="C812" s="6">
        <f>IF(K812=1,1.0,0)</f>
        <v/>
      </c>
      <c r="D812" s="6">
        <f>IF(K812=1,0.8,0)</f>
        <v/>
      </c>
      <c r="E812" s="6">
        <f>IF(K812=1,0.9,0)</f>
        <v/>
      </c>
      <c r="F812" s="6">
        <f>IF(K812=1,0.9,0)</f>
        <v/>
      </c>
      <c r="G812" s="5" t="s">
        <v>23</v>
      </c>
      <c r="H812" s="5" t="s">
        <v>23</v>
      </c>
      <c r="I812" s="5" t="s">
        <v>23</v>
      </c>
      <c r="J812" s="5" t="s">
        <v>23</v>
      </c>
      <c r="K812" s="8">
        <f>IF(OR(LOOKUP(A812,characters!A:A,characters!B:B)=-1, LOOKUP(A812,characters!A:A,characters!B:B)+0.1&gt;=B812),1,0)</f>
        <v/>
      </c>
    </row>
    <row r="813" spans="1:11">
      <c r="A813" s="4" t="s">
        <v>110</v>
      </c>
      <c r="B813" s="7">
        <v>2</v>
      </c>
      <c r="C813" s="6">
        <f>IF(K813=1,1.0,0)</f>
        <v/>
      </c>
      <c r="D813" s="6">
        <f>IF(K813=1,0.8,0)</f>
        <v/>
      </c>
      <c r="E813" s="6">
        <f>IF(K813=1,0.9,0)</f>
        <v/>
      </c>
      <c r="F813" s="6">
        <f>IF(K813=1,0.9,0)</f>
        <v/>
      </c>
      <c r="G813" s="5" t="s">
        <v>23</v>
      </c>
      <c r="H813" s="5" t="s">
        <v>23</v>
      </c>
      <c r="I813" s="5" t="s">
        <v>23</v>
      </c>
      <c r="J813" s="5" t="s">
        <v>23</v>
      </c>
      <c r="K813" s="8">
        <f>IF(OR(LOOKUP(A813,characters!A:A,characters!B:B)=-1, LOOKUP(A813,characters!A:A,characters!B:B)+0.1&gt;=B813),1,0)</f>
        <v/>
      </c>
    </row>
    <row r="814" spans="1:11">
      <c r="A814" s="4" t="s">
        <v>111</v>
      </c>
      <c r="B814" s="7">
        <v>2</v>
      </c>
      <c r="C814" s="6">
        <f>IF(K814=1,1.0,0)</f>
        <v/>
      </c>
      <c r="D814" s="6">
        <f>IF(K814=1,0.8,0)</f>
        <v/>
      </c>
      <c r="E814" s="6">
        <f>IF(K814=1,0.9,0)</f>
        <v/>
      </c>
      <c r="F814" s="6">
        <f>IF(K814=1,0.9,0)</f>
        <v/>
      </c>
      <c r="G814" s="5" t="s">
        <v>23</v>
      </c>
      <c r="H814" s="6">
        <f>IF(K814=1,1.0,0)</f>
        <v/>
      </c>
      <c r="I814" s="5" t="s">
        <v>23</v>
      </c>
      <c r="J814" s="5" t="s">
        <v>23</v>
      </c>
      <c r="K814" s="8">
        <f>IF(OR(LOOKUP(A814,characters!A:A,characters!B:B)=-1, LOOKUP(A814,characters!A:A,characters!B:B)+0.1&gt;=B814),1,0)</f>
        <v/>
      </c>
    </row>
    <row r="815" spans="1:11">
      <c r="A815" s="4" t="s">
        <v>61</v>
      </c>
      <c r="B815" s="7">
        <v>3</v>
      </c>
      <c r="C815" s="6">
        <f>IF(K815=1,1.0,0)</f>
        <v/>
      </c>
      <c r="D815" s="6">
        <f>IF(K815=1,0.8,0)</f>
        <v/>
      </c>
      <c r="E815" s="6">
        <f>IF(K815=1,0.9,0)</f>
        <v/>
      </c>
      <c r="F815" s="6">
        <f>IF(K815=1,0.9,0)</f>
        <v/>
      </c>
      <c r="G815" s="5" t="s">
        <v>23</v>
      </c>
      <c r="H815" s="5" t="s">
        <v>23</v>
      </c>
      <c r="I815" s="5" t="s">
        <v>23</v>
      </c>
      <c r="J815" s="5" t="s">
        <v>23</v>
      </c>
      <c r="K815" s="8">
        <f>IF(OR(LOOKUP(A815,characters!A:A,characters!B:B)=-1, LOOKUP(A815,characters!A:A,characters!B:B)+0.1&gt;=B815),1,0)</f>
        <v/>
      </c>
    </row>
    <row r="816" spans="1:11">
      <c r="A816" s="4" t="s">
        <v>112</v>
      </c>
      <c r="B816" s="7">
        <v>3</v>
      </c>
      <c r="C816" s="6">
        <f>IF(K816=1,1.0,0)</f>
        <v/>
      </c>
      <c r="D816" s="6">
        <f>IF(K816=1,0.9,0)</f>
        <v/>
      </c>
      <c r="E816" s="6">
        <f>IF(K816=1,1.0,0)</f>
        <v/>
      </c>
      <c r="F816" s="6">
        <f>IF(K816=1,1.0,0)</f>
        <v/>
      </c>
      <c r="G816" s="5" t="s">
        <v>23</v>
      </c>
      <c r="H816" s="5" t="s">
        <v>23</v>
      </c>
      <c r="I816" s="5" t="s">
        <v>23</v>
      </c>
      <c r="J816" s="5" t="s">
        <v>23</v>
      </c>
      <c r="K816" s="8">
        <f>IF(OR(LOOKUP(A816,characters!A:A,characters!B:B)=-1, LOOKUP(A816,characters!A:A,characters!B:B)+0.1&gt;=B816),1,0)</f>
        <v/>
      </c>
    </row>
    <row r="817" spans="1:11">
      <c r="A817" s="4" t="s">
        <v>100</v>
      </c>
      <c r="B817" s="7">
        <v>3</v>
      </c>
      <c r="C817" s="6">
        <f>IF(K817=1,1.0,0)</f>
        <v/>
      </c>
      <c r="D817" s="6">
        <f>IF(K817=1,0.9,0)</f>
        <v/>
      </c>
      <c r="E817" s="6">
        <f>IF(K817=1,1.0,0)</f>
        <v/>
      </c>
      <c r="F817" s="6">
        <f>IF(K817=1,1.0,0)</f>
        <v/>
      </c>
      <c r="G817" s="5" t="s">
        <v>23</v>
      </c>
      <c r="H817" s="5" t="s">
        <v>23</v>
      </c>
      <c r="I817" s="5" t="s">
        <v>23</v>
      </c>
      <c r="J817" s="5" t="s">
        <v>23</v>
      </c>
      <c r="K817" s="8">
        <f>IF(OR(LOOKUP(A817,characters!A:A,characters!B:B)=-1, LOOKUP(A817,characters!A:A,characters!B:B)+0.1&gt;=B817),1,0)</f>
        <v/>
      </c>
    </row>
    <row r="818" spans="1:11">
      <c r="A818" s="4" t="s">
        <v>113</v>
      </c>
      <c r="B818" s="7">
        <v>3</v>
      </c>
      <c r="C818" s="6">
        <f>IF(K818=1,1.0,0)</f>
        <v/>
      </c>
      <c r="D818" s="6">
        <f>IF(K818=1,0.79,0)</f>
        <v/>
      </c>
      <c r="E818" s="6">
        <f>IF(K818=1,0.89,0)</f>
        <v/>
      </c>
      <c r="F818" s="6">
        <f>IF(K818=1,0.89,0)</f>
        <v/>
      </c>
      <c r="G818" s="6">
        <f>IF(K818=1,0.9,0)</f>
        <v/>
      </c>
      <c r="H818" s="5" t="s">
        <v>23</v>
      </c>
      <c r="I818" s="5" t="s">
        <v>23</v>
      </c>
      <c r="J818" s="5" t="s">
        <v>23</v>
      </c>
      <c r="K818" s="8">
        <f>IF(OR(LOOKUP(A818,characters!A:A,characters!B:B)=-1, LOOKUP(A818,characters!A:A,characters!B:B)+0.1&gt;=B818),1,0)</f>
        <v/>
      </c>
    </row>
    <row r="820" spans="1:11">
      <c r="A820" s="3" t="s">
        <v>64</v>
      </c>
      <c r="B820" s="3" t="s">
        <v>9</v>
      </c>
      <c r="C820" s="3" t="s">
        <v>17</v>
      </c>
      <c r="D820" s="3" t="s">
        <v>89</v>
      </c>
      <c r="E820" s="3" t="s">
        <v>87</v>
      </c>
      <c r="F820" s="3" t="s">
        <v>88</v>
      </c>
      <c r="G820" s="3" t="s">
        <v>68</v>
      </c>
      <c r="H820" s="3" t="s">
        <v>90</v>
      </c>
      <c r="I820" s="3" t="s">
        <v>114</v>
      </c>
      <c r="J820" s="3" t="s">
        <v>69</v>
      </c>
    </row>
    <row r="821" spans="1:11">
      <c r="A821" s="4" t="s">
        <v>22</v>
      </c>
      <c r="B821" s="5" t="s">
        <v>23</v>
      </c>
      <c r="C821" s="6">
        <f>IF(SUM(K822:K846)=0,0,SUM(C822:C846)/SUM(K822:K846))</f>
        <v/>
      </c>
      <c r="D821" s="6">
        <f>IF(SUM(K822:K846)=0,0,SUM(D822:D846)/SUM(K822:K846))</f>
        <v/>
      </c>
      <c r="E821" s="6">
        <f>IF(SUM(K822:K846)=0,0,SUM(E822:E846)/SUM(K822:K846))</f>
        <v/>
      </c>
      <c r="F821" s="6">
        <f>IF(SUM(K822:K846)=0,0,SUM(F822:F846)/SUM(K822:K846))</f>
        <v/>
      </c>
      <c r="G821" s="6">
        <f>IF(SUM(K822:K846)=0,0,SUM(G822:G846)/SUM(K822:K846))</f>
        <v/>
      </c>
      <c r="H821" s="6">
        <f>IF(SUM(K822:K846)=0,0,SUM(H822:H846)/SUM(K822:K846))</f>
        <v/>
      </c>
      <c r="I821" s="6">
        <f>IF(SUM(K822:K846)=0,0,SUM(I822:I846)/SUM(K822:K846))</f>
        <v/>
      </c>
      <c r="J821" s="6">
        <f>IF(SUM(K822:K846)=0,0,SUM(J822:J846)/SUM(K822:K846))</f>
        <v/>
      </c>
    </row>
    <row r="822" spans="1:11">
      <c r="A822" s="4" t="s">
        <v>61</v>
      </c>
      <c r="B822" s="7">
        <v>3</v>
      </c>
      <c r="C822" s="6">
        <f>IF(K822=1,1.0,0)</f>
        <v/>
      </c>
      <c r="D822" s="6">
        <f>IF(K822=1,0.9,0)</f>
        <v/>
      </c>
      <c r="E822" s="5" t="s">
        <v>23</v>
      </c>
      <c r="F822" s="5" t="s">
        <v>23</v>
      </c>
      <c r="G822" s="5" t="s">
        <v>23</v>
      </c>
      <c r="H822" s="5" t="s">
        <v>23</v>
      </c>
      <c r="I822" s="5" t="s">
        <v>23</v>
      </c>
      <c r="J822" s="5" t="s">
        <v>23</v>
      </c>
      <c r="K822" s="8">
        <f>IF(OR(LOOKUP(A822,characters!A:A,characters!B:B)=-1, LOOKUP(A822,characters!A:A,characters!B:B)+0.1&gt;=B822),1,0)</f>
        <v/>
      </c>
    </row>
    <row r="823" spans="1:11">
      <c r="A823" s="4" t="s">
        <v>75</v>
      </c>
      <c r="B823" s="7">
        <v>2</v>
      </c>
      <c r="C823" s="6">
        <f>IF(K823=1,1.0,0)</f>
        <v/>
      </c>
      <c r="D823" s="5" t="s">
        <v>23</v>
      </c>
      <c r="E823" s="6">
        <f>IF(K823=1,1.0,0)</f>
        <v/>
      </c>
      <c r="F823" s="5" t="s">
        <v>23</v>
      </c>
      <c r="G823" s="5" t="s">
        <v>23</v>
      </c>
      <c r="H823" s="5" t="s">
        <v>23</v>
      </c>
      <c r="I823" s="5" t="s">
        <v>23</v>
      </c>
      <c r="J823" s="5" t="s">
        <v>23</v>
      </c>
      <c r="K823" s="8">
        <f>IF(OR(LOOKUP(A823,characters!A:A,characters!B:B)=-1, LOOKUP(A823,characters!A:A,characters!B:B)+0.1&gt;=B823),1,0)</f>
        <v/>
      </c>
    </row>
    <row r="824" spans="1:11">
      <c r="A824" s="4" t="s">
        <v>57</v>
      </c>
      <c r="B824" s="7">
        <v>1</v>
      </c>
      <c r="C824" s="6">
        <f>IF(K824=1,0.9,0)</f>
        <v/>
      </c>
      <c r="D824" s="6">
        <f>IF(K824=1,1.0,0)</f>
        <v/>
      </c>
      <c r="E824" s="5" t="s">
        <v>23</v>
      </c>
      <c r="F824" s="5" t="s">
        <v>23</v>
      </c>
      <c r="G824" s="5" t="s">
        <v>23</v>
      </c>
      <c r="H824" s="5" t="s">
        <v>23</v>
      </c>
      <c r="I824" s="5" t="s">
        <v>23</v>
      </c>
      <c r="J824" s="5" t="s">
        <v>23</v>
      </c>
      <c r="K824" s="8">
        <f>IF(OR(LOOKUP(A824,characters!A:A,characters!B:B)=-1, LOOKUP(A824,characters!A:A,characters!B:B)+0.1&gt;=B824),1,0)</f>
        <v/>
      </c>
    </row>
    <row r="825" spans="1:11">
      <c r="A825" s="4" t="s">
        <v>92</v>
      </c>
      <c r="B825" s="7">
        <v>1</v>
      </c>
      <c r="C825" s="6">
        <f>IF(K825=1,0.9,0)</f>
        <v/>
      </c>
      <c r="D825" s="5" t="s">
        <v>23</v>
      </c>
      <c r="E825" s="5" t="s">
        <v>23</v>
      </c>
      <c r="F825" s="6">
        <f>IF(K825=1,1.0,0)</f>
        <v/>
      </c>
      <c r="G825" s="5" t="s">
        <v>23</v>
      </c>
      <c r="H825" s="5" t="s">
        <v>23</v>
      </c>
      <c r="I825" s="5" t="s">
        <v>23</v>
      </c>
      <c r="J825" s="5" t="s">
        <v>23</v>
      </c>
      <c r="K825" s="8">
        <f>IF(OR(LOOKUP(A825,characters!A:A,characters!B:B)=-1, LOOKUP(A825,characters!A:A,characters!B:B)+0.1&gt;=B825),1,0)</f>
        <v/>
      </c>
    </row>
    <row r="826" spans="1:11">
      <c r="A826" s="4" t="s">
        <v>104</v>
      </c>
      <c r="B826" s="7">
        <v>1</v>
      </c>
      <c r="C826" s="6">
        <f>IF(K826=1,0.99,0)</f>
        <v/>
      </c>
      <c r="D826" s="5" t="s">
        <v>23</v>
      </c>
      <c r="E826" s="5" t="s">
        <v>23</v>
      </c>
      <c r="F826" s="6">
        <f>IF(K826=1,1.0,0)</f>
        <v/>
      </c>
      <c r="G826" s="5" t="s">
        <v>23</v>
      </c>
      <c r="H826" s="5" t="s">
        <v>23</v>
      </c>
      <c r="I826" s="5" t="s">
        <v>23</v>
      </c>
      <c r="J826" s="5" t="s">
        <v>23</v>
      </c>
      <c r="K826" s="8">
        <f>IF(OR(LOOKUP(A826,characters!A:A,characters!B:B)=-1, LOOKUP(A826,characters!A:A,characters!B:B)+0.1&gt;=B826),1,0)</f>
        <v/>
      </c>
    </row>
    <row r="827" spans="1:11">
      <c r="A827" s="4" t="s">
        <v>105</v>
      </c>
      <c r="B827" s="7">
        <v>1</v>
      </c>
      <c r="C827" s="6">
        <f>IF(K827=1,0.9,0)</f>
        <v/>
      </c>
      <c r="D827" s="5" t="s">
        <v>23</v>
      </c>
      <c r="E827" s="5" t="s">
        <v>23</v>
      </c>
      <c r="F827" s="5" t="s">
        <v>23</v>
      </c>
      <c r="G827" s="6">
        <f>IF(K827=1,1.0,0)</f>
        <v/>
      </c>
      <c r="H827" s="5" t="s">
        <v>23</v>
      </c>
      <c r="I827" s="5" t="s">
        <v>23</v>
      </c>
      <c r="J827" s="5" t="s">
        <v>23</v>
      </c>
      <c r="K827" s="8">
        <f>IF(OR(LOOKUP(A827,characters!A:A,characters!B:B)=-1, LOOKUP(A827,characters!A:A,characters!B:B)+0.1&gt;=B827),1,0)</f>
        <v/>
      </c>
    </row>
    <row r="828" spans="1:11">
      <c r="A828" s="4" t="s">
        <v>81</v>
      </c>
      <c r="B828" s="7">
        <v>2</v>
      </c>
      <c r="C828" s="6">
        <f>IF(K828=1,0.99,0)</f>
        <v/>
      </c>
      <c r="D828" s="5" t="s">
        <v>23</v>
      </c>
      <c r="E828" s="5" t="s">
        <v>23</v>
      </c>
      <c r="F828" s="5" t="s">
        <v>23</v>
      </c>
      <c r="G828" s="6">
        <f>IF(K828=1,1.0,0)</f>
        <v/>
      </c>
      <c r="H828" s="5" t="s">
        <v>23</v>
      </c>
      <c r="I828" s="5" t="s">
        <v>23</v>
      </c>
      <c r="J828" s="5" t="s">
        <v>23</v>
      </c>
      <c r="K828" s="8">
        <f>IF(OR(LOOKUP(A828,characters!A:A,characters!B:B)=-1, LOOKUP(A828,characters!A:A,characters!B:B)+0.1&gt;=B828),1,0)</f>
        <v/>
      </c>
    </row>
    <row r="829" spans="1:11">
      <c r="A829" s="4" t="s">
        <v>31</v>
      </c>
      <c r="B829" s="7">
        <v>0</v>
      </c>
      <c r="C829" s="6">
        <f>IF(K829=1,0.9,0)</f>
        <v/>
      </c>
      <c r="D829" s="5" t="s">
        <v>23</v>
      </c>
      <c r="E829" s="5" t="s">
        <v>23</v>
      </c>
      <c r="F829" s="5" t="s">
        <v>23</v>
      </c>
      <c r="G829" s="5" t="s">
        <v>23</v>
      </c>
      <c r="H829" s="6">
        <f>IF(K829=1,1.0,0)</f>
        <v/>
      </c>
      <c r="I829" s="5" t="s">
        <v>23</v>
      </c>
      <c r="J829" s="5" t="s">
        <v>23</v>
      </c>
      <c r="K829" s="8">
        <f>IF(OR(LOOKUP(A829,characters!A:A,characters!B:B)=-1, LOOKUP(A829,characters!A:A,characters!B:B)+0.1&gt;=B829),1,0)</f>
        <v/>
      </c>
    </row>
    <row r="830" spans="1:11">
      <c r="A830" s="4" t="s">
        <v>112</v>
      </c>
      <c r="B830" s="7">
        <v>3</v>
      </c>
      <c r="C830" s="6">
        <f>IF(K830=1,0.9,0)</f>
        <v/>
      </c>
      <c r="D830" s="5" t="s">
        <v>23</v>
      </c>
      <c r="E830" s="5" t="s">
        <v>23</v>
      </c>
      <c r="F830" s="5" t="s">
        <v>23</v>
      </c>
      <c r="G830" s="5" t="s">
        <v>23</v>
      </c>
      <c r="H830" s="5" t="s">
        <v>23</v>
      </c>
      <c r="I830" s="6">
        <f>IF(K830=1,1.0,0)</f>
        <v/>
      </c>
      <c r="J830" s="5" t="s">
        <v>23</v>
      </c>
      <c r="K830" s="8">
        <f>IF(OR(LOOKUP(A830,characters!A:A,characters!B:B)=-1, LOOKUP(A830,characters!A:A,characters!B:B)+0.1&gt;=B830),1,0)</f>
        <v/>
      </c>
    </row>
    <row r="831" spans="1:11">
      <c r="A831" s="4" t="s">
        <v>100</v>
      </c>
      <c r="B831" s="7">
        <v>3</v>
      </c>
      <c r="C831" s="6">
        <f>IF(K831=1,0.9,0)</f>
        <v/>
      </c>
      <c r="D831" s="5" t="s">
        <v>23</v>
      </c>
      <c r="E831" s="5" t="s">
        <v>23</v>
      </c>
      <c r="F831" s="5" t="s">
        <v>23</v>
      </c>
      <c r="G831" s="5" t="s">
        <v>23</v>
      </c>
      <c r="H831" s="6">
        <f>IF(K831=1,1.0,0)</f>
        <v/>
      </c>
      <c r="I831" s="5" t="s">
        <v>23</v>
      </c>
      <c r="J831" s="5" t="s">
        <v>23</v>
      </c>
      <c r="K831" s="8">
        <f>IF(OR(LOOKUP(A831,characters!A:A,characters!B:B)=-1, LOOKUP(A831,characters!A:A,characters!B:B)+0.1&gt;=B831),1,0)</f>
        <v/>
      </c>
    </row>
    <row r="832" spans="1:11">
      <c r="A832" s="4" t="s">
        <v>101</v>
      </c>
      <c r="B832" s="7">
        <v>0</v>
      </c>
      <c r="C832" s="6">
        <f>IF(K832=1,0.9,0)</f>
        <v/>
      </c>
      <c r="D832" s="5" t="s">
        <v>23</v>
      </c>
      <c r="E832" s="5" t="s">
        <v>23</v>
      </c>
      <c r="F832" s="5" t="s">
        <v>23</v>
      </c>
      <c r="G832" s="5" t="s">
        <v>23</v>
      </c>
      <c r="H832" s="6">
        <f>IF(K832=1,1.0,0)</f>
        <v/>
      </c>
      <c r="I832" s="5" t="s">
        <v>23</v>
      </c>
      <c r="J832" s="5" t="s">
        <v>23</v>
      </c>
      <c r="K832" s="8">
        <f>IF(OR(LOOKUP(A832,characters!A:A,characters!B:B)=-1, LOOKUP(A832,characters!A:A,characters!B:B)+0.1&gt;=B832),1,0)</f>
        <v/>
      </c>
    </row>
    <row r="833" spans="1:11">
      <c r="A833" s="4" t="s">
        <v>106</v>
      </c>
      <c r="B833" s="7">
        <v>1</v>
      </c>
      <c r="C833" s="6">
        <f>IF(K833=1,0.9,0)</f>
        <v/>
      </c>
      <c r="D833" s="5" t="s">
        <v>23</v>
      </c>
      <c r="E833" s="5" t="s">
        <v>23</v>
      </c>
      <c r="F833" s="5" t="s">
        <v>23</v>
      </c>
      <c r="G833" s="5" t="s">
        <v>23</v>
      </c>
      <c r="H833" s="5" t="s">
        <v>23</v>
      </c>
      <c r="I833" s="6">
        <f>IF(K833=1,1.0,0)</f>
        <v/>
      </c>
      <c r="J833" s="5" t="s">
        <v>23</v>
      </c>
      <c r="K833" s="8">
        <f>IF(OR(LOOKUP(A833,characters!A:A,characters!B:B)=-1, LOOKUP(A833,characters!A:A,characters!B:B)+0.1&gt;=B833),1,0)</f>
        <v/>
      </c>
    </row>
    <row r="834" spans="1:11">
      <c r="A834" s="4" t="s">
        <v>59</v>
      </c>
      <c r="B834" s="7">
        <v>0</v>
      </c>
      <c r="C834" s="6">
        <f>IF(K834=1,0.9,0)</f>
        <v/>
      </c>
      <c r="D834" s="6">
        <f>IF(K834=1,1.0,0)</f>
        <v/>
      </c>
      <c r="E834" s="5" t="s">
        <v>23</v>
      </c>
      <c r="F834" s="5" t="s">
        <v>23</v>
      </c>
      <c r="G834" s="5" t="s">
        <v>23</v>
      </c>
      <c r="H834" s="5" t="s">
        <v>23</v>
      </c>
      <c r="I834" s="5" t="s">
        <v>23</v>
      </c>
      <c r="J834" s="5" t="s">
        <v>23</v>
      </c>
      <c r="K834" s="8">
        <f>IF(OR(LOOKUP(A834,characters!A:A,characters!B:B)=-1, LOOKUP(A834,characters!A:A,characters!B:B)+0.1&gt;=B834),1,0)</f>
        <v/>
      </c>
    </row>
    <row r="835" spans="1:11">
      <c r="A835" s="4" t="s">
        <v>76</v>
      </c>
      <c r="B835" s="7">
        <v>1</v>
      </c>
      <c r="C835" s="6">
        <f>IF(K835=1,0.9,0)</f>
        <v/>
      </c>
      <c r="D835" s="5" t="s">
        <v>23</v>
      </c>
      <c r="E835" s="6">
        <f>IF(K835=1,1.0,0)</f>
        <v/>
      </c>
      <c r="F835" s="5" t="s">
        <v>23</v>
      </c>
      <c r="G835" s="5" t="s">
        <v>23</v>
      </c>
      <c r="H835" s="5" t="s">
        <v>23</v>
      </c>
      <c r="I835" s="5" t="s">
        <v>23</v>
      </c>
      <c r="J835" s="5" t="s">
        <v>23</v>
      </c>
      <c r="K835" s="8">
        <f>IF(OR(LOOKUP(A835,characters!A:A,characters!B:B)=-1, LOOKUP(A835,characters!A:A,characters!B:B)+0.1&gt;=B835),1,0)</f>
        <v/>
      </c>
    </row>
    <row r="836" spans="1:11">
      <c r="A836" s="4" t="s">
        <v>110</v>
      </c>
      <c r="B836" s="7">
        <v>2</v>
      </c>
      <c r="C836" s="6">
        <f>IF(K836=1,0.99,0)</f>
        <v/>
      </c>
      <c r="D836" s="5" t="s">
        <v>23</v>
      </c>
      <c r="E836" s="5" t="s">
        <v>23</v>
      </c>
      <c r="F836" s="5" t="s">
        <v>23</v>
      </c>
      <c r="G836" s="6">
        <f>IF(K836=1,1.0,0)</f>
        <v/>
      </c>
      <c r="H836" s="5" t="s">
        <v>23</v>
      </c>
      <c r="I836" s="5" t="s">
        <v>23</v>
      </c>
      <c r="J836" s="5" t="s">
        <v>23</v>
      </c>
      <c r="K836" s="8">
        <f>IF(OR(LOOKUP(A836,characters!A:A,characters!B:B)=-1, LOOKUP(A836,characters!A:A,characters!B:B)+0.1&gt;=B836),1,0)</f>
        <v/>
      </c>
    </row>
    <row r="837" spans="1:11">
      <c r="A837" s="4" t="s">
        <v>107</v>
      </c>
      <c r="B837" s="7">
        <v>1</v>
      </c>
      <c r="C837" s="6">
        <f>IF(K837=1,0.99,0)</f>
        <v/>
      </c>
      <c r="D837" s="5" t="s">
        <v>23</v>
      </c>
      <c r="E837" s="5" t="s">
        <v>23</v>
      </c>
      <c r="F837" s="5" t="s">
        <v>23</v>
      </c>
      <c r="G837" s="5" t="s">
        <v>23</v>
      </c>
      <c r="H837" s="5" t="s">
        <v>23</v>
      </c>
      <c r="I837" s="6">
        <f>IF(K837=1,1.0,0)</f>
        <v/>
      </c>
      <c r="J837" s="5" t="s">
        <v>23</v>
      </c>
      <c r="K837" s="8">
        <f>IF(OR(LOOKUP(A837,characters!A:A,characters!B:B)=-1, LOOKUP(A837,characters!A:A,characters!B:B)+0.1&gt;=B837),1,0)</f>
        <v/>
      </c>
    </row>
    <row r="838" spans="1:11">
      <c r="A838" s="4" t="s">
        <v>108</v>
      </c>
      <c r="B838" s="7">
        <v>1</v>
      </c>
      <c r="C838" s="5" t="s">
        <v>23</v>
      </c>
      <c r="D838" s="5" t="s">
        <v>23</v>
      </c>
      <c r="E838" s="5" t="s">
        <v>23</v>
      </c>
      <c r="F838" s="5" t="s">
        <v>23</v>
      </c>
      <c r="G838" s="5" t="s">
        <v>23</v>
      </c>
      <c r="H838" s="5" t="s">
        <v>23</v>
      </c>
      <c r="I838" s="5" t="s">
        <v>23</v>
      </c>
      <c r="J838" s="6">
        <f>IF(K838=1,1.0,0)</f>
        <v/>
      </c>
      <c r="K838" s="8">
        <f>IF(OR(LOOKUP(A838,characters!A:A,characters!B:B)=-1, LOOKUP(A838,characters!A:A,characters!B:B)+0.1&gt;=B838),1,0)</f>
        <v/>
      </c>
    </row>
    <row r="839" spans="1:11">
      <c r="A839" s="4" t="s">
        <v>93</v>
      </c>
      <c r="B839" s="7">
        <v>0</v>
      </c>
      <c r="C839" s="6">
        <f>IF(K839=1,0.9,0)</f>
        <v/>
      </c>
      <c r="D839" s="5" t="s">
        <v>23</v>
      </c>
      <c r="E839" s="5" t="s">
        <v>23</v>
      </c>
      <c r="F839" s="6">
        <f>IF(K839=1,1.0,0)</f>
        <v/>
      </c>
      <c r="G839" s="5" t="s">
        <v>23</v>
      </c>
      <c r="H839" s="5" t="s">
        <v>23</v>
      </c>
      <c r="I839" s="5" t="s">
        <v>23</v>
      </c>
      <c r="J839" s="5" t="s">
        <v>23</v>
      </c>
      <c r="K839" s="8">
        <f>IF(OR(LOOKUP(A839,characters!A:A,characters!B:B)=-1, LOOKUP(A839,characters!A:A,characters!B:B)+0.1&gt;=B839),1,0)</f>
        <v/>
      </c>
    </row>
    <row r="840" spans="1:11">
      <c r="A840" s="4" t="s">
        <v>109</v>
      </c>
      <c r="B840" s="7">
        <v>1</v>
      </c>
      <c r="C840" s="6">
        <f>IF(K840=1,0.99,0)</f>
        <v/>
      </c>
      <c r="D840" s="5" t="s">
        <v>23</v>
      </c>
      <c r="E840" s="5" t="s">
        <v>23</v>
      </c>
      <c r="F840" s="5" t="s">
        <v>23</v>
      </c>
      <c r="G840" s="5" t="s">
        <v>23</v>
      </c>
      <c r="H840" s="5" t="s">
        <v>23</v>
      </c>
      <c r="I840" s="5" t="s">
        <v>23</v>
      </c>
      <c r="J840" s="6">
        <f>IF(K840=1,1.0,0)</f>
        <v/>
      </c>
      <c r="K840" s="8">
        <f>IF(OR(LOOKUP(A840,characters!A:A,characters!B:B)=-1, LOOKUP(A840,characters!A:A,characters!B:B)+0.1&gt;=B840),1,0)</f>
        <v/>
      </c>
    </row>
    <row r="841" spans="1:11">
      <c r="A841" s="4" t="s">
        <v>60</v>
      </c>
      <c r="B841" s="7">
        <v>0</v>
      </c>
      <c r="C841" s="6">
        <f>IF(K841=1,0.99,0)</f>
        <v/>
      </c>
      <c r="D841" s="6">
        <f>IF(K841=1,1.0,0)</f>
        <v/>
      </c>
      <c r="E841" s="5" t="s">
        <v>23</v>
      </c>
      <c r="F841" s="5" t="s">
        <v>23</v>
      </c>
      <c r="G841" s="5" t="s">
        <v>23</v>
      </c>
      <c r="H841" s="5" t="s">
        <v>23</v>
      </c>
      <c r="I841" s="5" t="s">
        <v>23</v>
      </c>
      <c r="J841" s="5" t="s">
        <v>23</v>
      </c>
      <c r="K841" s="8">
        <f>IF(OR(LOOKUP(A841,characters!A:A,characters!B:B)=-1, LOOKUP(A841,characters!A:A,characters!B:B)+0.1&gt;=B841),1,0)</f>
        <v/>
      </c>
    </row>
    <row r="842" spans="1:11">
      <c r="A842" s="4" t="s">
        <v>73</v>
      </c>
      <c r="B842" s="7">
        <v>1</v>
      </c>
      <c r="C842" s="6">
        <f>IF(K842=1,0.99,0)</f>
        <v/>
      </c>
      <c r="D842" s="5" t="s">
        <v>23</v>
      </c>
      <c r="E842" s="6">
        <f>IF(K842=1,1.0,0)</f>
        <v/>
      </c>
      <c r="F842" s="5" t="s">
        <v>23</v>
      </c>
      <c r="G842" s="5" t="s">
        <v>23</v>
      </c>
      <c r="H842" s="5" t="s">
        <v>23</v>
      </c>
      <c r="I842" s="5" t="s">
        <v>23</v>
      </c>
      <c r="J842" s="5" t="s">
        <v>23</v>
      </c>
      <c r="K842" s="8">
        <f>IF(OR(LOOKUP(A842,characters!A:A,characters!B:B)=-1, LOOKUP(A842,characters!A:A,characters!B:B)+0.1&gt;=B842),1,0)</f>
        <v/>
      </c>
    </row>
    <row r="843" spans="1:11">
      <c r="A843" s="4" t="s">
        <v>74</v>
      </c>
      <c r="B843" s="7">
        <v>1</v>
      </c>
      <c r="C843" s="6">
        <f>IF(K843=1,0.9,0)</f>
        <v/>
      </c>
      <c r="D843" s="5" t="s">
        <v>23</v>
      </c>
      <c r="E843" s="6">
        <f>IF(K843=1,1.0,0)</f>
        <v/>
      </c>
      <c r="F843" s="5" t="s">
        <v>23</v>
      </c>
      <c r="G843" s="5" t="s">
        <v>23</v>
      </c>
      <c r="H843" s="5" t="s">
        <v>23</v>
      </c>
      <c r="I843" s="5" t="s">
        <v>23</v>
      </c>
      <c r="J843" s="5" t="s">
        <v>23</v>
      </c>
      <c r="K843" s="8">
        <f>IF(OR(LOOKUP(A843,characters!A:A,characters!B:B)=-1, LOOKUP(A843,characters!A:A,characters!B:B)+0.1&gt;=B843),1,0)</f>
        <v/>
      </c>
    </row>
    <row r="844" spans="1:11">
      <c r="A844" s="4" t="s">
        <v>111</v>
      </c>
      <c r="B844" s="7">
        <v>2</v>
      </c>
      <c r="C844" s="6">
        <f>IF(K844=1,0.9,0)</f>
        <v/>
      </c>
      <c r="D844" s="5" t="s">
        <v>23</v>
      </c>
      <c r="E844" s="5" t="s">
        <v>23</v>
      </c>
      <c r="F844" s="5" t="s">
        <v>23</v>
      </c>
      <c r="G844" s="6">
        <f>IF(K844=1,1.0,0)</f>
        <v/>
      </c>
      <c r="H844" s="5" t="s">
        <v>23</v>
      </c>
      <c r="I844" s="5" t="s">
        <v>23</v>
      </c>
      <c r="J844" s="5" t="s">
        <v>23</v>
      </c>
      <c r="K844" s="8">
        <f>IF(OR(LOOKUP(A844,characters!A:A,characters!B:B)=-1, LOOKUP(A844,characters!A:A,characters!B:B)+0.1&gt;=B844),1,0)</f>
        <v/>
      </c>
    </row>
    <row r="845" spans="1:11">
      <c r="A845" s="4" t="s">
        <v>113</v>
      </c>
      <c r="B845" s="7">
        <v>3</v>
      </c>
      <c r="C845" s="6">
        <f>IF(K845=1,1.0,0)</f>
        <v/>
      </c>
      <c r="D845" s="5" t="s">
        <v>23</v>
      </c>
      <c r="E845" s="5" t="s">
        <v>23</v>
      </c>
      <c r="F845" s="5" t="s">
        <v>23</v>
      </c>
      <c r="G845" s="5" t="s">
        <v>23</v>
      </c>
      <c r="H845" s="5" t="s">
        <v>23</v>
      </c>
      <c r="I845" s="5" t="s">
        <v>23</v>
      </c>
      <c r="J845" s="6">
        <f>IF(K845=1,0.9,0)</f>
        <v/>
      </c>
      <c r="K845" s="8">
        <f>IF(OR(LOOKUP(A845,characters!A:A,characters!B:B)=-1, LOOKUP(A845,characters!A:A,characters!B:B)+0.1&gt;=B845),1,0)</f>
        <v/>
      </c>
    </row>
    <row r="846" spans="1:11">
      <c r="A846" s="4" t="s">
        <v>103</v>
      </c>
      <c r="B846" s="7">
        <v>0</v>
      </c>
      <c r="C846" s="6">
        <f>IF(K846=1,0.99,0)</f>
        <v/>
      </c>
      <c r="D846" s="5" t="s">
        <v>23</v>
      </c>
      <c r="E846" s="5" t="s">
        <v>23</v>
      </c>
      <c r="F846" s="5" t="s">
        <v>23</v>
      </c>
      <c r="G846" s="5" t="s">
        <v>23</v>
      </c>
      <c r="H846" s="5" t="s">
        <v>23</v>
      </c>
      <c r="I846" s="6">
        <f>IF(K846=1,1.0,0)</f>
        <v/>
      </c>
      <c r="J846" s="5" t="s">
        <v>23</v>
      </c>
      <c r="K846" s="8">
        <f>IF(OR(LOOKUP(A846,characters!A:A,characters!B:B)=-1, LOOKUP(A846,characters!A:A,characters!B:B)+0.1&gt;=B846),1,0)</f>
        <v/>
      </c>
    </row>
    <row r="848" spans="1:11">
      <c r="A848" s="3" t="s">
        <v>65</v>
      </c>
      <c r="B848" s="3" t="s">
        <v>9</v>
      </c>
      <c r="C848" s="3" t="s">
        <v>17</v>
      </c>
      <c r="D848" s="3" t="s">
        <v>18</v>
      </c>
    </row>
    <row r="849" spans="1:5">
      <c r="A849" s="4" t="s">
        <v>22</v>
      </c>
      <c r="B849" s="5" t="s">
        <v>23</v>
      </c>
      <c r="C849" s="6">
        <f>IF(SUM(E850:E874)=0,0,SUM(C850:C874)/SUM(E850:E874))</f>
        <v/>
      </c>
      <c r="D849" s="6">
        <f>IF(SUM(E850:E874)=0,0,SUM(D850:D874)/SUM(E850:E874))</f>
        <v/>
      </c>
    </row>
    <row r="850" spans="1:5">
      <c r="A850" s="4" t="s">
        <v>61</v>
      </c>
      <c r="B850" s="7">
        <v>3</v>
      </c>
      <c r="C850" s="6">
        <f>IF(E850=1,1.0,0)</f>
        <v/>
      </c>
      <c r="D850" s="5" t="s">
        <v>23</v>
      </c>
      <c r="E850" s="8">
        <f>IF(OR(LOOKUP(A850,characters!A:A,characters!B:B)=-1, LOOKUP(A850,characters!A:A,characters!B:B)+0.1&gt;=B850),1,0)</f>
        <v/>
      </c>
    </row>
    <row r="851" spans="1:5">
      <c r="A851" s="4" t="s">
        <v>75</v>
      </c>
      <c r="B851" s="7">
        <v>2</v>
      </c>
      <c r="C851" s="6">
        <f>IF(E851=1,1.0,0)</f>
        <v/>
      </c>
      <c r="D851" s="5" t="s">
        <v>23</v>
      </c>
      <c r="E851" s="8">
        <f>IF(OR(LOOKUP(A851,characters!A:A,characters!B:B)=-1, LOOKUP(A851,characters!A:A,characters!B:B)+0.1&gt;=B851),1,0)</f>
        <v/>
      </c>
    </row>
    <row r="852" spans="1:5">
      <c r="A852" s="4" t="s">
        <v>57</v>
      </c>
      <c r="B852" s="7">
        <v>1</v>
      </c>
      <c r="C852" s="6">
        <f>IF(E852=1,1.0,0)</f>
        <v/>
      </c>
      <c r="D852" s="5" t="s">
        <v>23</v>
      </c>
      <c r="E852" s="8">
        <f>IF(OR(LOOKUP(A852,characters!A:A,characters!B:B)=-1, LOOKUP(A852,characters!A:A,characters!B:B)+0.1&gt;=B852),1,0)</f>
        <v/>
      </c>
    </row>
    <row r="853" spans="1:5">
      <c r="A853" s="4" t="s">
        <v>92</v>
      </c>
      <c r="B853" s="7">
        <v>1</v>
      </c>
      <c r="C853" s="6">
        <f>IF(E853=1,1.0,0)</f>
        <v/>
      </c>
      <c r="D853" s="5" t="s">
        <v>23</v>
      </c>
      <c r="E853" s="8">
        <f>IF(OR(LOOKUP(A853,characters!A:A,characters!B:B)=-1, LOOKUP(A853,characters!A:A,characters!B:B)+0.1&gt;=B853),1,0)</f>
        <v/>
      </c>
    </row>
    <row r="854" spans="1:5">
      <c r="A854" s="4" t="s">
        <v>104</v>
      </c>
      <c r="B854" s="7">
        <v>1</v>
      </c>
      <c r="C854" s="6">
        <f>IF(E854=1,1.0,0)</f>
        <v/>
      </c>
      <c r="D854" s="5" t="s">
        <v>23</v>
      </c>
      <c r="E854" s="8">
        <f>IF(OR(LOOKUP(A854,characters!A:A,characters!B:B)=-1, LOOKUP(A854,characters!A:A,characters!B:B)+0.1&gt;=B854),1,0)</f>
        <v/>
      </c>
    </row>
    <row r="855" spans="1:5">
      <c r="A855" s="4" t="s">
        <v>105</v>
      </c>
      <c r="B855" s="7">
        <v>1</v>
      </c>
      <c r="C855" s="6">
        <f>IF(E855=1,1.0,0)</f>
        <v/>
      </c>
      <c r="D855" s="5" t="s">
        <v>23</v>
      </c>
      <c r="E855" s="8">
        <f>IF(OR(LOOKUP(A855,characters!A:A,characters!B:B)=-1, LOOKUP(A855,characters!A:A,characters!B:B)+0.1&gt;=B855),1,0)</f>
        <v/>
      </c>
    </row>
    <row r="856" spans="1:5">
      <c r="A856" s="4" t="s">
        <v>81</v>
      </c>
      <c r="B856" s="7">
        <v>2</v>
      </c>
      <c r="C856" s="6">
        <f>IF(E856=1,1.0,0)</f>
        <v/>
      </c>
      <c r="D856" s="5" t="s">
        <v>23</v>
      </c>
      <c r="E856" s="8">
        <f>IF(OR(LOOKUP(A856,characters!A:A,characters!B:B)=-1, LOOKUP(A856,characters!A:A,characters!B:B)+0.1&gt;=B856),1,0)</f>
        <v/>
      </c>
    </row>
    <row r="857" spans="1:5">
      <c r="A857" s="4" t="s">
        <v>31</v>
      </c>
      <c r="B857" s="7">
        <v>0</v>
      </c>
      <c r="C857" s="6">
        <f>IF(E857=1,1.0,0)</f>
        <v/>
      </c>
      <c r="D857" s="5" t="s">
        <v>23</v>
      </c>
      <c r="E857" s="8">
        <f>IF(OR(LOOKUP(A857,characters!A:A,characters!B:B)=-1, LOOKUP(A857,characters!A:A,characters!B:B)+0.1&gt;=B857),1,0)</f>
        <v/>
      </c>
    </row>
    <row r="858" spans="1:5">
      <c r="A858" s="4" t="s">
        <v>112</v>
      </c>
      <c r="B858" s="7">
        <v>3</v>
      </c>
      <c r="C858" s="6">
        <f>IF(E858=1,1.0,0)</f>
        <v/>
      </c>
      <c r="D858" s="5" t="s">
        <v>23</v>
      </c>
      <c r="E858" s="8">
        <f>IF(OR(LOOKUP(A858,characters!A:A,characters!B:B)=-1, LOOKUP(A858,characters!A:A,characters!B:B)+0.1&gt;=B858),1,0)</f>
        <v/>
      </c>
    </row>
    <row r="859" spans="1:5">
      <c r="A859" s="4" t="s">
        <v>100</v>
      </c>
      <c r="B859" s="7">
        <v>3</v>
      </c>
      <c r="C859" s="6">
        <f>IF(E859=1,1.0,0)</f>
        <v/>
      </c>
      <c r="D859" s="5" t="s">
        <v>23</v>
      </c>
      <c r="E859" s="8">
        <f>IF(OR(LOOKUP(A859,characters!A:A,characters!B:B)=-1, LOOKUP(A859,characters!A:A,characters!B:B)+0.1&gt;=B859),1,0)</f>
        <v/>
      </c>
    </row>
    <row r="860" spans="1:5">
      <c r="A860" s="4" t="s">
        <v>101</v>
      </c>
      <c r="B860" s="7">
        <v>0</v>
      </c>
      <c r="C860" s="6">
        <f>IF(E860=1,1.0,0)</f>
        <v/>
      </c>
      <c r="D860" s="5" t="s">
        <v>23</v>
      </c>
      <c r="E860" s="8">
        <f>IF(OR(LOOKUP(A860,characters!A:A,characters!B:B)=-1, LOOKUP(A860,characters!A:A,characters!B:B)+0.1&gt;=B860),1,0)</f>
        <v/>
      </c>
    </row>
    <row r="861" spans="1:5">
      <c r="A861" s="4" t="s">
        <v>106</v>
      </c>
      <c r="B861" s="7">
        <v>1</v>
      </c>
      <c r="C861" s="6">
        <f>IF(E861=1,1.0,0)</f>
        <v/>
      </c>
      <c r="D861" s="5" t="s">
        <v>23</v>
      </c>
      <c r="E861" s="8">
        <f>IF(OR(LOOKUP(A861,characters!A:A,characters!B:B)=-1, LOOKUP(A861,characters!A:A,characters!B:B)+0.1&gt;=B861),1,0)</f>
        <v/>
      </c>
    </row>
    <row r="862" spans="1:5">
      <c r="A862" s="4" t="s">
        <v>59</v>
      </c>
      <c r="B862" s="7">
        <v>0</v>
      </c>
      <c r="C862" s="6">
        <f>IF(E862=1,1.0,0)</f>
        <v/>
      </c>
      <c r="D862" s="5" t="s">
        <v>23</v>
      </c>
      <c r="E862" s="8">
        <f>IF(OR(LOOKUP(A862,characters!A:A,characters!B:B)=-1, LOOKUP(A862,characters!A:A,characters!B:B)+0.1&gt;=B862),1,0)</f>
        <v/>
      </c>
    </row>
    <row r="863" spans="1:5">
      <c r="A863" s="4" t="s">
        <v>76</v>
      </c>
      <c r="B863" s="7">
        <v>1</v>
      </c>
      <c r="C863" s="6">
        <f>IF(E863=1,0.99,0)</f>
        <v/>
      </c>
      <c r="D863" s="6">
        <f>IF(E863=1,1.0,0)</f>
        <v/>
      </c>
      <c r="E863" s="8">
        <f>IF(OR(LOOKUP(A863,characters!A:A,characters!B:B)=-1, LOOKUP(A863,characters!A:A,characters!B:B)+0.1&gt;=B863),1,0)</f>
        <v/>
      </c>
    </row>
    <row r="864" spans="1:5">
      <c r="A864" s="4" t="s">
        <v>110</v>
      </c>
      <c r="B864" s="7">
        <v>2</v>
      </c>
      <c r="C864" s="6">
        <f>IF(E864=1,1.0,0)</f>
        <v/>
      </c>
      <c r="D864" s="5" t="s">
        <v>23</v>
      </c>
      <c r="E864" s="8">
        <f>IF(OR(LOOKUP(A864,characters!A:A,characters!B:B)=-1, LOOKUP(A864,characters!A:A,characters!B:B)+0.1&gt;=B864),1,0)</f>
        <v/>
      </c>
    </row>
    <row r="865" spans="1:5">
      <c r="A865" s="4" t="s">
        <v>107</v>
      </c>
      <c r="B865" s="7">
        <v>1</v>
      </c>
      <c r="C865" s="6">
        <f>IF(E865=1,1.0,0)</f>
        <v/>
      </c>
      <c r="D865" s="5" t="s">
        <v>23</v>
      </c>
      <c r="E865" s="8">
        <f>IF(OR(LOOKUP(A865,characters!A:A,characters!B:B)=-1, LOOKUP(A865,characters!A:A,characters!B:B)+0.1&gt;=B865),1,0)</f>
        <v/>
      </c>
    </row>
    <row r="866" spans="1:5">
      <c r="A866" s="4" t="s">
        <v>108</v>
      </c>
      <c r="B866" s="7">
        <v>1</v>
      </c>
      <c r="C866" s="6">
        <f>IF(E866=1,1.0,0)</f>
        <v/>
      </c>
      <c r="D866" s="5" t="s">
        <v>23</v>
      </c>
      <c r="E866" s="8">
        <f>IF(OR(LOOKUP(A866,characters!A:A,characters!B:B)=-1, LOOKUP(A866,characters!A:A,characters!B:B)+0.1&gt;=B866),1,0)</f>
        <v/>
      </c>
    </row>
    <row r="867" spans="1:5">
      <c r="A867" s="4" t="s">
        <v>93</v>
      </c>
      <c r="B867" s="7">
        <v>0</v>
      </c>
      <c r="C867" s="6">
        <f>IF(E867=1,1.0,0)</f>
        <v/>
      </c>
      <c r="D867" s="5" t="s">
        <v>23</v>
      </c>
      <c r="E867" s="8">
        <f>IF(OR(LOOKUP(A867,characters!A:A,characters!B:B)=-1, LOOKUP(A867,characters!A:A,characters!B:B)+0.1&gt;=B867),1,0)</f>
        <v/>
      </c>
    </row>
    <row r="868" spans="1:5">
      <c r="A868" s="4" t="s">
        <v>109</v>
      </c>
      <c r="B868" s="7">
        <v>1</v>
      </c>
      <c r="C868" s="6">
        <f>IF(E868=1,1.0,0)</f>
        <v/>
      </c>
      <c r="D868" s="5" t="s">
        <v>23</v>
      </c>
      <c r="E868" s="8">
        <f>IF(OR(LOOKUP(A868,characters!A:A,characters!B:B)=-1, LOOKUP(A868,characters!A:A,characters!B:B)+0.1&gt;=B868),1,0)</f>
        <v/>
      </c>
    </row>
    <row r="869" spans="1:5">
      <c r="A869" s="4" t="s">
        <v>60</v>
      </c>
      <c r="B869" s="7">
        <v>0</v>
      </c>
      <c r="C869" s="6">
        <f>IF(E869=1,1.0,0)</f>
        <v/>
      </c>
      <c r="D869" s="5" t="s">
        <v>23</v>
      </c>
      <c r="E869" s="8">
        <f>IF(OR(LOOKUP(A869,characters!A:A,characters!B:B)=-1, LOOKUP(A869,characters!A:A,characters!B:B)+0.1&gt;=B869),1,0)</f>
        <v/>
      </c>
    </row>
    <row r="870" spans="1:5">
      <c r="A870" s="4" t="s">
        <v>73</v>
      </c>
      <c r="B870" s="7">
        <v>1</v>
      </c>
      <c r="C870" s="6">
        <f>IF(E870=1,1.0,0)</f>
        <v/>
      </c>
      <c r="D870" s="6">
        <f>IF(E870=1,1.0,0)</f>
        <v/>
      </c>
      <c r="E870" s="8">
        <f>IF(OR(LOOKUP(A870,characters!A:A,characters!B:B)=-1, LOOKUP(A870,characters!A:A,characters!B:B)+0.1&gt;=B870),1,0)</f>
        <v/>
      </c>
    </row>
    <row r="871" spans="1:5">
      <c r="A871" s="4" t="s">
        <v>74</v>
      </c>
      <c r="B871" s="7">
        <v>1</v>
      </c>
      <c r="C871" s="6">
        <f>IF(E871=1,1.0,0)</f>
        <v/>
      </c>
      <c r="D871" s="6">
        <f>IF(E871=1,0.9,0)</f>
        <v/>
      </c>
      <c r="E871" s="8">
        <f>IF(OR(LOOKUP(A871,characters!A:A,characters!B:B)=-1, LOOKUP(A871,characters!A:A,characters!B:B)+0.1&gt;=B871),1,0)</f>
        <v/>
      </c>
    </row>
    <row r="872" spans="1:5">
      <c r="A872" s="4" t="s">
        <v>111</v>
      </c>
      <c r="B872" s="7">
        <v>2</v>
      </c>
      <c r="C872" s="6">
        <f>IF(E872=1,1.0,0)</f>
        <v/>
      </c>
      <c r="D872" s="5" t="s">
        <v>23</v>
      </c>
      <c r="E872" s="8">
        <f>IF(OR(LOOKUP(A872,characters!A:A,characters!B:B)=-1, LOOKUP(A872,characters!A:A,characters!B:B)+0.1&gt;=B872),1,0)</f>
        <v/>
      </c>
    </row>
    <row r="873" spans="1:5">
      <c r="A873" s="4" t="s">
        <v>113</v>
      </c>
      <c r="B873" s="7">
        <v>3</v>
      </c>
      <c r="C873" s="5" t="s">
        <v>23</v>
      </c>
      <c r="D873" s="6">
        <f>IF(E873=1,1.0,0)</f>
        <v/>
      </c>
      <c r="E873" s="8">
        <f>IF(OR(LOOKUP(A873,characters!A:A,characters!B:B)=-1, LOOKUP(A873,characters!A:A,characters!B:B)+0.1&gt;=B873),1,0)</f>
        <v/>
      </c>
    </row>
    <row r="874" spans="1:5">
      <c r="A874" s="4" t="s">
        <v>103</v>
      </c>
      <c r="B874" s="7">
        <v>0</v>
      </c>
      <c r="C874" s="6">
        <f>IF(E874=1,1.0,0)</f>
        <v/>
      </c>
      <c r="D874" s="5" t="s">
        <v>23</v>
      </c>
      <c r="E874" s="8">
        <f>IF(OR(LOOKUP(A874,characters!A:A,characters!B:B)=-1, LOOKUP(A874,characters!A:A,characters!B:B)+0.1&gt;=B874),1,0)</f>
        <v/>
      </c>
    </row>
    <row r="881" spans="1:10">
      <c r="A881" s="3" t="s">
        <v>115</v>
      </c>
    </row>
    <row r="882" spans="1:10">
      <c r="A882" s="3" t="s">
        <v>8</v>
      </c>
      <c r="B882" s="3" t="s">
        <v>9</v>
      </c>
      <c r="C882" s="3" t="s">
        <v>10</v>
      </c>
      <c r="D882" s="3" t="s">
        <v>13</v>
      </c>
      <c r="E882" s="3" t="s">
        <v>12</v>
      </c>
      <c r="F882" s="3" t="s">
        <v>11</v>
      </c>
      <c r="G882" s="3" t="s">
        <v>16</v>
      </c>
      <c r="H882" s="3" t="s">
        <v>17</v>
      </c>
      <c r="I882" s="3" t="s">
        <v>18</v>
      </c>
    </row>
    <row r="883" spans="1:10">
      <c r="A883" s="4" t="s">
        <v>22</v>
      </c>
      <c r="B883" s="5" t="s">
        <v>23</v>
      </c>
      <c r="C883" s="6">
        <f>IF(SUM(J884:J888)=0,0,SUM(C884:C888)/SUM(J884:J888))</f>
        <v/>
      </c>
      <c r="D883" s="6">
        <f>IF(SUM(J884:J888)=0,0,SUM(D884:D888)/SUM(J884:J888))</f>
        <v/>
      </c>
      <c r="E883" s="6">
        <f>IF(SUM(J884:J888)=0,0,SUM(E884:E888)/SUM(J884:J888))</f>
        <v/>
      </c>
      <c r="F883" s="6">
        <f>IF(SUM(J884:J888)=0,0,SUM(F884:F888)/SUM(J884:J888))</f>
        <v/>
      </c>
      <c r="G883" s="6">
        <f>IF(SUM(J884:J888)=0,0,SUM(G884:G888)/SUM(J884:J888))</f>
        <v/>
      </c>
      <c r="H883" s="6">
        <f>IF(SUM(J884:J888)=0,0,SUM(H884:H888)/SUM(J884:J888))</f>
        <v/>
      </c>
      <c r="I883" s="6">
        <f>IF(SUM(J884:J888)=0,0,SUM(I884:I888)/SUM(J884:J888))</f>
        <v/>
      </c>
    </row>
    <row r="884" spans="1:10">
      <c r="A884" s="4" t="s">
        <v>26</v>
      </c>
      <c r="B884" s="7">
        <v>0</v>
      </c>
      <c r="C884" s="6">
        <f>IF(J884=1,1.0,0)</f>
        <v/>
      </c>
      <c r="D884" s="6">
        <f>IF(J884=1,0.9,0)</f>
        <v/>
      </c>
      <c r="E884" s="6">
        <f>IF(J884=1,0.8,0)</f>
        <v/>
      </c>
      <c r="F884" s="6">
        <f>IF(J884=1,0.8,0)</f>
        <v/>
      </c>
      <c r="G884" s="5" t="s">
        <v>23</v>
      </c>
      <c r="H884" s="5" t="s">
        <v>23</v>
      </c>
      <c r="I884" s="5" t="s">
        <v>23</v>
      </c>
      <c r="J884" s="8">
        <f>IF(OR(LOOKUP(A884,characters!A:A,characters!B:B)=-1, LOOKUP(A884,characters!A:A,characters!B:B)+0.1&gt;=B884),1,0)</f>
        <v/>
      </c>
    </row>
    <row r="885" spans="1:10">
      <c r="A885" s="4" t="s">
        <v>31</v>
      </c>
      <c r="B885" s="7">
        <v>0</v>
      </c>
      <c r="C885" s="6">
        <f>IF(J885=1,0.9,0)</f>
        <v/>
      </c>
      <c r="D885" s="6">
        <f>IF(J885=1,0.7,0)</f>
        <v/>
      </c>
      <c r="E885" s="6">
        <f>IF(J885=1,0.7,0)</f>
        <v/>
      </c>
      <c r="F885" s="5" t="s">
        <v>23</v>
      </c>
      <c r="G885" s="6">
        <f>IF(J885=1,1.0,0)</f>
        <v/>
      </c>
      <c r="H885" s="6">
        <f>IF(J885=1,0.8,0)</f>
        <v/>
      </c>
      <c r="I885" s="6">
        <f>IF(J885=1,0.7,0)</f>
        <v/>
      </c>
      <c r="J885" s="8">
        <f>IF(OR(LOOKUP(A885,characters!A:A,characters!B:B)=-1, LOOKUP(A885,characters!A:A,characters!B:B)+0.1&gt;=B885),1,0)</f>
        <v/>
      </c>
    </row>
    <row r="886" spans="1:10">
      <c r="A886" s="4" t="s">
        <v>33</v>
      </c>
      <c r="B886" s="7">
        <v>0</v>
      </c>
      <c r="C886" s="6">
        <f>IF(J886=1,1.0,0)</f>
        <v/>
      </c>
      <c r="D886" s="6">
        <f>IF(J886=1,0.9,0)</f>
        <v/>
      </c>
      <c r="E886" s="6">
        <f>IF(J886=1,0.8,0)</f>
        <v/>
      </c>
      <c r="F886" s="6">
        <f>IF(J886=1,0.8,0)</f>
        <v/>
      </c>
      <c r="G886" s="5" t="s">
        <v>23</v>
      </c>
      <c r="H886" s="5" t="s">
        <v>23</v>
      </c>
      <c r="I886" s="5" t="s">
        <v>23</v>
      </c>
      <c r="J886" s="8">
        <f>IF(OR(LOOKUP(A886,characters!A:A,characters!B:B)=-1, LOOKUP(A886,characters!A:A,characters!B:B)+0.1&gt;=B886),1,0)</f>
        <v/>
      </c>
    </row>
    <row r="887" spans="1:10">
      <c r="A887" s="4" t="s">
        <v>37</v>
      </c>
      <c r="B887" s="7">
        <v>0</v>
      </c>
      <c r="C887" s="6">
        <f>IF(J887=1,1.0,0)</f>
        <v/>
      </c>
      <c r="D887" s="6">
        <f>IF(J887=1,0.9,0)</f>
        <v/>
      </c>
      <c r="E887" s="6">
        <f>IF(J887=1,0.7,0)</f>
        <v/>
      </c>
      <c r="F887" s="6">
        <f>IF(J887=1,0.8,0)</f>
        <v/>
      </c>
      <c r="G887" s="5" t="s">
        <v>23</v>
      </c>
      <c r="H887" s="5" t="s">
        <v>23</v>
      </c>
      <c r="I887" s="5" t="s">
        <v>23</v>
      </c>
      <c r="J887" s="8">
        <f>IF(OR(LOOKUP(A887,characters!A:A,characters!B:B)=-1, LOOKUP(A887,characters!A:A,characters!B:B)+0.1&gt;=B887),1,0)</f>
        <v/>
      </c>
    </row>
    <row r="888" spans="1:10">
      <c r="A888" s="4" t="s">
        <v>39</v>
      </c>
      <c r="B888" s="7">
        <v>0</v>
      </c>
      <c r="C888" s="6">
        <f>IF(J888=1,1.0,0)</f>
        <v/>
      </c>
      <c r="D888" s="6">
        <f>IF(J888=1,0.9,0)</f>
        <v/>
      </c>
      <c r="E888" s="6">
        <f>IF(J888=1,0.8,0)</f>
        <v/>
      </c>
      <c r="F888" s="6">
        <f>IF(J888=1,0.8,0)</f>
        <v/>
      </c>
      <c r="G888" s="5" t="s">
        <v>23</v>
      </c>
      <c r="H888" s="5" t="s">
        <v>23</v>
      </c>
      <c r="I888" s="5" t="s">
        <v>23</v>
      </c>
      <c r="J888" s="8">
        <f>IF(OR(LOOKUP(A888,characters!A:A,characters!B:B)=-1, LOOKUP(A888,characters!A:A,characters!B:B)+0.1&gt;=B888),1,0)</f>
        <v/>
      </c>
    </row>
    <row r="890" spans="1:10">
      <c r="A890" s="3" t="s">
        <v>64</v>
      </c>
      <c r="B890" s="3" t="s">
        <v>9</v>
      </c>
      <c r="C890" s="3" t="s">
        <v>13</v>
      </c>
      <c r="D890" s="3" t="s">
        <v>90</v>
      </c>
      <c r="E890" s="3" t="s">
        <v>17</v>
      </c>
    </row>
    <row r="891" spans="1:10">
      <c r="A891" s="4" t="s">
        <v>22</v>
      </c>
      <c r="B891" s="5" t="s">
        <v>23</v>
      </c>
      <c r="C891" s="6">
        <f>IF(SUM(F892:F896)=0,0,SUM(C892:C896)/SUM(F892:F896))</f>
        <v/>
      </c>
      <c r="D891" s="6">
        <f>IF(SUM(F892:F896)=0,0,SUM(D892:D896)/SUM(F892:F896))</f>
        <v/>
      </c>
      <c r="E891" s="6">
        <f>IF(SUM(F892:F896)=0,0,SUM(E892:E896)/SUM(F892:F896))</f>
        <v/>
      </c>
    </row>
    <row r="892" spans="1:10">
      <c r="A892" s="4" t="s">
        <v>26</v>
      </c>
      <c r="B892" s="7">
        <v>0</v>
      </c>
      <c r="C892" s="6">
        <f>IF(F892=1,1.0,0)</f>
        <v/>
      </c>
      <c r="D892" s="5" t="s">
        <v>23</v>
      </c>
      <c r="E892" s="5" t="s">
        <v>23</v>
      </c>
      <c r="F892" s="8">
        <f>IF(OR(LOOKUP(A892,characters!A:A,characters!B:B)=-1, LOOKUP(A892,characters!A:A,characters!B:B)+0.1&gt;=B892),1,0)</f>
        <v/>
      </c>
    </row>
    <row r="893" spans="1:10">
      <c r="A893" s="4" t="s">
        <v>31</v>
      </c>
      <c r="B893" s="7">
        <v>0</v>
      </c>
      <c r="C893" s="5" t="s">
        <v>23</v>
      </c>
      <c r="D893" s="6">
        <f>IF(F893=1,1.0,0)</f>
        <v/>
      </c>
      <c r="E893" s="6">
        <f>IF(F893=1,0.9,0)</f>
        <v/>
      </c>
      <c r="F893" s="8">
        <f>IF(OR(LOOKUP(A893,characters!A:A,characters!B:B)=-1, LOOKUP(A893,characters!A:A,characters!B:B)+0.1&gt;=B893),1,0)</f>
        <v/>
      </c>
    </row>
    <row r="894" spans="1:10">
      <c r="A894" s="4" t="s">
        <v>33</v>
      </c>
      <c r="B894" s="7">
        <v>0</v>
      </c>
      <c r="C894" s="6">
        <f>IF(F894=1,1.0,0)</f>
        <v/>
      </c>
      <c r="D894" s="5" t="s">
        <v>23</v>
      </c>
      <c r="E894" s="5" t="s">
        <v>23</v>
      </c>
      <c r="F894" s="8">
        <f>IF(OR(LOOKUP(A894,characters!A:A,characters!B:B)=-1, LOOKUP(A894,characters!A:A,characters!B:B)+0.1&gt;=B894),1,0)</f>
        <v/>
      </c>
    </row>
    <row r="895" spans="1:10">
      <c r="A895" s="4" t="s">
        <v>37</v>
      </c>
      <c r="B895" s="7">
        <v>0</v>
      </c>
      <c r="C895" s="6">
        <f>IF(F895=1,1.0,0)</f>
        <v/>
      </c>
      <c r="D895" s="5" t="s">
        <v>23</v>
      </c>
      <c r="E895" s="5" t="s">
        <v>23</v>
      </c>
      <c r="F895" s="8">
        <f>IF(OR(LOOKUP(A895,characters!A:A,characters!B:B)=-1, LOOKUP(A895,characters!A:A,characters!B:B)+0.1&gt;=B895),1,0)</f>
        <v/>
      </c>
    </row>
    <row r="896" spans="1:10">
      <c r="A896" s="4" t="s">
        <v>39</v>
      </c>
      <c r="B896" s="7">
        <v>0</v>
      </c>
      <c r="C896" s="6">
        <f>IF(F896=1,1.0,0)</f>
        <v/>
      </c>
      <c r="D896" s="5" t="s">
        <v>23</v>
      </c>
      <c r="E896" s="5" t="s">
        <v>23</v>
      </c>
      <c r="F896" s="8">
        <f>IF(OR(LOOKUP(A896,characters!A:A,characters!B:B)=-1, LOOKUP(A896,characters!A:A,characters!B:B)+0.1&gt;=B896),1,0)</f>
        <v/>
      </c>
    </row>
    <row r="898" spans="1:6">
      <c r="A898" s="3" t="s">
        <v>65</v>
      </c>
      <c r="B898" s="3" t="s">
        <v>9</v>
      </c>
      <c r="C898" s="3" t="s">
        <v>66</v>
      </c>
      <c r="D898" s="3" t="s">
        <v>17</v>
      </c>
    </row>
    <row r="899" spans="1:6">
      <c r="A899" s="4" t="s">
        <v>22</v>
      </c>
      <c r="B899" s="5" t="s">
        <v>23</v>
      </c>
      <c r="C899" s="6">
        <f>IF(SUM(E900:E904)=0,0,SUM(C900:C904)/SUM(E900:E904))</f>
        <v/>
      </c>
      <c r="D899" s="6">
        <f>IF(SUM(E900:E904)=0,0,SUM(D900:D904)/SUM(E900:E904))</f>
        <v/>
      </c>
    </row>
    <row r="900" spans="1:6">
      <c r="A900" s="4" t="s">
        <v>26</v>
      </c>
      <c r="B900" s="7">
        <v>0</v>
      </c>
      <c r="C900" s="6">
        <f>IF(E900=1,1.0,0)</f>
        <v/>
      </c>
      <c r="D900" s="5" t="s">
        <v>23</v>
      </c>
      <c r="E900" s="8">
        <f>IF(OR(LOOKUP(A900,characters!A:A,characters!B:B)=-1, LOOKUP(A900,characters!A:A,characters!B:B)+0.1&gt;=B900),1,0)</f>
        <v/>
      </c>
    </row>
    <row r="901" spans="1:6">
      <c r="A901" s="4" t="s">
        <v>31</v>
      </c>
      <c r="B901" s="7">
        <v>0</v>
      </c>
      <c r="C901" s="5" t="s">
        <v>23</v>
      </c>
      <c r="D901" s="6">
        <f>IF(E901=1,1.0,0)</f>
        <v/>
      </c>
      <c r="E901" s="8">
        <f>IF(OR(LOOKUP(A901,characters!A:A,characters!B:B)=-1, LOOKUP(A901,characters!A:A,characters!B:B)+0.1&gt;=B901),1,0)</f>
        <v/>
      </c>
    </row>
    <row r="902" spans="1:6">
      <c r="A902" s="4" t="s">
        <v>33</v>
      </c>
      <c r="B902" s="7">
        <v>0</v>
      </c>
      <c r="C902" s="6">
        <f>IF(E902=1,1.0,0)</f>
        <v/>
      </c>
      <c r="D902" s="5" t="s">
        <v>23</v>
      </c>
      <c r="E902" s="8">
        <f>IF(OR(LOOKUP(A902,characters!A:A,characters!B:B)=-1, LOOKUP(A902,characters!A:A,characters!B:B)+0.1&gt;=B902),1,0)</f>
        <v/>
      </c>
    </row>
    <row r="903" spans="1:6">
      <c r="A903" s="4" t="s">
        <v>37</v>
      </c>
      <c r="B903" s="7">
        <v>0</v>
      </c>
      <c r="C903" s="6">
        <f>IF(E903=1,1.0,0)</f>
        <v/>
      </c>
      <c r="D903" s="5" t="s">
        <v>23</v>
      </c>
      <c r="E903" s="8">
        <f>IF(OR(LOOKUP(A903,characters!A:A,characters!B:B)=-1, LOOKUP(A903,characters!A:A,characters!B:B)+0.1&gt;=B903),1,0)</f>
        <v/>
      </c>
    </row>
    <row r="904" spans="1:6">
      <c r="A904" s="4" t="s">
        <v>39</v>
      </c>
      <c r="B904" s="7">
        <v>0</v>
      </c>
      <c r="C904" s="6">
        <f>IF(E904=1,1.0,0)</f>
        <v/>
      </c>
      <c r="D904" s="5" t="s">
        <v>23</v>
      </c>
      <c r="E904" s="8">
        <f>IF(OR(LOOKUP(A904,characters!A:A,characters!B:B)=-1, LOOKUP(A904,characters!A:A,characters!B:B)+0.1&gt;=B904),1,0)</f>
        <v/>
      </c>
    </row>
    <row r="911" spans="1:6">
      <c r="A911" s="3" t="s">
        <v>116</v>
      </c>
    </row>
    <row r="912" spans="1:6">
      <c r="A912" s="3" t="s">
        <v>8</v>
      </c>
      <c r="B912" s="3" t="s">
        <v>9</v>
      </c>
      <c r="C912" s="3" t="s">
        <v>17</v>
      </c>
      <c r="D912" s="3" t="s">
        <v>10</v>
      </c>
      <c r="E912" s="3" t="s">
        <v>13</v>
      </c>
      <c r="F912" s="3" t="s">
        <v>12</v>
      </c>
    </row>
    <row r="913" spans="1:7">
      <c r="A913" s="4" t="s">
        <v>22</v>
      </c>
      <c r="B913" s="5" t="s">
        <v>23</v>
      </c>
      <c r="C913" s="6">
        <f>IF(SUM(G914)=0,0,SUM(C914)/SUM(G914))</f>
        <v/>
      </c>
      <c r="D913" s="6">
        <f>IF(SUM(G914)=0,0,SUM(D914)/SUM(G914))</f>
        <v/>
      </c>
      <c r="E913" s="6">
        <f>IF(SUM(G914)=0,0,SUM(E914)/SUM(G914))</f>
        <v/>
      </c>
      <c r="F913" s="6">
        <f>IF(SUM(G914)=0,0,SUM(F914)/SUM(G914))</f>
        <v/>
      </c>
    </row>
    <row r="914" spans="1:7">
      <c r="A914" s="4" t="s">
        <v>41</v>
      </c>
      <c r="B914" s="7">
        <v>0</v>
      </c>
      <c r="C914" s="6">
        <f>IF(G914=1,1.0,0)</f>
        <v/>
      </c>
      <c r="D914" s="6">
        <f>IF(G914=1,0.99,0)</f>
        <v/>
      </c>
      <c r="E914" s="6">
        <f>IF(G914=1,0.89,0)</f>
        <v/>
      </c>
      <c r="F914" s="6">
        <f>IF(G914=1,0.89,0)</f>
        <v/>
      </c>
      <c r="G914" s="8">
        <f>IF(OR(LOOKUP(A914,characters!A:A,characters!B:B)=-1, LOOKUP(A914,characters!A:A,characters!B:B)+0.1&gt;=B914),1,0)</f>
        <v/>
      </c>
    </row>
    <row r="916" spans="1:7">
      <c r="A916" s="3" t="s">
        <v>49</v>
      </c>
      <c r="B916" s="3" t="s">
        <v>9</v>
      </c>
      <c r="C916" s="3" t="s">
        <v>51</v>
      </c>
    </row>
    <row r="917" spans="1:7">
      <c r="A917" s="4" t="s">
        <v>22</v>
      </c>
      <c r="B917" s="5" t="s">
        <v>23</v>
      </c>
      <c r="C917" s="6">
        <f>IF(SUM(D918)=0,0,SUM(C918)/SUM(D918))</f>
        <v/>
      </c>
    </row>
    <row r="918" spans="1:7">
      <c r="A918" s="4" t="s">
        <v>41</v>
      </c>
      <c r="B918" s="7">
        <v>0</v>
      </c>
      <c r="C918" s="6">
        <f>IF(D918=1,1.0,0)</f>
        <v/>
      </c>
      <c r="D918" s="8">
        <f>IF(OR(LOOKUP(A918,characters!A:A,characters!B:B)=-1, LOOKUP(A918,characters!A:A,characters!B:B)+0.1&gt;=B918),1,0)</f>
        <v/>
      </c>
    </row>
    <row r="920" spans="1:7">
      <c r="A920" s="3" t="s">
        <v>52</v>
      </c>
      <c r="B920" s="3" t="s">
        <v>9</v>
      </c>
      <c r="C920" s="3" t="s">
        <v>17</v>
      </c>
    </row>
    <row r="921" spans="1:7">
      <c r="A921" s="4" t="s">
        <v>22</v>
      </c>
      <c r="B921" s="5" t="s">
        <v>23</v>
      </c>
      <c r="C921" s="6">
        <f>IF(SUM(D922)=0,0,SUM(C922)/SUM(D922))</f>
        <v/>
      </c>
    </row>
    <row r="922" spans="1:7">
      <c r="A922" s="4" t="s">
        <v>41</v>
      </c>
      <c r="B922" s="7">
        <v>0</v>
      </c>
      <c r="C922" s="6">
        <f>IF(D922=1,1.0,0)</f>
        <v/>
      </c>
      <c r="D922" s="8">
        <f>IF(OR(LOOKUP(A922,characters!A:A,characters!B:B)=-1, LOOKUP(A922,characters!A:A,characters!B:B)+0.1&gt;=B922),1,0)</f>
        <v/>
      </c>
    </row>
    <row r="929" spans="1:7">
      <c r="A929" s="3" t="s">
        <v>117</v>
      </c>
    </row>
    <row r="930" spans="1:7">
      <c r="A930" s="3" t="s">
        <v>8</v>
      </c>
      <c r="B930" s="3" t="s">
        <v>9</v>
      </c>
      <c r="C930" s="3" t="s">
        <v>17</v>
      </c>
      <c r="D930" s="3" t="s">
        <v>10</v>
      </c>
      <c r="E930" s="3" t="s">
        <v>13</v>
      </c>
      <c r="F930" s="3" t="s">
        <v>12</v>
      </c>
    </row>
    <row r="931" spans="1:7">
      <c r="A931" s="4" t="s">
        <v>22</v>
      </c>
      <c r="B931" s="5" t="s">
        <v>23</v>
      </c>
      <c r="C931" s="6">
        <f>IF(SUM(G932)=0,0,SUM(C932)/SUM(G932))</f>
        <v/>
      </c>
      <c r="D931" s="6">
        <f>IF(SUM(G932)=0,0,SUM(D932)/SUM(G932))</f>
        <v/>
      </c>
      <c r="E931" s="6">
        <f>IF(SUM(G932)=0,0,SUM(E932)/SUM(G932))</f>
        <v/>
      </c>
      <c r="F931" s="6">
        <f>IF(SUM(G932)=0,0,SUM(F932)/SUM(G932))</f>
        <v/>
      </c>
    </row>
    <row r="932" spans="1:7">
      <c r="A932" s="4" t="s">
        <v>41</v>
      </c>
      <c r="B932" s="7">
        <v>1</v>
      </c>
      <c r="C932" s="6">
        <f>IF(G932=1,1.0,0)</f>
        <v/>
      </c>
      <c r="D932" s="6">
        <f>IF(G932=1,0.99,0)</f>
        <v/>
      </c>
      <c r="E932" s="6">
        <f>IF(G932=1,0.89,0)</f>
        <v/>
      </c>
      <c r="F932" s="6">
        <f>IF(G932=1,0.89,0)</f>
        <v/>
      </c>
      <c r="G932" s="8">
        <f>IF(OR(LOOKUP(A932,characters!A:A,characters!B:B)=-1, LOOKUP(A932,characters!A:A,characters!B:B)+0.1&gt;=B932),1,0)</f>
        <v/>
      </c>
    </row>
    <row r="934" spans="1:7">
      <c r="A934" s="3" t="s">
        <v>49</v>
      </c>
      <c r="B934" s="3" t="s">
        <v>9</v>
      </c>
      <c r="C934" s="3" t="s">
        <v>51</v>
      </c>
    </row>
    <row r="935" spans="1:7">
      <c r="A935" s="4" t="s">
        <v>22</v>
      </c>
      <c r="B935" s="5" t="s">
        <v>23</v>
      </c>
      <c r="C935" s="6">
        <f>IF(SUM(D936)=0,0,SUM(C936)/SUM(D936))</f>
        <v/>
      </c>
    </row>
    <row r="936" spans="1:7">
      <c r="A936" s="4" t="s">
        <v>41</v>
      </c>
      <c r="B936" s="7">
        <v>1</v>
      </c>
      <c r="C936" s="6">
        <f>IF(D936=1,1.0,0)</f>
        <v/>
      </c>
      <c r="D936" s="8">
        <f>IF(OR(LOOKUP(A936,characters!A:A,characters!B:B)=-1, LOOKUP(A936,characters!A:A,characters!B:B)+0.1&gt;=B936),1,0)</f>
        <v/>
      </c>
    </row>
    <row r="938" spans="1:7">
      <c r="A938" s="3" t="s">
        <v>52</v>
      </c>
      <c r="B938" s="3" t="s">
        <v>9</v>
      </c>
      <c r="C938" s="3" t="s">
        <v>17</v>
      </c>
    </row>
    <row r="939" spans="1:7">
      <c r="A939" s="4" t="s">
        <v>22</v>
      </c>
      <c r="B939" s="5" t="s">
        <v>23</v>
      </c>
      <c r="C939" s="6">
        <f>IF(SUM(D940)=0,0,SUM(C940)/SUM(D940))</f>
        <v/>
      </c>
    </row>
    <row r="940" spans="1:7">
      <c r="A940" s="4" t="s">
        <v>41</v>
      </c>
      <c r="B940" s="7">
        <v>1</v>
      </c>
      <c r="C940" s="6">
        <f>IF(D940=1,1.0,0)</f>
        <v/>
      </c>
      <c r="D940" s="8">
        <f>IF(OR(LOOKUP(A940,characters!A:A,characters!B:B)=-1, LOOKUP(A940,characters!A:A,characters!B:B)+0.1&gt;=B940),1,0)</f>
        <v/>
      </c>
    </row>
    <row r="947" spans="1:13">
      <c r="A947" s="3" t="s">
        <v>118</v>
      </c>
    </row>
    <row r="948" spans="1:13">
      <c r="A948" s="3" t="s">
        <v>8</v>
      </c>
      <c r="B948" s="3" t="s">
        <v>9</v>
      </c>
      <c r="C948" s="3" t="s">
        <v>10</v>
      </c>
      <c r="D948" s="3" t="s">
        <v>18</v>
      </c>
      <c r="E948" s="3" t="s">
        <v>17</v>
      </c>
      <c r="F948" s="3" t="s">
        <v>13</v>
      </c>
      <c r="G948" s="3" t="s">
        <v>12</v>
      </c>
      <c r="H948" s="3" t="s">
        <v>16</v>
      </c>
      <c r="I948" s="3" t="s">
        <v>20</v>
      </c>
      <c r="J948" s="3" t="s">
        <v>21</v>
      </c>
      <c r="K948" s="3" t="s">
        <v>19</v>
      </c>
      <c r="L948" s="3" t="s">
        <v>11</v>
      </c>
    </row>
    <row r="949" spans="1:13">
      <c r="A949" s="4" t="s">
        <v>22</v>
      </c>
      <c r="B949" s="5" t="s">
        <v>23</v>
      </c>
      <c r="C949" s="6">
        <f>IF(SUM(M950:M957)=0,0,SUM(C950:C957)/SUM(M950:M957))</f>
        <v/>
      </c>
      <c r="D949" s="6">
        <f>IF(SUM(M950:M957)=0,0,SUM(D950:D957)/SUM(M950:M957))</f>
        <v/>
      </c>
      <c r="E949" s="6">
        <f>IF(SUM(M950:M957)=0,0,SUM(E950:E957)/SUM(M950:M957))</f>
        <v/>
      </c>
      <c r="F949" s="6">
        <f>IF(SUM(M950:M957)=0,0,SUM(F950:F957)/SUM(M950:M957))</f>
        <v/>
      </c>
      <c r="G949" s="6">
        <f>IF(SUM(M950:M957)=0,0,SUM(G950:G957)/SUM(M950:M957))</f>
        <v/>
      </c>
      <c r="H949" s="6">
        <f>IF(SUM(M950:M957)=0,0,SUM(H950:H957)/SUM(M950:M957))</f>
        <v/>
      </c>
      <c r="I949" s="6">
        <f>IF(SUM(M950:M957)=0,0,SUM(I950:I957)/SUM(M950:M957))</f>
        <v/>
      </c>
      <c r="J949" s="6">
        <f>IF(SUM(M950:M957)=0,0,SUM(J950:J957)/SUM(M950:M957))</f>
        <v/>
      </c>
      <c r="K949" s="6">
        <f>IF(SUM(M950:M957)=0,0,SUM(K950:K957)/SUM(M950:M957))</f>
        <v/>
      </c>
      <c r="L949" s="6">
        <f>IF(SUM(M950:M957)=0,0,SUM(L950:L957)/SUM(M950:M957))</f>
        <v/>
      </c>
    </row>
    <row r="950" spans="1:13">
      <c r="A950" s="4" t="s">
        <v>119</v>
      </c>
      <c r="B950" s="7">
        <v>0</v>
      </c>
      <c r="C950" s="6">
        <f>IF(M950=1,1.0,0)</f>
        <v/>
      </c>
      <c r="D950" s="6">
        <f>IF(M950=1,0.9,0)</f>
        <v/>
      </c>
      <c r="E950" s="6">
        <f>IF(M950=1,0.8,0)</f>
        <v/>
      </c>
      <c r="F950" s="5" t="s">
        <v>23</v>
      </c>
      <c r="G950" s="5" t="s">
        <v>23</v>
      </c>
      <c r="H950" s="5" t="s">
        <v>23</v>
      </c>
      <c r="I950" s="5" t="s">
        <v>23</v>
      </c>
      <c r="J950" s="5" t="s">
        <v>23</v>
      </c>
      <c r="K950" s="5" t="s">
        <v>23</v>
      </c>
      <c r="L950" s="5" t="s">
        <v>23</v>
      </c>
      <c r="M950" s="8">
        <f>IF(OR(LOOKUP(A950,characters!A:A,characters!B:B)=-1, LOOKUP(A950,characters!A:A,characters!B:B)+0.1&gt;=B950),1,0)</f>
        <v/>
      </c>
    </row>
    <row r="951" spans="1:13">
      <c r="A951" s="4" t="s">
        <v>29</v>
      </c>
      <c r="B951" s="7">
        <v>0</v>
      </c>
      <c r="C951" s="6">
        <f>IF(M951=1,1.0,0)</f>
        <v/>
      </c>
      <c r="D951" s="6">
        <f>IF(M951=1,0.9,0)</f>
        <v/>
      </c>
      <c r="E951" s="5" t="s">
        <v>23</v>
      </c>
      <c r="F951" s="6">
        <f>IF(M951=1,0.7,0)</f>
        <v/>
      </c>
      <c r="G951" s="6">
        <f>IF(M951=1,0.7,0)</f>
        <v/>
      </c>
      <c r="H951" s="5" t="s">
        <v>23</v>
      </c>
      <c r="I951" s="5" t="s">
        <v>23</v>
      </c>
      <c r="J951" s="5" t="s">
        <v>23</v>
      </c>
      <c r="K951" s="5" t="s">
        <v>23</v>
      </c>
      <c r="L951" s="6">
        <f>IF(M951=1,0.8,0)</f>
        <v/>
      </c>
      <c r="M951" s="8">
        <f>IF(OR(LOOKUP(A951,characters!A:A,characters!B:B)=-1, LOOKUP(A951,characters!A:A,characters!B:B)+0.1&gt;=B951),1,0)</f>
        <v/>
      </c>
    </row>
    <row r="952" spans="1:13">
      <c r="A952" s="4" t="s">
        <v>35</v>
      </c>
      <c r="B952" s="7">
        <v>0</v>
      </c>
      <c r="C952" s="6">
        <f>IF(M952=1,1.0,0)</f>
        <v/>
      </c>
      <c r="D952" s="5" t="s">
        <v>23</v>
      </c>
      <c r="E952" s="6">
        <f>IF(M952=1,0.89,0)</f>
        <v/>
      </c>
      <c r="F952" s="5" t="s">
        <v>23</v>
      </c>
      <c r="G952" s="5" t="s">
        <v>23</v>
      </c>
      <c r="H952" s="5" t="s">
        <v>23</v>
      </c>
      <c r="I952" s="6">
        <f>IF(M952=1,0.9,0)</f>
        <v/>
      </c>
      <c r="J952" s="5" t="s">
        <v>23</v>
      </c>
      <c r="K952" s="5" t="s">
        <v>23</v>
      </c>
      <c r="L952" s="5" t="s">
        <v>23</v>
      </c>
      <c r="M952" s="8">
        <f>IF(OR(LOOKUP(A952,characters!A:A,characters!B:B)=-1, LOOKUP(A952,characters!A:A,characters!B:B)+0.1&gt;=B952),1,0)</f>
        <v/>
      </c>
    </row>
    <row r="953" spans="1:13">
      <c r="A953" s="4" t="s">
        <v>46</v>
      </c>
      <c r="B953" s="7">
        <v>0</v>
      </c>
      <c r="C953" s="6">
        <f>IF(M953=1,1.0,0)</f>
        <v/>
      </c>
      <c r="D953" s="6">
        <f>IF(M953=1,1.0,0)</f>
        <v/>
      </c>
      <c r="E953" s="5" t="s">
        <v>23</v>
      </c>
      <c r="F953" s="6">
        <f>IF(M953=1,0.9,0)</f>
        <v/>
      </c>
      <c r="G953" s="6">
        <f>IF(M953=1,0.9,0)</f>
        <v/>
      </c>
      <c r="H953" s="5" t="s">
        <v>23</v>
      </c>
      <c r="I953" s="5" t="s">
        <v>23</v>
      </c>
      <c r="J953" s="5" t="s">
        <v>23</v>
      </c>
      <c r="K953" s="5" t="s">
        <v>23</v>
      </c>
      <c r="L953" s="5" t="s">
        <v>23</v>
      </c>
      <c r="M953" s="8">
        <f>IF(OR(LOOKUP(A953,characters!A:A,characters!B:B)=-1, LOOKUP(A953,characters!A:A,characters!B:B)+0.1&gt;=B953),1,0)</f>
        <v/>
      </c>
    </row>
    <row r="954" spans="1:13">
      <c r="A954" s="4" t="s">
        <v>94</v>
      </c>
      <c r="B954" s="7">
        <v>1</v>
      </c>
      <c r="C954" s="6">
        <f>IF(M954=1,1.0,0)</f>
        <v/>
      </c>
      <c r="D954" s="6">
        <f>IF(M954=1,0.99,0)</f>
        <v/>
      </c>
      <c r="E954" s="5" t="s">
        <v>23</v>
      </c>
      <c r="F954" s="5" t="s">
        <v>23</v>
      </c>
      <c r="G954" s="5" t="s">
        <v>23</v>
      </c>
      <c r="H954" s="5" t="s">
        <v>23</v>
      </c>
      <c r="I954" s="5" t="s">
        <v>23</v>
      </c>
      <c r="J954" s="5" t="s">
        <v>23</v>
      </c>
      <c r="K954" s="5" t="s">
        <v>23</v>
      </c>
      <c r="L954" s="5" t="s">
        <v>23</v>
      </c>
      <c r="M954" s="8">
        <f>IF(OR(LOOKUP(A954,characters!A:A,characters!B:B)=-1, LOOKUP(A954,characters!A:A,characters!B:B)+0.1&gt;=B954),1,0)</f>
        <v/>
      </c>
    </row>
    <row r="955" spans="1:13">
      <c r="A955" s="4" t="s">
        <v>31</v>
      </c>
      <c r="B955" s="7">
        <v>1</v>
      </c>
      <c r="C955" s="6">
        <f>IF(M955=1,0.9,0)</f>
        <v/>
      </c>
      <c r="D955" s="6">
        <f>IF(M955=1,0.7,0)</f>
        <v/>
      </c>
      <c r="E955" s="6">
        <f>IF(M955=1,0.8,0)</f>
        <v/>
      </c>
      <c r="F955" s="6">
        <f>IF(M955=1,0.7,0)</f>
        <v/>
      </c>
      <c r="G955" s="6">
        <f>IF(M955=1,0.7,0)</f>
        <v/>
      </c>
      <c r="H955" s="6">
        <f>IF(M955=1,1.0,0)</f>
        <v/>
      </c>
      <c r="I955" s="5" t="s">
        <v>23</v>
      </c>
      <c r="J955" s="5" t="s">
        <v>23</v>
      </c>
      <c r="K955" s="5" t="s">
        <v>23</v>
      </c>
      <c r="L955" s="5" t="s">
        <v>23</v>
      </c>
      <c r="M955" s="8">
        <f>IF(OR(LOOKUP(A955,characters!A:A,characters!B:B)=-1, LOOKUP(A955,characters!A:A,characters!B:B)+0.1&gt;=B955),1,0)</f>
        <v/>
      </c>
    </row>
    <row r="956" spans="1:13">
      <c r="A956" s="4" t="s">
        <v>110</v>
      </c>
      <c r="B956" s="7">
        <v>1</v>
      </c>
      <c r="C956" s="6">
        <f>IF(M956=1,1.0,0)</f>
        <v/>
      </c>
      <c r="D956" s="5" t="s">
        <v>23</v>
      </c>
      <c r="E956" s="6">
        <f>IF(M956=1,0.8,0)</f>
        <v/>
      </c>
      <c r="F956" s="5" t="s">
        <v>23</v>
      </c>
      <c r="G956" s="5" t="s">
        <v>23</v>
      </c>
      <c r="H956" s="5" t="s">
        <v>23</v>
      </c>
      <c r="I956" s="5" t="s">
        <v>23</v>
      </c>
      <c r="J956" s="6">
        <f>IF(M956=1,0.9,0)</f>
        <v/>
      </c>
      <c r="K956" s="6">
        <f>IF(M956=1,0.9,0)</f>
        <v/>
      </c>
      <c r="L956" s="5" t="s">
        <v>23</v>
      </c>
      <c r="M956" s="8">
        <f>IF(OR(LOOKUP(A956,characters!A:A,characters!B:B)=-1, LOOKUP(A956,characters!A:A,characters!B:B)+0.1&gt;=B956),1,0)</f>
        <v/>
      </c>
    </row>
    <row r="957" spans="1:13">
      <c r="A957" s="4" t="s">
        <v>95</v>
      </c>
      <c r="B957" s="7">
        <v>1</v>
      </c>
      <c r="C957" s="6">
        <f>IF(M957=1,1.0,0)</f>
        <v/>
      </c>
      <c r="D957" s="6">
        <f>IF(M957=1,0.9,0)</f>
        <v/>
      </c>
      <c r="E957" s="6">
        <f>IF(M957=1,0.8,0)</f>
        <v/>
      </c>
      <c r="F957" s="5" t="s">
        <v>23</v>
      </c>
      <c r="G957" s="5" t="s">
        <v>23</v>
      </c>
      <c r="H957" s="5" t="s">
        <v>23</v>
      </c>
      <c r="I957" s="5" t="s">
        <v>23</v>
      </c>
      <c r="J957" s="5" t="s">
        <v>23</v>
      </c>
      <c r="K957" s="5" t="s">
        <v>23</v>
      </c>
      <c r="L957" s="5" t="s">
        <v>23</v>
      </c>
      <c r="M957" s="8">
        <f>IF(OR(LOOKUP(A957,characters!A:A,characters!B:B)=-1, LOOKUP(A957,characters!A:A,characters!B:B)+0.1&gt;=B957),1,0)</f>
        <v/>
      </c>
    </row>
    <row r="959" spans="1:13">
      <c r="A959" s="3" t="s">
        <v>64</v>
      </c>
      <c r="B959" s="3" t="s">
        <v>9</v>
      </c>
      <c r="C959" s="3" t="s">
        <v>17</v>
      </c>
      <c r="D959" s="3" t="s">
        <v>13</v>
      </c>
      <c r="E959" s="3" t="s">
        <v>12</v>
      </c>
      <c r="F959" s="3" t="s">
        <v>90</v>
      </c>
      <c r="G959" s="3" t="s">
        <v>68</v>
      </c>
    </row>
    <row r="960" spans="1:13">
      <c r="A960" s="4" t="s">
        <v>22</v>
      </c>
      <c r="B960" s="5" t="s">
        <v>23</v>
      </c>
      <c r="C960" s="6">
        <f>IF(SUM(H961:H968)=0,0,SUM(C961:C968)/SUM(H961:H968))</f>
        <v/>
      </c>
      <c r="D960" s="6">
        <f>IF(SUM(H961:H968)=0,0,SUM(D961:D968)/SUM(H961:H968))</f>
        <v/>
      </c>
      <c r="E960" s="6">
        <f>IF(SUM(H961:H968)=0,0,SUM(E961:E968)/SUM(H961:H968))</f>
        <v/>
      </c>
      <c r="F960" s="6">
        <f>IF(SUM(H961:H968)=0,0,SUM(F961:F968)/SUM(H961:H968))</f>
        <v/>
      </c>
      <c r="G960" s="6">
        <f>IF(SUM(H961:H968)=0,0,SUM(G961:G968)/SUM(H961:H968))</f>
        <v/>
      </c>
    </row>
    <row r="961" spans="1:8">
      <c r="A961" s="4" t="s">
        <v>94</v>
      </c>
      <c r="B961" s="7">
        <v>1</v>
      </c>
      <c r="C961" s="5" t="s">
        <v>23</v>
      </c>
      <c r="D961" s="5" t="s">
        <v>23</v>
      </c>
      <c r="E961" s="5" t="s">
        <v>23</v>
      </c>
      <c r="F961" s="5" t="s">
        <v>23</v>
      </c>
      <c r="G961" s="5" t="s">
        <v>23</v>
      </c>
      <c r="H961" s="8">
        <f>IF(OR(LOOKUP(A961,characters!A:A,characters!B:B)=-1, LOOKUP(A961,characters!A:A,characters!B:B)+0.1&gt;=B961),1,0)</f>
        <v/>
      </c>
    </row>
    <row r="962" spans="1:8">
      <c r="A962" s="4" t="s">
        <v>119</v>
      </c>
      <c r="B962" s="7">
        <v>0</v>
      </c>
      <c r="C962" s="6">
        <f>IF(H962=1,1.0,0)</f>
        <v/>
      </c>
      <c r="D962" s="5" t="s">
        <v>23</v>
      </c>
      <c r="E962" s="5" t="s">
        <v>23</v>
      </c>
      <c r="F962" s="5" t="s">
        <v>23</v>
      </c>
      <c r="G962" s="5" t="s">
        <v>23</v>
      </c>
      <c r="H962" s="8">
        <f>IF(OR(LOOKUP(A962,characters!A:A,characters!B:B)=-1, LOOKUP(A962,characters!A:A,characters!B:B)+0.1&gt;=B962),1,0)</f>
        <v/>
      </c>
    </row>
    <row r="963" spans="1:8">
      <c r="A963" s="4" t="s">
        <v>29</v>
      </c>
      <c r="B963" s="7">
        <v>0</v>
      </c>
      <c r="C963" s="5" t="s">
        <v>23</v>
      </c>
      <c r="D963" s="6">
        <f>IF(H963=1,1.0,0)</f>
        <v/>
      </c>
      <c r="E963" s="6">
        <f>IF(H963=1,0.99,0)</f>
        <v/>
      </c>
      <c r="F963" s="5" t="s">
        <v>23</v>
      </c>
      <c r="G963" s="5" t="s">
        <v>23</v>
      </c>
      <c r="H963" s="8">
        <f>IF(OR(LOOKUP(A963,characters!A:A,characters!B:B)=-1, LOOKUP(A963,characters!A:A,characters!B:B)+0.1&gt;=B963),1,0)</f>
        <v/>
      </c>
    </row>
    <row r="964" spans="1:8">
      <c r="A964" s="4" t="s">
        <v>31</v>
      </c>
      <c r="B964" s="7">
        <v>1</v>
      </c>
      <c r="C964" s="6">
        <f>IF(H964=1,0.9,0)</f>
        <v/>
      </c>
      <c r="D964" s="5" t="s">
        <v>23</v>
      </c>
      <c r="E964" s="5" t="s">
        <v>23</v>
      </c>
      <c r="F964" s="6">
        <f>IF(H964=1,1.0,0)</f>
        <v/>
      </c>
      <c r="G964" s="5" t="s">
        <v>23</v>
      </c>
      <c r="H964" s="8">
        <f>IF(OR(LOOKUP(A964,characters!A:A,characters!B:B)=-1, LOOKUP(A964,characters!A:A,characters!B:B)+0.1&gt;=B964),1,0)</f>
        <v/>
      </c>
    </row>
    <row r="965" spans="1:8">
      <c r="A965" s="4" t="s">
        <v>35</v>
      </c>
      <c r="B965" s="7">
        <v>0</v>
      </c>
      <c r="C965" s="6">
        <f>IF(H965=1,1.0,0)</f>
        <v/>
      </c>
      <c r="D965" s="5" t="s">
        <v>23</v>
      </c>
      <c r="E965" s="5" t="s">
        <v>23</v>
      </c>
      <c r="F965" s="5" t="s">
        <v>23</v>
      </c>
      <c r="G965" s="5" t="s">
        <v>23</v>
      </c>
      <c r="H965" s="8">
        <f>IF(OR(LOOKUP(A965,characters!A:A,characters!B:B)=-1, LOOKUP(A965,characters!A:A,characters!B:B)+0.1&gt;=B965),1,0)</f>
        <v/>
      </c>
    </row>
    <row r="966" spans="1:8">
      <c r="A966" s="4" t="s">
        <v>110</v>
      </c>
      <c r="B966" s="7">
        <v>1</v>
      </c>
      <c r="C966" s="6">
        <f>IF(H966=1,0.99,0)</f>
        <v/>
      </c>
      <c r="D966" s="5" t="s">
        <v>23</v>
      </c>
      <c r="E966" s="5" t="s">
        <v>23</v>
      </c>
      <c r="F966" s="5" t="s">
        <v>23</v>
      </c>
      <c r="G966" s="6">
        <f>IF(H966=1,1.0,0)</f>
        <v/>
      </c>
      <c r="H966" s="8">
        <f>IF(OR(LOOKUP(A966,characters!A:A,characters!B:B)=-1, LOOKUP(A966,characters!A:A,characters!B:B)+0.1&gt;=B966),1,0)</f>
        <v/>
      </c>
    </row>
    <row r="967" spans="1:8">
      <c r="A967" s="4" t="s">
        <v>95</v>
      </c>
      <c r="B967" s="7">
        <v>1</v>
      </c>
      <c r="C967" s="6">
        <f>IF(H967=1,1.0,0)</f>
        <v/>
      </c>
      <c r="D967" s="5" t="s">
        <v>23</v>
      </c>
      <c r="E967" s="5" t="s">
        <v>23</v>
      </c>
      <c r="F967" s="5" t="s">
        <v>23</v>
      </c>
      <c r="G967" s="5" t="s">
        <v>23</v>
      </c>
      <c r="H967" s="8">
        <f>IF(OR(LOOKUP(A967,characters!A:A,characters!B:B)=-1, LOOKUP(A967,characters!A:A,characters!B:B)+0.1&gt;=B967),1,0)</f>
        <v/>
      </c>
    </row>
    <row r="968" spans="1:8">
      <c r="A968" s="4" t="s">
        <v>46</v>
      </c>
      <c r="B968" s="7">
        <v>0</v>
      </c>
      <c r="C968" s="5" t="s">
        <v>23</v>
      </c>
      <c r="D968" s="6">
        <f>IF(H968=1,1.0,0)</f>
        <v/>
      </c>
      <c r="E968" s="6">
        <f>IF(H968=1,0.9,0)</f>
        <v/>
      </c>
      <c r="F968" s="5" t="s">
        <v>23</v>
      </c>
      <c r="G968" s="5" t="s">
        <v>23</v>
      </c>
      <c r="H968" s="8">
        <f>IF(OR(LOOKUP(A968,characters!A:A,characters!B:B)=-1, LOOKUP(A968,characters!A:A,characters!B:B)+0.1&gt;=B968),1,0)</f>
        <v/>
      </c>
    </row>
    <row r="970" spans="1:8">
      <c r="A970" s="3" t="s">
        <v>65</v>
      </c>
      <c r="B970" s="3" t="s">
        <v>9</v>
      </c>
      <c r="C970" s="3" t="s">
        <v>18</v>
      </c>
      <c r="D970" s="3" t="s">
        <v>66</v>
      </c>
      <c r="E970" s="3" t="s">
        <v>17</v>
      </c>
    </row>
    <row r="971" spans="1:8">
      <c r="A971" s="4" t="s">
        <v>22</v>
      </c>
      <c r="B971" s="5" t="s">
        <v>23</v>
      </c>
      <c r="C971" s="6">
        <f>IF(SUM(F972:F979)=0,0,SUM(C972:C979)/SUM(F972:F979))</f>
        <v/>
      </c>
      <c r="D971" s="6">
        <f>IF(SUM(F972:F979)=0,0,SUM(D972:D979)/SUM(F972:F979))</f>
        <v/>
      </c>
      <c r="E971" s="6">
        <f>IF(SUM(F972:F979)=0,0,SUM(E972:E979)/SUM(F972:F979))</f>
        <v/>
      </c>
    </row>
    <row r="972" spans="1:8">
      <c r="A972" s="4" t="s">
        <v>94</v>
      </c>
      <c r="B972" s="7">
        <v>1</v>
      </c>
      <c r="C972" s="6">
        <f>IF(F972=1,1.0,0)</f>
        <v/>
      </c>
      <c r="D972" s="5" t="s">
        <v>23</v>
      </c>
      <c r="E972" s="5" t="s">
        <v>23</v>
      </c>
      <c r="F972" s="8">
        <f>IF(OR(LOOKUP(A972,characters!A:A,characters!B:B)=-1, LOOKUP(A972,characters!A:A,characters!B:B)+0.1&gt;=B972),1,0)</f>
        <v/>
      </c>
    </row>
    <row r="973" spans="1:8">
      <c r="A973" s="4" t="s">
        <v>119</v>
      </c>
      <c r="B973" s="7">
        <v>0</v>
      </c>
      <c r="C973" s="6">
        <f>IF(F973=1,1.0,0)</f>
        <v/>
      </c>
      <c r="D973" s="5" t="s">
        <v>23</v>
      </c>
      <c r="E973" s="5" t="s">
        <v>23</v>
      </c>
      <c r="F973" s="8">
        <f>IF(OR(LOOKUP(A973,characters!A:A,characters!B:B)=-1, LOOKUP(A973,characters!A:A,characters!B:B)+0.1&gt;=B973),1,0)</f>
        <v/>
      </c>
    </row>
    <row r="974" spans="1:8">
      <c r="A974" s="4" t="s">
        <v>29</v>
      </c>
      <c r="B974" s="7">
        <v>0</v>
      </c>
      <c r="C974" s="5" t="s">
        <v>23</v>
      </c>
      <c r="D974" s="6">
        <f>IF(F974=1,1.0,0)</f>
        <v/>
      </c>
      <c r="E974" s="5" t="s">
        <v>23</v>
      </c>
      <c r="F974" s="8">
        <f>IF(OR(LOOKUP(A974,characters!A:A,characters!B:B)=-1, LOOKUP(A974,characters!A:A,characters!B:B)+0.1&gt;=B974),1,0)</f>
        <v/>
      </c>
    </row>
    <row r="975" spans="1:8">
      <c r="A975" s="4" t="s">
        <v>31</v>
      </c>
      <c r="B975" s="7">
        <v>1</v>
      </c>
      <c r="C975" s="5" t="s">
        <v>23</v>
      </c>
      <c r="D975" s="5" t="s">
        <v>23</v>
      </c>
      <c r="E975" s="6">
        <f>IF(F975=1,1.0,0)</f>
        <v/>
      </c>
      <c r="F975" s="8">
        <f>IF(OR(LOOKUP(A975,characters!A:A,characters!B:B)=-1, LOOKUP(A975,characters!A:A,characters!B:B)+0.1&gt;=B975),1,0)</f>
        <v/>
      </c>
    </row>
    <row r="976" spans="1:8">
      <c r="A976" s="4" t="s">
        <v>35</v>
      </c>
      <c r="B976" s="7">
        <v>0</v>
      </c>
      <c r="C976" s="6">
        <f>IF(F976=1,1.0,0)</f>
        <v/>
      </c>
      <c r="D976" s="6">
        <f>IF(F976=1,1.0,0)</f>
        <v/>
      </c>
      <c r="E976" s="5" t="s">
        <v>23</v>
      </c>
      <c r="F976" s="8">
        <f>IF(OR(LOOKUP(A976,characters!A:A,characters!B:B)=-1, LOOKUP(A976,characters!A:A,characters!B:B)+0.1&gt;=B976),1,0)</f>
        <v/>
      </c>
    </row>
    <row r="977" spans="1:12">
      <c r="A977" s="4" t="s">
        <v>110</v>
      </c>
      <c r="B977" s="7">
        <v>1</v>
      </c>
      <c r="C977" s="5" t="s">
        <v>23</v>
      </c>
      <c r="D977" s="5" t="s">
        <v>23</v>
      </c>
      <c r="E977" s="6">
        <f>IF(F977=1,1.0,0)</f>
        <v/>
      </c>
      <c r="F977" s="8">
        <f>IF(OR(LOOKUP(A977,characters!A:A,characters!B:B)=-1, LOOKUP(A977,characters!A:A,characters!B:B)+0.1&gt;=B977),1,0)</f>
        <v/>
      </c>
    </row>
    <row r="978" spans="1:12">
      <c r="A978" s="4" t="s">
        <v>95</v>
      </c>
      <c r="B978" s="7">
        <v>1</v>
      </c>
      <c r="C978" s="6">
        <f>IF(F978=1,1.0,0)</f>
        <v/>
      </c>
      <c r="D978" s="6">
        <f>IF(F978=1,0.99,0)</f>
        <v/>
      </c>
      <c r="E978" s="5" t="s">
        <v>23</v>
      </c>
      <c r="F978" s="8">
        <f>IF(OR(LOOKUP(A978,characters!A:A,characters!B:B)=-1, LOOKUP(A978,characters!A:A,characters!B:B)+0.1&gt;=B978),1,0)</f>
        <v/>
      </c>
    </row>
    <row r="979" spans="1:12">
      <c r="A979" s="4" t="s">
        <v>46</v>
      </c>
      <c r="B979" s="7">
        <v>0</v>
      </c>
      <c r="C979" s="6">
        <f>IF(F979=1,1.0,0)</f>
        <v/>
      </c>
      <c r="D979" s="6">
        <f>IF(F979=1,0.9,0)</f>
        <v/>
      </c>
      <c r="E979" s="5" t="s">
        <v>23</v>
      </c>
      <c r="F979" s="8">
        <f>IF(OR(LOOKUP(A979,characters!A:A,characters!B:B)=-1, LOOKUP(A979,characters!A:A,characters!B:B)+0.1&gt;=B979),1,0)</f>
        <v/>
      </c>
    </row>
    <row r="986" spans="1:12">
      <c r="A986" s="3" t="s">
        <v>120</v>
      </c>
    </row>
    <row r="987" spans="1:12">
      <c r="A987" s="3" t="s">
        <v>8</v>
      </c>
      <c r="B987" s="3" t="s">
        <v>9</v>
      </c>
      <c r="C987" s="3" t="s">
        <v>10</v>
      </c>
      <c r="D987" s="3" t="s">
        <v>21</v>
      </c>
      <c r="E987" s="3" t="s">
        <v>19</v>
      </c>
      <c r="F987" s="3" t="s">
        <v>17</v>
      </c>
      <c r="G987" s="3" t="s">
        <v>18</v>
      </c>
      <c r="H987" s="3" t="s">
        <v>16</v>
      </c>
      <c r="I987" s="3" t="s">
        <v>14</v>
      </c>
      <c r="J987" s="3" t="s">
        <v>15</v>
      </c>
      <c r="K987" s="3" t="s">
        <v>11</v>
      </c>
    </row>
    <row r="988" spans="1:12">
      <c r="A988" s="4" t="s">
        <v>22</v>
      </c>
      <c r="B988" s="5" t="s">
        <v>23</v>
      </c>
      <c r="C988" s="6">
        <f>IF(SUM(L989:L994)=0,0,SUM(C989:C994)/SUM(L989:L994))</f>
        <v/>
      </c>
      <c r="D988" s="6">
        <f>IF(SUM(L989:L994)=0,0,SUM(D989:D994)/SUM(L989:L994))</f>
        <v/>
      </c>
      <c r="E988" s="6">
        <f>IF(SUM(L989:L994)=0,0,SUM(E989:E994)/SUM(L989:L994))</f>
        <v/>
      </c>
      <c r="F988" s="6">
        <f>IF(SUM(L989:L994)=0,0,SUM(F989:F994)/SUM(L989:L994))</f>
        <v/>
      </c>
      <c r="G988" s="6">
        <f>IF(SUM(L989:L994)=0,0,SUM(G989:G994)/SUM(L989:L994))</f>
        <v/>
      </c>
      <c r="H988" s="6">
        <f>IF(SUM(L989:L994)=0,0,SUM(H989:H994)/SUM(L989:L994))</f>
        <v/>
      </c>
      <c r="I988" s="6">
        <f>IF(SUM(L989:L994)=0,0,SUM(I989:I994)/SUM(L989:L994))</f>
        <v/>
      </c>
      <c r="J988" s="6">
        <f>IF(SUM(L989:L994)=0,0,SUM(J989:J994)/SUM(L989:L994))</f>
        <v/>
      </c>
      <c r="K988" s="6">
        <f>IF(SUM(L989:L994)=0,0,SUM(K989:K994)/SUM(L989:L994))</f>
        <v/>
      </c>
    </row>
    <row r="989" spans="1:12">
      <c r="A989" s="4" t="s">
        <v>86</v>
      </c>
      <c r="B989" s="7">
        <v>0</v>
      </c>
      <c r="C989" s="6">
        <f>IF(L989=1,0.79,0)</f>
        <v/>
      </c>
      <c r="D989" s="6">
        <f>IF(L989=1,1.0,0)</f>
        <v/>
      </c>
      <c r="E989" s="6">
        <f>IF(L989=1,0.99,0)</f>
        <v/>
      </c>
      <c r="F989" s="6">
        <f>IF(L989=1,0.89,0)</f>
        <v/>
      </c>
      <c r="G989" s="5" t="s">
        <v>23</v>
      </c>
      <c r="H989" s="5" t="s">
        <v>23</v>
      </c>
      <c r="I989" s="5" t="s">
        <v>23</v>
      </c>
      <c r="J989" s="5" t="s">
        <v>23</v>
      </c>
      <c r="K989" s="5" t="s">
        <v>23</v>
      </c>
      <c r="L989" s="8">
        <f>IF(OR(LOOKUP(A989,characters!A:A,characters!B:B)=-1, LOOKUP(A989,characters!A:A,characters!B:B)+0.1&gt;=B989),1,0)</f>
        <v/>
      </c>
    </row>
    <row r="990" spans="1:12">
      <c r="A990" s="4" t="s">
        <v>108</v>
      </c>
      <c r="B990" s="7">
        <v>0</v>
      </c>
      <c r="C990" s="6">
        <f>IF(L990=1,1.0,0)</f>
        <v/>
      </c>
      <c r="D990" s="6">
        <f>IF(L990=1,0.9,0)</f>
        <v/>
      </c>
      <c r="E990" s="6">
        <f>IF(L990=1,0.9,0)</f>
        <v/>
      </c>
      <c r="F990" s="6">
        <f>IF(L990=1,0.8,0)</f>
        <v/>
      </c>
      <c r="G990" s="5" t="s">
        <v>23</v>
      </c>
      <c r="H990" s="5" t="s">
        <v>23</v>
      </c>
      <c r="I990" s="5" t="s">
        <v>23</v>
      </c>
      <c r="J990" s="5" t="s">
        <v>23</v>
      </c>
      <c r="K990" s="5" t="s">
        <v>23</v>
      </c>
      <c r="L990" s="8">
        <f>IF(OR(LOOKUP(A990,characters!A:A,characters!B:B)=-1, LOOKUP(A990,characters!A:A,characters!B:B)+0.1&gt;=B990),1,0)</f>
        <v/>
      </c>
    </row>
    <row r="991" spans="1:12">
      <c r="A991" s="4" t="s">
        <v>109</v>
      </c>
      <c r="B991" s="7">
        <v>0</v>
      </c>
      <c r="C991" s="5" t="s">
        <v>23</v>
      </c>
      <c r="D991" s="6">
        <f>IF(L991=1,1.0,0)</f>
        <v/>
      </c>
      <c r="E991" s="6">
        <f>IF(L991=1,1.0,0)</f>
        <v/>
      </c>
      <c r="F991" s="6">
        <f>IF(L991=1,0.9,0)</f>
        <v/>
      </c>
      <c r="G991" s="5" t="s">
        <v>23</v>
      </c>
      <c r="H991" s="5" t="s">
        <v>23</v>
      </c>
      <c r="I991" s="5" t="s">
        <v>23</v>
      </c>
      <c r="J991" s="5" t="s">
        <v>23</v>
      </c>
      <c r="K991" s="5" t="s">
        <v>23</v>
      </c>
      <c r="L991" s="8">
        <f>IF(OR(LOOKUP(A991,characters!A:A,characters!B:B)=-1, LOOKUP(A991,characters!A:A,characters!B:B)+0.1&gt;=B991),1,0)</f>
        <v/>
      </c>
    </row>
    <row r="992" spans="1:12">
      <c r="A992" s="4" t="s">
        <v>43</v>
      </c>
      <c r="B992" s="7">
        <v>0</v>
      </c>
      <c r="C992" s="6">
        <f>IF(L992=1,1.0,0)</f>
        <v/>
      </c>
      <c r="D992" s="5" t="s">
        <v>23</v>
      </c>
      <c r="E992" s="5" t="s">
        <v>23</v>
      </c>
      <c r="F992" s="5" t="s">
        <v>23</v>
      </c>
      <c r="G992" s="6">
        <f>IF(L992=1,0.9,0)</f>
        <v/>
      </c>
      <c r="H992" s="6">
        <f>IF(L992=1,1.0,0)</f>
        <v/>
      </c>
      <c r="I992" s="6">
        <f>IF(L992=1,0.9,0)</f>
        <v/>
      </c>
      <c r="J992" s="6">
        <f>IF(L992=1,0.9,0)</f>
        <v/>
      </c>
      <c r="K992" s="6">
        <f>IF(L992=1,0.8,0)</f>
        <v/>
      </c>
      <c r="L992" s="8">
        <f>IF(OR(LOOKUP(A992,characters!A:A,characters!B:B)=-1, LOOKUP(A992,characters!A:A,characters!B:B)+0.1&gt;=B992),1,0)</f>
        <v/>
      </c>
    </row>
    <row r="993" spans="1:12">
      <c r="A993" s="4" t="s">
        <v>113</v>
      </c>
      <c r="B993" s="7">
        <v>0</v>
      </c>
      <c r="C993" s="6">
        <f>IF(L993=1,1.0,0)</f>
        <v/>
      </c>
      <c r="D993" s="6">
        <f>IF(L993=1,0.89,0)</f>
        <v/>
      </c>
      <c r="E993" s="6">
        <f>IF(L993=1,0.89,0)</f>
        <v/>
      </c>
      <c r="F993" s="6">
        <f>IF(L993=1,0.79,0)</f>
        <v/>
      </c>
      <c r="G993" s="6">
        <f>IF(L993=1,0.9,0)</f>
        <v/>
      </c>
      <c r="H993" s="5" t="s">
        <v>23</v>
      </c>
      <c r="I993" s="5" t="s">
        <v>23</v>
      </c>
      <c r="J993" s="5" t="s">
        <v>23</v>
      </c>
      <c r="K993" s="5" t="s">
        <v>23</v>
      </c>
      <c r="L993" s="8">
        <f>IF(OR(LOOKUP(A993,characters!A:A,characters!B:B)=-1, LOOKUP(A993,characters!A:A,characters!B:B)+0.1&gt;=B993),1,0)</f>
        <v/>
      </c>
    </row>
    <row r="994" spans="1:12">
      <c r="A994" s="4" t="s">
        <v>106</v>
      </c>
      <c r="B994" s="7">
        <v>1</v>
      </c>
      <c r="C994" s="6">
        <f>IF(L994=1,1.0,0)</f>
        <v/>
      </c>
      <c r="D994" s="6">
        <f>IF(L994=1,0.9,0)</f>
        <v/>
      </c>
      <c r="E994" s="6">
        <f>IF(L994=1,0.9,0)</f>
        <v/>
      </c>
      <c r="F994" s="6">
        <f>IF(L994=1,0.8,0)</f>
        <v/>
      </c>
      <c r="G994" s="5" t="s">
        <v>23</v>
      </c>
      <c r="H994" s="5" t="s">
        <v>23</v>
      </c>
      <c r="I994" s="5" t="s">
        <v>23</v>
      </c>
      <c r="J994" s="5" t="s">
        <v>23</v>
      </c>
      <c r="K994" s="5" t="s">
        <v>23</v>
      </c>
      <c r="L994" s="8">
        <f>IF(OR(LOOKUP(A994,characters!A:A,characters!B:B)=-1, LOOKUP(A994,characters!A:A,characters!B:B)+0.1&gt;=B994),1,0)</f>
        <v/>
      </c>
    </row>
    <row r="996" spans="1:12">
      <c r="A996" s="3" t="s">
        <v>49</v>
      </c>
      <c r="B996" s="3" t="s">
        <v>9</v>
      </c>
      <c r="C996" s="3" t="s">
        <v>21</v>
      </c>
      <c r="D996" s="3" t="s">
        <v>19</v>
      </c>
      <c r="E996" s="3" t="s">
        <v>16</v>
      </c>
    </row>
    <row r="997" spans="1:12">
      <c r="A997" s="4" t="s">
        <v>22</v>
      </c>
      <c r="B997" s="5" t="s">
        <v>23</v>
      </c>
      <c r="C997" s="6">
        <f>IF(SUM(F998:F1003)=0,0,SUM(C998:C1003)/SUM(F998:F1003))</f>
        <v/>
      </c>
      <c r="D997" s="6">
        <f>IF(SUM(F998:F1003)=0,0,SUM(D998:D1003)/SUM(F998:F1003))</f>
        <v/>
      </c>
      <c r="E997" s="6">
        <f>IF(SUM(F998:F1003)=0,0,SUM(E998:E1003)/SUM(F998:F1003))</f>
        <v/>
      </c>
    </row>
    <row r="998" spans="1:12">
      <c r="A998" s="4" t="s">
        <v>86</v>
      </c>
      <c r="B998" s="7">
        <v>0</v>
      </c>
      <c r="C998" s="6">
        <f>IF(F998=1,1.0,0)</f>
        <v/>
      </c>
      <c r="D998" s="6">
        <f>IF(F998=1,0.99,0)</f>
        <v/>
      </c>
      <c r="E998" s="5" t="s">
        <v>23</v>
      </c>
      <c r="F998" s="8">
        <f>IF(OR(LOOKUP(A998,characters!A:A,characters!B:B)=-1, LOOKUP(A998,characters!A:A,characters!B:B)+0.1&gt;=B998),1,0)</f>
        <v/>
      </c>
    </row>
    <row r="999" spans="1:12">
      <c r="A999" s="4" t="s">
        <v>106</v>
      </c>
      <c r="B999" s="7">
        <v>1</v>
      </c>
      <c r="C999" s="5" t="s">
        <v>23</v>
      </c>
      <c r="D999" s="6">
        <f>IF(F999=1,1.0,0)</f>
        <v/>
      </c>
      <c r="E999" s="5" t="s">
        <v>23</v>
      </c>
      <c r="F999" s="8">
        <f>IF(OR(LOOKUP(A999,characters!A:A,characters!B:B)=-1, LOOKUP(A999,characters!A:A,characters!B:B)+0.1&gt;=B999),1,0)</f>
        <v/>
      </c>
    </row>
    <row r="1000" spans="1:12">
      <c r="A1000" s="4" t="s">
        <v>108</v>
      </c>
      <c r="B1000" s="7">
        <v>0</v>
      </c>
      <c r="C1000" s="6">
        <f>IF(F1000=1,1.0,0)</f>
        <v/>
      </c>
      <c r="D1000" s="6">
        <f>IF(F1000=1,0.99,0)</f>
        <v/>
      </c>
      <c r="E1000" s="5" t="s">
        <v>23</v>
      </c>
      <c r="F1000" s="8">
        <f>IF(OR(LOOKUP(A1000,characters!A:A,characters!B:B)=-1, LOOKUP(A1000,characters!A:A,characters!B:B)+0.1&gt;=B1000),1,0)</f>
        <v/>
      </c>
    </row>
    <row r="1001" spans="1:12">
      <c r="A1001" s="4" t="s">
        <v>109</v>
      </c>
      <c r="B1001" s="7">
        <v>0</v>
      </c>
      <c r="C1001" s="6">
        <f>IF(F1001=1,1.0,0)</f>
        <v/>
      </c>
      <c r="D1001" s="6">
        <f>IF(F1001=1,0.99,0)</f>
        <v/>
      </c>
      <c r="E1001" s="5" t="s">
        <v>23</v>
      </c>
      <c r="F1001" s="8">
        <f>IF(OR(LOOKUP(A1001,characters!A:A,characters!B:B)=-1, LOOKUP(A1001,characters!A:A,characters!B:B)+0.1&gt;=B1001),1,0)</f>
        <v/>
      </c>
    </row>
    <row r="1002" spans="1:12">
      <c r="A1002" s="4" t="s">
        <v>43</v>
      </c>
      <c r="B1002" s="7">
        <v>0</v>
      </c>
      <c r="C1002" s="5" t="s">
        <v>23</v>
      </c>
      <c r="D1002" s="5" t="s">
        <v>23</v>
      </c>
      <c r="E1002" s="6">
        <f>IF(F1002=1,1.0,0)</f>
        <v/>
      </c>
      <c r="F1002" s="8">
        <f>IF(OR(LOOKUP(A1002,characters!A:A,characters!B:B)=-1, LOOKUP(A1002,characters!A:A,characters!B:B)+0.1&gt;=B1002),1,0)</f>
        <v/>
      </c>
    </row>
    <row r="1003" spans="1:12">
      <c r="A1003" s="4" t="s">
        <v>113</v>
      </c>
      <c r="B1003" s="7">
        <v>0</v>
      </c>
      <c r="C1003" s="6">
        <f>IF(F1003=1,1.0,0)</f>
        <v/>
      </c>
      <c r="D1003" s="6">
        <f>IF(F1003=1,0.99,0)</f>
        <v/>
      </c>
      <c r="E1003" s="5" t="s">
        <v>23</v>
      </c>
      <c r="F1003" s="8">
        <f>IF(OR(LOOKUP(A1003,characters!A:A,characters!B:B)=-1, LOOKUP(A1003,characters!A:A,characters!B:B)+0.1&gt;=B1003),1,0)</f>
        <v/>
      </c>
    </row>
    <row r="1005" spans="1:12">
      <c r="A1005" s="3" t="s">
        <v>52</v>
      </c>
      <c r="B1005" s="3" t="s">
        <v>9</v>
      </c>
      <c r="C1005" s="3" t="s">
        <v>17</v>
      </c>
      <c r="D1005" s="3" t="s">
        <v>10</v>
      </c>
    </row>
    <row r="1006" spans="1:12">
      <c r="A1006" s="4" t="s">
        <v>22</v>
      </c>
      <c r="B1006" s="5" t="s">
        <v>23</v>
      </c>
      <c r="C1006" s="6">
        <f>IF(SUM(E1007:E1012)=0,0,SUM(C1007:C1012)/SUM(E1007:E1012))</f>
        <v/>
      </c>
      <c r="D1006" s="6">
        <f>IF(SUM(E1007:E1012)=0,0,SUM(D1007:D1012)/SUM(E1007:E1012))</f>
        <v/>
      </c>
    </row>
    <row r="1007" spans="1:12">
      <c r="A1007" s="4" t="s">
        <v>86</v>
      </c>
      <c r="B1007" s="7">
        <v>0</v>
      </c>
      <c r="C1007" s="6">
        <f>IF(E1007=1,1.0,0)</f>
        <v/>
      </c>
      <c r="D1007" s="5" t="s">
        <v>23</v>
      </c>
      <c r="E1007" s="8">
        <f>IF(OR(LOOKUP(A1007,characters!A:A,characters!B:B)=-1, LOOKUP(A1007,characters!A:A,characters!B:B)+0.1&gt;=B1007),1,0)</f>
        <v/>
      </c>
    </row>
    <row r="1008" spans="1:12">
      <c r="A1008" s="4" t="s">
        <v>106</v>
      </c>
      <c r="B1008" s="7">
        <v>1</v>
      </c>
      <c r="C1008" s="6">
        <f>IF(E1008=1,0.99,0)</f>
        <v/>
      </c>
      <c r="D1008" s="6">
        <f>IF(E1008=1,1.0,0)</f>
        <v/>
      </c>
      <c r="E1008" s="8">
        <f>IF(OR(LOOKUP(A1008,characters!A:A,characters!B:B)=-1, LOOKUP(A1008,characters!A:A,characters!B:B)+0.1&gt;=B1008),1,0)</f>
        <v/>
      </c>
    </row>
    <row r="1009" spans="1:7">
      <c r="A1009" s="4" t="s">
        <v>108</v>
      </c>
      <c r="B1009" s="7">
        <v>0</v>
      </c>
      <c r="C1009" s="6">
        <f>IF(E1009=1,1.0,0)</f>
        <v/>
      </c>
      <c r="D1009" s="6">
        <f>IF(E1009=1,0.9,0)</f>
        <v/>
      </c>
      <c r="E1009" s="8">
        <f>IF(OR(LOOKUP(A1009,characters!A:A,characters!B:B)=-1, LOOKUP(A1009,characters!A:A,characters!B:B)+0.1&gt;=B1009),1,0)</f>
        <v/>
      </c>
    </row>
    <row r="1010" spans="1:7">
      <c r="A1010" s="4" t="s">
        <v>109</v>
      </c>
      <c r="B1010" s="7">
        <v>0</v>
      </c>
      <c r="C1010" s="6">
        <f>IF(E1010=1,1.0,0)</f>
        <v/>
      </c>
      <c r="D1010" s="5" t="s">
        <v>23</v>
      </c>
      <c r="E1010" s="8">
        <f>IF(OR(LOOKUP(A1010,characters!A:A,characters!B:B)=-1, LOOKUP(A1010,characters!A:A,characters!B:B)+0.1&gt;=B1010),1,0)</f>
        <v/>
      </c>
    </row>
    <row r="1011" spans="1:7">
      <c r="A1011" s="4" t="s">
        <v>43</v>
      </c>
      <c r="B1011" s="7">
        <v>0</v>
      </c>
      <c r="C1011" s="5" t="s">
        <v>23</v>
      </c>
      <c r="D1011" s="6">
        <f>IF(E1011=1,1.0,0)</f>
        <v/>
      </c>
      <c r="E1011" s="8">
        <f>IF(OR(LOOKUP(A1011,characters!A:A,characters!B:B)=-1, LOOKUP(A1011,characters!A:A,characters!B:B)+0.1&gt;=B1011),1,0)</f>
        <v/>
      </c>
    </row>
    <row r="1012" spans="1:7">
      <c r="A1012" s="4" t="s">
        <v>113</v>
      </c>
      <c r="B1012" s="7">
        <v>0</v>
      </c>
      <c r="C1012" s="6">
        <f>IF(E1012=1,0.99,0)</f>
        <v/>
      </c>
      <c r="D1012" s="6">
        <f>IF(E1012=1,1.0,0)</f>
        <v/>
      </c>
      <c r="E1012" s="8">
        <f>IF(OR(LOOKUP(A1012,characters!A:A,characters!B:B)=-1, LOOKUP(A1012,characters!A:A,characters!B:B)+0.1&gt;=B1012),1,0)</f>
        <v/>
      </c>
    </row>
    <row r="1019" spans="1:7">
      <c r="A1019" s="3" t="s">
        <v>121</v>
      </c>
    </row>
    <row r="1020" spans="1:7">
      <c r="A1020" s="3" t="s">
        <v>8</v>
      </c>
      <c r="B1020" s="3" t="s">
        <v>9</v>
      </c>
      <c r="C1020" s="3" t="s">
        <v>10</v>
      </c>
      <c r="D1020" s="3" t="s">
        <v>13</v>
      </c>
      <c r="E1020" s="3" t="s">
        <v>11</v>
      </c>
      <c r="F1020" s="3" t="s">
        <v>12</v>
      </c>
    </row>
    <row r="1021" spans="1:7">
      <c r="A1021" s="4" t="s">
        <v>22</v>
      </c>
      <c r="B1021" s="5" t="s">
        <v>23</v>
      </c>
      <c r="C1021" s="6">
        <f>IF(SUM(G1022)=0,0,SUM(C1022)/SUM(G1022))</f>
        <v/>
      </c>
      <c r="D1021" s="6">
        <f>IF(SUM(G1022)=0,0,SUM(D1022)/SUM(G1022))</f>
        <v/>
      </c>
      <c r="E1021" s="6">
        <f>IF(SUM(G1022)=0,0,SUM(E1022)/SUM(G1022))</f>
        <v/>
      </c>
      <c r="F1021" s="6">
        <f>IF(SUM(G1022)=0,0,SUM(F1022)/SUM(G1022))</f>
        <v/>
      </c>
    </row>
    <row r="1022" spans="1:7">
      <c r="A1022" s="4" t="s">
        <v>33</v>
      </c>
      <c r="B1022" s="7">
        <v>4</v>
      </c>
      <c r="C1022" s="6">
        <f>IF(G1022=1,1.0,0)</f>
        <v/>
      </c>
      <c r="D1022" s="6">
        <f>IF(G1022=1,0.9,0)</f>
        <v/>
      </c>
      <c r="E1022" s="6">
        <f>IF(G1022=1,0.8,0)</f>
        <v/>
      </c>
      <c r="F1022" s="6">
        <f>IF(G1022=1,0.8,0)</f>
        <v/>
      </c>
      <c r="G1022" s="8">
        <f>IF(OR(LOOKUP(A1022,characters!A:A,characters!B:B)=-1, LOOKUP(A1022,characters!A:A,characters!B:B)+0.1&gt;=B1022),1,0)</f>
        <v/>
      </c>
    </row>
    <row r="1024" spans="1:7">
      <c r="A1024" s="3" t="s">
        <v>49</v>
      </c>
      <c r="B1024" s="3" t="s">
        <v>9</v>
      </c>
      <c r="C1024" s="3" t="s">
        <v>50</v>
      </c>
      <c r="D1024" s="3" t="s">
        <v>13</v>
      </c>
    </row>
    <row r="1025" spans="1:7">
      <c r="A1025" s="4" t="s">
        <v>22</v>
      </c>
      <c r="B1025" s="5" t="s">
        <v>23</v>
      </c>
      <c r="C1025" s="6">
        <f>IF(SUM(E1026)=0,0,SUM(C1026)/SUM(E1026))</f>
        <v/>
      </c>
      <c r="D1025" s="6">
        <f>IF(SUM(E1026)=0,0,SUM(D1026)/SUM(E1026))</f>
        <v/>
      </c>
    </row>
    <row r="1026" spans="1:7">
      <c r="A1026" s="4" t="s">
        <v>33</v>
      </c>
      <c r="B1026" s="7">
        <v>4</v>
      </c>
      <c r="C1026" s="6">
        <f>IF(E1026=1,1.0,0)</f>
        <v/>
      </c>
      <c r="D1026" s="6">
        <f>IF(E1026=1,0.9,0)</f>
        <v/>
      </c>
      <c r="E1026" s="8">
        <f>IF(OR(LOOKUP(A1026,characters!A:A,characters!B:B)=-1, LOOKUP(A1026,characters!A:A,characters!B:B)+0.1&gt;=B1026),1,0)</f>
        <v/>
      </c>
    </row>
    <row r="1028" spans="1:7">
      <c r="A1028" s="3" t="s">
        <v>52</v>
      </c>
      <c r="B1028" s="3" t="s">
        <v>9</v>
      </c>
      <c r="C1028" s="3" t="s">
        <v>10</v>
      </c>
    </row>
    <row r="1029" spans="1:7">
      <c r="A1029" s="4" t="s">
        <v>22</v>
      </c>
      <c r="B1029" s="5" t="s">
        <v>23</v>
      </c>
      <c r="C1029" s="6">
        <f>IF(SUM(D1030)=0,0,SUM(C1030)/SUM(D1030))</f>
        <v/>
      </c>
    </row>
    <row r="1030" spans="1:7">
      <c r="A1030" s="4" t="s">
        <v>33</v>
      </c>
      <c r="B1030" s="7">
        <v>4</v>
      </c>
      <c r="C1030" s="6">
        <f>IF(D1030=1,1.0,0)</f>
        <v/>
      </c>
      <c r="D1030" s="8">
        <f>IF(OR(LOOKUP(A1030,characters!A:A,characters!B:B)=-1, LOOKUP(A1030,characters!A:A,characters!B:B)+0.1&gt;=B1030),1,0)</f>
        <v/>
      </c>
    </row>
    <row r="1037" spans="1:7">
      <c r="A1037" s="3" t="s">
        <v>122</v>
      </c>
    </row>
    <row r="1038" spans="1:7">
      <c r="A1038" s="3" t="s">
        <v>8</v>
      </c>
      <c r="B1038" s="3" t="s">
        <v>9</v>
      </c>
      <c r="C1038" s="3" t="s">
        <v>10</v>
      </c>
      <c r="D1038" s="3" t="s">
        <v>19</v>
      </c>
      <c r="E1038" s="3" t="s">
        <v>21</v>
      </c>
      <c r="F1038" s="3" t="s">
        <v>17</v>
      </c>
    </row>
    <row r="1039" spans="1:7">
      <c r="A1039" s="4" t="s">
        <v>22</v>
      </c>
      <c r="B1039" s="5" t="s">
        <v>23</v>
      </c>
      <c r="C1039" s="6">
        <f>IF(SUM(G1040:G1043)=0,0,SUM(C1040:C1043)/SUM(G1040:G1043))</f>
        <v/>
      </c>
      <c r="D1039" s="6">
        <f>IF(SUM(G1040:G1043)=0,0,SUM(D1040:D1043)/SUM(G1040:G1043))</f>
        <v/>
      </c>
      <c r="E1039" s="6">
        <f>IF(SUM(G1040:G1043)=0,0,SUM(E1040:E1043)/SUM(G1040:G1043))</f>
        <v/>
      </c>
      <c r="F1039" s="6">
        <f>IF(SUM(G1040:G1043)=0,0,SUM(F1040:F1043)/SUM(G1040:G1043))</f>
        <v/>
      </c>
    </row>
    <row r="1040" spans="1:7">
      <c r="A1040" s="4" t="s">
        <v>112</v>
      </c>
      <c r="B1040" s="7">
        <v>1</v>
      </c>
      <c r="C1040" s="6">
        <f>IF(G1040=1,1.0,0)</f>
        <v/>
      </c>
      <c r="D1040" s="6">
        <f>IF(G1040=1,1.0,0)</f>
        <v/>
      </c>
      <c r="E1040" s="6">
        <f>IF(G1040=1,1.0,0)</f>
        <v/>
      </c>
      <c r="F1040" s="6">
        <f>IF(G1040=1,0.9,0)</f>
        <v/>
      </c>
      <c r="G1040" s="8">
        <f>IF(OR(LOOKUP(A1040,characters!A:A,characters!B:B)=-1, LOOKUP(A1040,characters!A:A,characters!B:B)+0.1&gt;=B1040),1,0)</f>
        <v/>
      </c>
    </row>
    <row r="1041" spans="1:7">
      <c r="A1041" s="4" t="s">
        <v>107</v>
      </c>
      <c r="B1041" s="7">
        <v>1</v>
      </c>
      <c r="C1041" s="6">
        <f>IF(G1041=1,1.0,0)</f>
        <v/>
      </c>
      <c r="D1041" s="6">
        <f>IF(G1041=1,0.9,0)</f>
        <v/>
      </c>
      <c r="E1041" s="6">
        <f>IF(G1041=1,0.9,0)</f>
        <v/>
      </c>
      <c r="F1041" s="6">
        <f>IF(G1041=1,0.8,0)</f>
        <v/>
      </c>
      <c r="G1041" s="8">
        <f>IF(OR(LOOKUP(A1041,characters!A:A,characters!B:B)=-1, LOOKUP(A1041,characters!A:A,characters!B:B)+0.1&gt;=B1041),1,0)</f>
        <v/>
      </c>
    </row>
    <row r="1042" spans="1:7">
      <c r="A1042" s="4" t="s">
        <v>103</v>
      </c>
      <c r="B1042" s="7">
        <v>1</v>
      </c>
      <c r="C1042" s="6">
        <f>IF(G1042=1,1.0,0)</f>
        <v/>
      </c>
      <c r="D1042" s="6">
        <f>IF(G1042=1,0.9,0)</f>
        <v/>
      </c>
      <c r="E1042" s="6">
        <f>IF(G1042=1,0.7,0)</f>
        <v/>
      </c>
      <c r="F1042" s="6">
        <f>IF(G1042=1,0.8,0)</f>
        <v/>
      </c>
      <c r="G1042" s="8">
        <f>IF(OR(LOOKUP(A1042,characters!A:A,characters!B:B)=-1, LOOKUP(A1042,characters!A:A,characters!B:B)+0.1&gt;=B1042),1,0)</f>
        <v/>
      </c>
    </row>
    <row r="1043" spans="1:7">
      <c r="A1043" s="4" t="s">
        <v>106</v>
      </c>
      <c r="B1043" s="7">
        <v>2</v>
      </c>
      <c r="C1043" s="6">
        <f>IF(G1043=1,1.0,0)</f>
        <v/>
      </c>
      <c r="D1043" s="6">
        <f>IF(G1043=1,0.9,0)</f>
        <v/>
      </c>
      <c r="E1043" s="6">
        <f>IF(G1043=1,0.9,0)</f>
        <v/>
      </c>
      <c r="F1043" s="6">
        <f>IF(G1043=1,0.8,0)</f>
        <v/>
      </c>
      <c r="G1043" s="8">
        <f>IF(OR(LOOKUP(A1043,characters!A:A,characters!B:B)=-1, LOOKUP(A1043,characters!A:A,characters!B:B)+0.1&gt;=B1043),1,0)</f>
        <v/>
      </c>
    </row>
    <row r="1045" spans="1:7">
      <c r="A1045" s="3" t="s">
        <v>49</v>
      </c>
      <c r="B1045" s="3" t="s">
        <v>9</v>
      </c>
      <c r="C1045" s="3" t="s">
        <v>21</v>
      </c>
      <c r="D1045" s="3" t="s">
        <v>19</v>
      </c>
    </row>
    <row r="1046" spans="1:7">
      <c r="A1046" s="4" t="s">
        <v>22</v>
      </c>
      <c r="B1046" s="5" t="s">
        <v>23</v>
      </c>
      <c r="C1046" s="6">
        <f>IF(SUM(E1047:E1050)=0,0,SUM(C1047:C1050)/SUM(E1047:E1050))</f>
        <v/>
      </c>
      <c r="D1046" s="6">
        <f>IF(SUM(E1047:E1050)=0,0,SUM(D1047:D1050)/SUM(E1047:E1050))</f>
        <v/>
      </c>
    </row>
    <row r="1047" spans="1:7">
      <c r="A1047" s="4" t="s">
        <v>112</v>
      </c>
      <c r="B1047" s="7">
        <v>1</v>
      </c>
      <c r="C1047" s="6">
        <f>IF(E1047=1,1.0,0)</f>
        <v/>
      </c>
      <c r="D1047" s="6">
        <f>IF(E1047=1,0.99,0)</f>
        <v/>
      </c>
      <c r="E1047" s="8">
        <f>IF(OR(LOOKUP(A1047,characters!A:A,characters!B:B)=-1, LOOKUP(A1047,characters!A:A,characters!B:B)+0.1&gt;=B1047),1,0)</f>
        <v/>
      </c>
    </row>
    <row r="1048" spans="1:7">
      <c r="A1048" s="4" t="s">
        <v>106</v>
      </c>
      <c r="B1048" s="7">
        <v>2</v>
      </c>
      <c r="C1048" s="5" t="s">
        <v>23</v>
      </c>
      <c r="D1048" s="6">
        <f>IF(E1048=1,1.0,0)</f>
        <v/>
      </c>
      <c r="E1048" s="8">
        <f>IF(OR(LOOKUP(A1048,characters!A:A,characters!B:B)=-1, LOOKUP(A1048,characters!A:A,characters!B:B)+0.1&gt;=B1048),1,0)</f>
        <v/>
      </c>
    </row>
    <row r="1049" spans="1:7">
      <c r="A1049" s="4" t="s">
        <v>107</v>
      </c>
      <c r="B1049" s="7">
        <v>1</v>
      </c>
      <c r="C1049" s="6">
        <f>IF(E1049=1,1.0,0)</f>
        <v/>
      </c>
      <c r="D1049" s="6">
        <f>IF(E1049=1,0.99,0)</f>
        <v/>
      </c>
      <c r="E1049" s="8">
        <f>IF(OR(LOOKUP(A1049,characters!A:A,characters!B:B)=-1, LOOKUP(A1049,characters!A:A,characters!B:B)+0.1&gt;=B1049),1,0)</f>
        <v/>
      </c>
    </row>
    <row r="1050" spans="1:7">
      <c r="A1050" s="4" t="s">
        <v>103</v>
      </c>
      <c r="B1050" s="7">
        <v>1</v>
      </c>
      <c r="C1050" s="5" t="s">
        <v>23</v>
      </c>
      <c r="D1050" s="6">
        <f>IF(E1050=1,1.0,0)</f>
        <v/>
      </c>
      <c r="E1050" s="8">
        <f>IF(OR(LOOKUP(A1050,characters!A:A,characters!B:B)=-1, LOOKUP(A1050,characters!A:A,characters!B:B)+0.1&gt;=B1050),1,0)</f>
        <v/>
      </c>
    </row>
    <row r="1052" spans="1:7">
      <c r="A1052" s="3" t="s">
        <v>52</v>
      </c>
      <c r="B1052" s="3" t="s">
        <v>9</v>
      </c>
      <c r="C1052" s="3" t="s">
        <v>17</v>
      </c>
      <c r="D1052" s="3" t="s">
        <v>10</v>
      </c>
    </row>
    <row r="1053" spans="1:7">
      <c r="A1053" s="4" t="s">
        <v>22</v>
      </c>
      <c r="B1053" s="5" t="s">
        <v>23</v>
      </c>
      <c r="C1053" s="6">
        <f>IF(SUM(E1054:E1057)=0,0,SUM(C1054:C1057)/SUM(E1054:E1057))</f>
        <v/>
      </c>
      <c r="D1053" s="6">
        <f>IF(SUM(E1054:E1057)=0,0,SUM(D1054:D1057)/SUM(E1054:E1057))</f>
        <v/>
      </c>
    </row>
    <row r="1054" spans="1:7">
      <c r="A1054" s="4" t="s">
        <v>112</v>
      </c>
      <c r="B1054" s="7">
        <v>1</v>
      </c>
      <c r="C1054" s="6">
        <f>IF(E1054=1,1.0,0)</f>
        <v/>
      </c>
      <c r="D1054" s="6">
        <f>IF(E1054=1,0.9,0)</f>
        <v/>
      </c>
      <c r="E1054" s="8">
        <f>IF(OR(LOOKUP(A1054,characters!A:A,characters!B:B)=-1, LOOKUP(A1054,characters!A:A,characters!B:B)+0.1&gt;=B1054),1,0)</f>
        <v/>
      </c>
    </row>
    <row r="1055" spans="1:7">
      <c r="A1055" s="4" t="s">
        <v>106</v>
      </c>
      <c r="B1055" s="7">
        <v>2</v>
      </c>
      <c r="C1055" s="6">
        <f>IF(E1055=1,0.99,0)</f>
        <v/>
      </c>
      <c r="D1055" s="6">
        <f>IF(E1055=1,1.0,0)</f>
        <v/>
      </c>
      <c r="E1055" s="8">
        <f>IF(OR(LOOKUP(A1055,characters!A:A,characters!B:B)=-1, LOOKUP(A1055,characters!A:A,characters!B:B)+0.1&gt;=B1055),1,0)</f>
        <v/>
      </c>
    </row>
    <row r="1056" spans="1:7">
      <c r="A1056" s="4" t="s">
        <v>107</v>
      </c>
      <c r="B1056" s="7">
        <v>1</v>
      </c>
      <c r="C1056" s="6">
        <f>IF(E1056=1,0.99,0)</f>
        <v/>
      </c>
      <c r="D1056" s="6">
        <f>IF(E1056=1,1.0,0)</f>
        <v/>
      </c>
      <c r="E1056" s="8">
        <f>IF(OR(LOOKUP(A1056,characters!A:A,characters!B:B)=-1, LOOKUP(A1056,characters!A:A,characters!B:B)+0.1&gt;=B1056),1,0)</f>
        <v/>
      </c>
    </row>
    <row r="1057" spans="1:9">
      <c r="A1057" s="4" t="s">
        <v>103</v>
      </c>
      <c r="B1057" s="7">
        <v>1</v>
      </c>
      <c r="C1057" s="6">
        <f>IF(E1057=1,0.99,0)</f>
        <v/>
      </c>
      <c r="D1057" s="6">
        <f>IF(E1057=1,1.0,0)</f>
        <v/>
      </c>
      <c r="E1057" s="8">
        <f>IF(OR(LOOKUP(A1057,characters!A:A,characters!B:B)=-1, LOOKUP(A1057,characters!A:A,characters!B:B)+0.1&gt;=B1057),1,0)</f>
        <v/>
      </c>
    </row>
    <row r="1064" spans="1:9">
      <c r="A1064" s="3" t="s">
        <v>123</v>
      </c>
    </row>
    <row r="1065" spans="1:9">
      <c r="A1065" s="3" t="s">
        <v>8</v>
      </c>
      <c r="B1065" s="3" t="s">
        <v>9</v>
      </c>
      <c r="C1065" s="3" t="s">
        <v>16</v>
      </c>
      <c r="D1065" s="3" t="s">
        <v>10</v>
      </c>
      <c r="E1065" s="3" t="s">
        <v>14</v>
      </c>
      <c r="F1065" s="3" t="s">
        <v>15</v>
      </c>
      <c r="G1065" s="3" t="s">
        <v>18</v>
      </c>
      <c r="H1065" s="3" t="s">
        <v>11</v>
      </c>
    </row>
    <row r="1066" spans="1:9">
      <c r="A1066" s="4" t="s">
        <v>22</v>
      </c>
      <c r="B1066" s="5" t="s">
        <v>23</v>
      </c>
      <c r="C1066" s="6">
        <f>IF(SUM(I1067)=0,0,SUM(C1067)/SUM(I1067))</f>
        <v/>
      </c>
      <c r="D1066" s="6">
        <f>IF(SUM(I1067)=0,0,SUM(D1067)/SUM(I1067))</f>
        <v/>
      </c>
      <c r="E1066" s="6">
        <f>IF(SUM(I1067)=0,0,SUM(E1067)/SUM(I1067))</f>
        <v/>
      </c>
      <c r="F1066" s="6">
        <f>IF(SUM(I1067)=0,0,SUM(F1067)/SUM(I1067))</f>
        <v/>
      </c>
      <c r="G1066" s="6">
        <f>IF(SUM(I1067)=0,0,SUM(G1067)/SUM(I1067))</f>
        <v/>
      </c>
      <c r="H1066" s="6">
        <f>IF(SUM(I1067)=0,0,SUM(H1067)/SUM(I1067))</f>
        <v/>
      </c>
    </row>
    <row r="1067" spans="1:9">
      <c r="A1067" s="4" t="s">
        <v>43</v>
      </c>
      <c r="B1067" s="7">
        <v>1</v>
      </c>
      <c r="C1067" s="6">
        <f>IF(I1067=1,1.0,0)</f>
        <v/>
      </c>
      <c r="D1067" s="6">
        <f>IF(I1067=1,1.0,0)</f>
        <v/>
      </c>
      <c r="E1067" s="6">
        <f>IF(I1067=1,0.9,0)</f>
        <v/>
      </c>
      <c r="F1067" s="6">
        <f>IF(I1067=1,0.9,0)</f>
        <v/>
      </c>
      <c r="G1067" s="6">
        <f>IF(I1067=1,0.9,0)</f>
        <v/>
      </c>
      <c r="H1067" s="6">
        <f>IF(I1067=1,0.8,0)</f>
        <v/>
      </c>
      <c r="I1067" s="8">
        <f>IF(OR(LOOKUP(A1067,characters!A:A,characters!B:B)=-1, LOOKUP(A1067,characters!A:A,characters!B:B)+0.1&gt;=B1067),1,0)</f>
        <v/>
      </c>
    </row>
    <row r="1069" spans="1:9">
      <c r="A1069" s="3" t="s">
        <v>49</v>
      </c>
      <c r="B1069" s="3" t="s">
        <v>9</v>
      </c>
      <c r="C1069" s="3" t="s">
        <v>16</v>
      </c>
    </row>
    <row r="1070" spans="1:9">
      <c r="A1070" s="4" t="s">
        <v>22</v>
      </c>
      <c r="B1070" s="5" t="s">
        <v>23</v>
      </c>
      <c r="C1070" s="6">
        <f>IF(SUM(D1071)=0,0,SUM(C1071)/SUM(D1071))</f>
        <v/>
      </c>
    </row>
    <row r="1071" spans="1:9">
      <c r="A1071" s="4" t="s">
        <v>43</v>
      </c>
      <c r="B1071" s="7">
        <v>1</v>
      </c>
      <c r="C1071" s="6">
        <f>IF(D1071=1,1.0,0)</f>
        <v/>
      </c>
      <c r="D1071" s="8">
        <f>IF(OR(LOOKUP(A1071,characters!A:A,characters!B:B)=-1, LOOKUP(A1071,characters!A:A,characters!B:B)+0.1&gt;=B1071),1,0)</f>
        <v/>
      </c>
    </row>
    <row r="1073" spans="1:14">
      <c r="A1073" s="3" t="s">
        <v>52</v>
      </c>
      <c r="B1073" s="3" t="s">
        <v>9</v>
      </c>
      <c r="C1073" s="3" t="s">
        <v>10</v>
      </c>
    </row>
    <row r="1074" spans="1:14">
      <c r="A1074" s="4" t="s">
        <v>22</v>
      </c>
      <c r="B1074" s="5" t="s">
        <v>23</v>
      </c>
      <c r="C1074" s="6">
        <f>IF(SUM(D1075)=0,0,SUM(C1075)/SUM(D1075))</f>
        <v/>
      </c>
    </row>
    <row r="1075" spans="1:14">
      <c r="A1075" s="4" t="s">
        <v>43</v>
      </c>
      <c r="B1075" s="7">
        <v>1</v>
      </c>
      <c r="C1075" s="6">
        <f>IF(D1075=1,1.0,0)</f>
        <v/>
      </c>
      <c r="D1075" s="8">
        <f>IF(OR(LOOKUP(A1075,characters!A:A,characters!B:B)=-1, LOOKUP(A1075,characters!A:A,characters!B:B)+0.1&gt;=B1075),1,0)</f>
        <v/>
      </c>
    </row>
    <row r="1082" spans="1:14">
      <c r="A1082" s="3" t="s">
        <v>124</v>
      </c>
    </row>
    <row r="1083" spans="1:14">
      <c r="A1083" s="3" t="s">
        <v>8</v>
      </c>
      <c r="B1083" s="3" t="s">
        <v>9</v>
      </c>
      <c r="C1083" s="3" t="s">
        <v>10</v>
      </c>
      <c r="D1083" s="3" t="s">
        <v>19</v>
      </c>
      <c r="E1083" s="3" t="s">
        <v>21</v>
      </c>
      <c r="F1083" s="3" t="s">
        <v>17</v>
      </c>
      <c r="G1083" s="3" t="s">
        <v>18</v>
      </c>
      <c r="H1083" s="3" t="s">
        <v>11</v>
      </c>
      <c r="I1083" s="3" t="s">
        <v>12</v>
      </c>
      <c r="J1083" s="3" t="s">
        <v>16</v>
      </c>
      <c r="K1083" s="3" t="s">
        <v>14</v>
      </c>
      <c r="L1083" s="3" t="s">
        <v>15</v>
      </c>
      <c r="M1083" s="3" t="s">
        <v>13</v>
      </c>
    </row>
    <row r="1084" spans="1:14">
      <c r="A1084" s="4" t="s">
        <v>22</v>
      </c>
      <c r="B1084" s="5" t="s">
        <v>23</v>
      </c>
      <c r="C1084" s="6">
        <f>IF(SUM(N1085:N1111)=0,0,SUM(C1085:C1111)/SUM(N1085:N1111))</f>
        <v/>
      </c>
      <c r="D1084" s="6">
        <f>IF(SUM(N1085:N1111)=0,0,SUM(D1085:D1111)/SUM(N1085:N1111))</f>
        <v/>
      </c>
      <c r="E1084" s="6">
        <f>IF(SUM(N1085:N1111)=0,0,SUM(E1085:E1111)/SUM(N1085:N1111))</f>
        <v/>
      </c>
      <c r="F1084" s="6">
        <f>IF(SUM(N1085:N1111)=0,0,SUM(F1085:F1111)/SUM(N1085:N1111))</f>
        <v/>
      </c>
      <c r="G1084" s="6">
        <f>IF(SUM(N1085:N1111)=0,0,SUM(G1085:G1111)/SUM(N1085:N1111))</f>
        <v/>
      </c>
      <c r="H1084" s="6">
        <f>IF(SUM(N1085:N1111)=0,0,SUM(H1085:H1111)/SUM(N1085:N1111))</f>
        <v/>
      </c>
      <c r="I1084" s="6">
        <f>IF(SUM(N1085:N1111)=0,0,SUM(I1085:I1111)/SUM(N1085:N1111))</f>
        <v/>
      </c>
      <c r="J1084" s="6">
        <f>IF(SUM(N1085:N1111)=0,0,SUM(J1085:J1111)/SUM(N1085:N1111))</f>
        <v/>
      </c>
      <c r="K1084" s="6">
        <f>IF(SUM(N1085:N1111)=0,0,SUM(K1085:K1111)/SUM(N1085:N1111))</f>
        <v/>
      </c>
      <c r="L1084" s="6">
        <f>IF(SUM(N1085:N1111)=0,0,SUM(L1085:L1111)/SUM(N1085:N1111))</f>
        <v/>
      </c>
      <c r="M1084" s="6">
        <f>IF(SUM(N1085:N1111)=0,0,SUM(M1085:M1111)/SUM(N1085:N1111))</f>
        <v/>
      </c>
    </row>
    <row r="1085" spans="1:14">
      <c r="A1085" s="4" t="s">
        <v>75</v>
      </c>
      <c r="B1085" s="7">
        <v>0</v>
      </c>
      <c r="C1085" s="6">
        <f>IF(N1085=1,1.0,0)</f>
        <v/>
      </c>
      <c r="D1085" s="6">
        <f>IF(N1085=1,0.9,0)</f>
        <v/>
      </c>
      <c r="E1085" s="6">
        <f>IF(N1085=1,0.9,0)</f>
        <v/>
      </c>
      <c r="F1085" s="6">
        <f>IF(N1085=1,0.8,0)</f>
        <v/>
      </c>
      <c r="G1085" s="5" t="s">
        <v>23</v>
      </c>
      <c r="H1085" s="5" t="s">
        <v>23</v>
      </c>
      <c r="I1085" s="5" t="s">
        <v>23</v>
      </c>
      <c r="J1085" s="5" t="s">
        <v>23</v>
      </c>
      <c r="K1085" s="5" t="s">
        <v>23</v>
      </c>
      <c r="L1085" s="5" t="s">
        <v>23</v>
      </c>
      <c r="M1085" s="5" t="s">
        <v>23</v>
      </c>
      <c r="N1085" s="8">
        <f>IF(OR(LOOKUP(A1085,characters!A:A,characters!B:B)=-1, LOOKUP(A1085,characters!A:A,characters!B:B)+0.1&gt;=B1085),1,0)</f>
        <v/>
      </c>
    </row>
    <row r="1086" spans="1:14">
      <c r="A1086" s="4" t="s">
        <v>25</v>
      </c>
      <c r="B1086" s="7">
        <v>0</v>
      </c>
      <c r="C1086" s="6">
        <f>IF(N1086=1,0.99,0)</f>
        <v/>
      </c>
      <c r="D1086" s="6">
        <f>IF(N1086=1,0.89,0)</f>
        <v/>
      </c>
      <c r="E1086" s="6">
        <f>IF(N1086=1,0.79,0)</f>
        <v/>
      </c>
      <c r="F1086" s="5" t="s">
        <v>23</v>
      </c>
      <c r="G1086" s="5" t="s">
        <v>23</v>
      </c>
      <c r="H1086" s="6">
        <f>IF(N1086=1,0.69,0)</f>
        <v/>
      </c>
      <c r="I1086" s="6">
        <f>IF(N1086=1,1.0,0)</f>
        <v/>
      </c>
      <c r="J1086" s="5" t="s">
        <v>23</v>
      </c>
      <c r="K1086" s="5" t="s">
        <v>23</v>
      </c>
      <c r="L1086" s="5" t="s">
        <v>23</v>
      </c>
      <c r="M1086" s="5" t="s">
        <v>23</v>
      </c>
      <c r="N1086" s="8">
        <f>IF(OR(LOOKUP(A1086,characters!A:A,characters!B:B)=-1, LOOKUP(A1086,characters!A:A,characters!B:B)+0.1&gt;=B1086),1,0)</f>
        <v/>
      </c>
    </row>
    <row r="1087" spans="1:14">
      <c r="A1087" s="4" t="s">
        <v>112</v>
      </c>
      <c r="B1087" s="7">
        <v>0</v>
      </c>
      <c r="C1087" s="6">
        <f>IF(N1087=1,1.0,0)</f>
        <v/>
      </c>
      <c r="D1087" s="6">
        <f>IF(N1087=1,1.0,0)</f>
        <v/>
      </c>
      <c r="E1087" s="6">
        <f>IF(N1087=1,1.0,0)</f>
        <v/>
      </c>
      <c r="F1087" s="6">
        <f>IF(N1087=1,0.9,0)</f>
        <v/>
      </c>
      <c r="G1087" s="5" t="s">
        <v>23</v>
      </c>
      <c r="H1087" s="5" t="s">
        <v>23</v>
      </c>
      <c r="I1087" s="5" t="s">
        <v>23</v>
      </c>
      <c r="J1087" s="5" t="s">
        <v>23</v>
      </c>
      <c r="K1087" s="5" t="s">
        <v>23</v>
      </c>
      <c r="L1087" s="5" t="s">
        <v>23</v>
      </c>
      <c r="M1087" s="5" t="s">
        <v>23</v>
      </c>
      <c r="N1087" s="8">
        <f>IF(OR(LOOKUP(A1087,characters!A:A,characters!B:B)=-1, LOOKUP(A1087,characters!A:A,characters!B:B)+0.1&gt;=B1087),1,0)</f>
        <v/>
      </c>
    </row>
    <row r="1088" spans="1:14">
      <c r="A1088" s="4" t="s">
        <v>100</v>
      </c>
      <c r="B1088" s="7">
        <v>0</v>
      </c>
      <c r="C1088" s="6">
        <f>IF(N1088=1,1.0,0)</f>
        <v/>
      </c>
      <c r="D1088" s="6">
        <f>IF(N1088=1,1.0,0)</f>
        <v/>
      </c>
      <c r="E1088" s="6">
        <f>IF(N1088=1,1.0,0)</f>
        <v/>
      </c>
      <c r="F1088" s="6">
        <f>IF(N1088=1,0.9,0)</f>
        <v/>
      </c>
      <c r="G1088" s="5" t="s">
        <v>23</v>
      </c>
      <c r="H1088" s="5" t="s">
        <v>23</v>
      </c>
      <c r="I1088" s="5" t="s">
        <v>23</v>
      </c>
      <c r="J1088" s="5" t="s">
        <v>23</v>
      </c>
      <c r="K1088" s="5" t="s">
        <v>23</v>
      </c>
      <c r="L1088" s="5" t="s">
        <v>23</v>
      </c>
      <c r="M1088" s="5" t="s">
        <v>23</v>
      </c>
      <c r="N1088" s="8">
        <f>IF(OR(LOOKUP(A1088,characters!A:A,characters!B:B)=-1, LOOKUP(A1088,characters!A:A,characters!B:B)+0.1&gt;=B1088),1,0)</f>
        <v/>
      </c>
    </row>
    <row r="1089" spans="1:14">
      <c r="A1089" s="4" t="s">
        <v>58</v>
      </c>
      <c r="B1089" s="7">
        <v>0</v>
      </c>
      <c r="C1089" s="6">
        <f>IF(N1089=1,0.8,0)</f>
        <v/>
      </c>
      <c r="D1089" s="6">
        <f>IF(N1089=1,1.0,0)</f>
        <v/>
      </c>
      <c r="E1089" s="6">
        <f>IF(N1089=1,1.0,0)</f>
        <v/>
      </c>
      <c r="F1089" s="6">
        <f>IF(N1089=1,0.9,0)</f>
        <v/>
      </c>
      <c r="G1089" s="5" t="s">
        <v>23</v>
      </c>
      <c r="H1089" s="5" t="s">
        <v>23</v>
      </c>
      <c r="I1089" s="5" t="s">
        <v>23</v>
      </c>
      <c r="J1089" s="5" t="s">
        <v>23</v>
      </c>
      <c r="K1089" s="5" t="s">
        <v>23</v>
      </c>
      <c r="L1089" s="5" t="s">
        <v>23</v>
      </c>
      <c r="M1089" s="5" t="s">
        <v>23</v>
      </c>
      <c r="N1089" s="8">
        <f>IF(OR(LOOKUP(A1089,characters!A:A,characters!B:B)=-1, LOOKUP(A1089,characters!A:A,characters!B:B)+0.1&gt;=B1089),1,0)</f>
        <v/>
      </c>
    </row>
    <row r="1090" spans="1:14">
      <c r="A1090" s="4" t="s">
        <v>107</v>
      </c>
      <c r="B1090" s="7">
        <v>0</v>
      </c>
      <c r="C1090" s="6">
        <f>IF(N1090=1,1.0,0)</f>
        <v/>
      </c>
      <c r="D1090" s="6">
        <f>IF(N1090=1,0.9,0)</f>
        <v/>
      </c>
      <c r="E1090" s="6">
        <f>IF(N1090=1,0.9,0)</f>
        <v/>
      </c>
      <c r="F1090" s="6">
        <f>IF(N1090=1,0.8,0)</f>
        <v/>
      </c>
      <c r="G1090" s="5" t="s">
        <v>23</v>
      </c>
      <c r="H1090" s="5" t="s">
        <v>23</v>
      </c>
      <c r="I1090" s="5" t="s">
        <v>23</v>
      </c>
      <c r="J1090" s="5" t="s">
        <v>23</v>
      </c>
      <c r="K1090" s="5" t="s">
        <v>23</v>
      </c>
      <c r="L1090" s="5" t="s">
        <v>23</v>
      </c>
      <c r="M1090" s="5" t="s">
        <v>23</v>
      </c>
      <c r="N1090" s="8">
        <f>IF(OR(LOOKUP(A1090,characters!A:A,characters!B:B)=-1, LOOKUP(A1090,characters!A:A,characters!B:B)+0.1&gt;=B1090),1,0)</f>
        <v/>
      </c>
    </row>
    <row r="1091" spans="1:14">
      <c r="A1091" s="4" t="s">
        <v>48</v>
      </c>
      <c r="B1091" s="7">
        <v>0</v>
      </c>
      <c r="C1091" s="6">
        <f>IF(N1091=1,1.0,0)</f>
        <v/>
      </c>
      <c r="D1091" s="5" t="s">
        <v>23</v>
      </c>
      <c r="E1091" s="5" t="s">
        <v>23</v>
      </c>
      <c r="F1091" s="5" t="s">
        <v>23</v>
      </c>
      <c r="G1091" s="5" t="s">
        <v>23</v>
      </c>
      <c r="H1091" s="6">
        <f>IF(N1091=1,0.8,0)</f>
        <v/>
      </c>
      <c r="I1091" s="5" t="s">
        <v>23</v>
      </c>
      <c r="J1091" s="5" t="s">
        <v>23</v>
      </c>
      <c r="K1091" s="6">
        <f>IF(N1091=1,0.9,0)</f>
        <v/>
      </c>
      <c r="L1091" s="6">
        <f>IF(N1091=1,0.9,0)</f>
        <v/>
      </c>
      <c r="M1091" s="5" t="s">
        <v>23</v>
      </c>
      <c r="N1091" s="8">
        <f>IF(OR(LOOKUP(A1091,characters!A:A,characters!B:B)=-1, LOOKUP(A1091,characters!A:A,characters!B:B)+0.1&gt;=B1091),1,0)</f>
        <v/>
      </c>
    </row>
    <row r="1092" spans="1:14">
      <c r="A1092" s="4" t="s">
        <v>85</v>
      </c>
      <c r="B1092" s="7">
        <v>0</v>
      </c>
      <c r="C1092" s="5" t="s">
        <v>23</v>
      </c>
      <c r="D1092" s="6">
        <f>IF(N1092=1,1.0,0)</f>
        <v/>
      </c>
      <c r="E1092" s="6">
        <f>IF(N1092=1,1.0,0)</f>
        <v/>
      </c>
      <c r="F1092" s="6">
        <f>IF(N1092=1,0.9,0)</f>
        <v/>
      </c>
      <c r="G1092" s="5" t="s">
        <v>23</v>
      </c>
      <c r="H1092" s="5" t="s">
        <v>23</v>
      </c>
      <c r="I1092" s="5" t="s">
        <v>23</v>
      </c>
      <c r="J1092" s="5" t="s">
        <v>23</v>
      </c>
      <c r="K1092" s="5" t="s">
        <v>23</v>
      </c>
      <c r="L1092" s="5" t="s">
        <v>23</v>
      </c>
      <c r="M1092" s="5" t="s">
        <v>23</v>
      </c>
      <c r="N1092" s="8">
        <f>IF(OR(LOOKUP(A1092,characters!A:A,characters!B:B)=-1, LOOKUP(A1092,characters!A:A,characters!B:B)+0.1&gt;=B1092),1,0)</f>
        <v/>
      </c>
    </row>
    <row r="1093" spans="1:14">
      <c r="A1093" s="4" t="s">
        <v>61</v>
      </c>
      <c r="B1093" s="7">
        <v>1</v>
      </c>
      <c r="C1093" s="6">
        <f>IF(N1093=1,1.0,0)</f>
        <v/>
      </c>
      <c r="D1093" s="6">
        <f>IF(N1093=1,0.9,0)</f>
        <v/>
      </c>
      <c r="E1093" s="6">
        <f>IF(N1093=1,0.9,0)</f>
        <v/>
      </c>
      <c r="F1093" s="6">
        <f>IF(N1093=1,0.8,0)</f>
        <v/>
      </c>
      <c r="G1093" s="5" t="s">
        <v>23</v>
      </c>
      <c r="H1093" s="5" t="s">
        <v>23</v>
      </c>
      <c r="I1093" s="5" t="s">
        <v>23</v>
      </c>
      <c r="J1093" s="5" t="s">
        <v>23</v>
      </c>
      <c r="K1093" s="5" t="s">
        <v>23</v>
      </c>
      <c r="L1093" s="5" t="s">
        <v>23</v>
      </c>
      <c r="M1093" s="5" t="s">
        <v>23</v>
      </c>
      <c r="N1093" s="8">
        <f>IF(OR(LOOKUP(A1093,characters!A:A,characters!B:B)=-1, LOOKUP(A1093,characters!A:A,characters!B:B)+0.1&gt;=B1093),1,0)</f>
        <v/>
      </c>
    </row>
    <row r="1094" spans="1:14">
      <c r="A1094" s="4" t="s">
        <v>125</v>
      </c>
      <c r="B1094" s="7">
        <v>1</v>
      </c>
      <c r="C1094" s="6">
        <f>IF(N1094=1,1.0,0)</f>
        <v/>
      </c>
      <c r="D1094" s="6">
        <f>IF(N1094=1,0.9,0)</f>
        <v/>
      </c>
      <c r="E1094" s="6">
        <f>IF(N1094=1,0.9,0)</f>
        <v/>
      </c>
      <c r="F1094" s="5" t="s">
        <v>23</v>
      </c>
      <c r="G1094" s="5" t="s">
        <v>23</v>
      </c>
      <c r="H1094" s="5" t="s">
        <v>23</v>
      </c>
      <c r="I1094" s="5" t="s">
        <v>23</v>
      </c>
      <c r="J1094" s="5" t="s">
        <v>23</v>
      </c>
      <c r="K1094" s="5" t="s">
        <v>23</v>
      </c>
      <c r="L1094" s="5" t="s">
        <v>23</v>
      </c>
      <c r="M1094" s="6">
        <f>IF(N1094=1,0.8,0)</f>
        <v/>
      </c>
      <c r="N1094" s="8">
        <f>IF(OR(LOOKUP(A1094,characters!A:A,characters!B:B)=-1, LOOKUP(A1094,characters!A:A,characters!B:B)+0.1&gt;=B1094),1,0)</f>
        <v/>
      </c>
    </row>
    <row r="1095" spans="1:14">
      <c r="A1095" s="4" t="s">
        <v>72</v>
      </c>
      <c r="B1095" s="7">
        <v>1</v>
      </c>
      <c r="C1095" s="6">
        <f>IF(N1095=1,1.0,0)</f>
        <v/>
      </c>
      <c r="D1095" s="6">
        <f>IF(N1095=1,1.0,0)</f>
        <v/>
      </c>
      <c r="E1095" s="6">
        <f>IF(N1095=1,1.0,0)</f>
        <v/>
      </c>
      <c r="F1095" s="6">
        <f>IF(N1095=1,0.9,0)</f>
        <v/>
      </c>
      <c r="G1095" s="5" t="s">
        <v>23</v>
      </c>
      <c r="H1095" s="5" t="s">
        <v>23</v>
      </c>
      <c r="I1095" s="5" t="s">
        <v>23</v>
      </c>
      <c r="J1095" s="5" t="s">
        <v>23</v>
      </c>
      <c r="K1095" s="5" t="s">
        <v>23</v>
      </c>
      <c r="L1095" s="5" t="s">
        <v>23</v>
      </c>
      <c r="M1095" s="5" t="s">
        <v>23</v>
      </c>
      <c r="N1095" s="8">
        <f>IF(OR(LOOKUP(A1095,characters!A:A,characters!B:B)=-1, LOOKUP(A1095,characters!A:A,characters!B:B)+0.1&gt;=B1095),1,0)</f>
        <v/>
      </c>
    </row>
    <row r="1096" spans="1:14">
      <c r="A1096" s="4" t="s">
        <v>82</v>
      </c>
      <c r="B1096" s="7">
        <v>2</v>
      </c>
      <c r="C1096" s="6">
        <f>IF(N1096=1,1.0,0)</f>
        <v/>
      </c>
      <c r="D1096" s="6">
        <f>IF(N1096=1,1.0,0)</f>
        <v/>
      </c>
      <c r="E1096" s="6">
        <f>IF(N1096=1,1.0,0)</f>
        <v/>
      </c>
      <c r="F1096" s="6">
        <f>IF(N1096=1,0.9,0)</f>
        <v/>
      </c>
      <c r="G1096" s="5" t="s">
        <v>23</v>
      </c>
      <c r="H1096" s="5" t="s">
        <v>23</v>
      </c>
      <c r="I1096" s="5" t="s">
        <v>23</v>
      </c>
      <c r="J1096" s="5" t="s">
        <v>23</v>
      </c>
      <c r="K1096" s="5" t="s">
        <v>23</v>
      </c>
      <c r="L1096" s="5" t="s">
        <v>23</v>
      </c>
      <c r="M1096" s="5" t="s">
        <v>23</v>
      </c>
      <c r="N1096" s="8">
        <f>IF(OR(LOOKUP(A1096,characters!A:A,characters!B:B)=-1, LOOKUP(A1096,characters!A:A,characters!B:B)+0.1&gt;=B1096),1,0)</f>
        <v/>
      </c>
    </row>
    <row r="1097" spans="1:14">
      <c r="A1097" s="4" t="s">
        <v>83</v>
      </c>
      <c r="B1097" s="7">
        <v>2</v>
      </c>
      <c r="C1097" s="6">
        <f>IF(N1097=1,1.0,0)</f>
        <v/>
      </c>
      <c r="D1097" s="6">
        <f>IF(N1097=1,0.99,0)</f>
        <v/>
      </c>
      <c r="E1097" s="6">
        <f>IF(N1097=1,1.0,0)</f>
        <v/>
      </c>
      <c r="F1097" s="6">
        <f>IF(N1097=1,0.89,0)</f>
        <v/>
      </c>
      <c r="G1097" s="5" t="s">
        <v>23</v>
      </c>
      <c r="H1097" s="5" t="s">
        <v>23</v>
      </c>
      <c r="I1097" s="5" t="s">
        <v>23</v>
      </c>
      <c r="J1097" s="5" t="s">
        <v>23</v>
      </c>
      <c r="K1097" s="5" t="s">
        <v>23</v>
      </c>
      <c r="L1097" s="5" t="s">
        <v>23</v>
      </c>
      <c r="M1097" s="5" t="s">
        <v>23</v>
      </c>
      <c r="N1097" s="8">
        <f>IF(OR(LOOKUP(A1097,characters!A:A,characters!B:B)=-1, LOOKUP(A1097,characters!A:A,characters!B:B)+0.1&gt;=B1097),1,0)</f>
        <v/>
      </c>
    </row>
    <row r="1098" spans="1:14">
      <c r="A1098" s="4" t="s">
        <v>108</v>
      </c>
      <c r="B1098" s="7">
        <v>2</v>
      </c>
      <c r="C1098" s="6">
        <f>IF(N1098=1,1.0,0)</f>
        <v/>
      </c>
      <c r="D1098" s="6">
        <f>IF(N1098=1,0.9,0)</f>
        <v/>
      </c>
      <c r="E1098" s="6">
        <f>IF(N1098=1,0.9,0)</f>
        <v/>
      </c>
      <c r="F1098" s="6">
        <f>IF(N1098=1,0.8,0)</f>
        <v/>
      </c>
      <c r="G1098" s="5" t="s">
        <v>23</v>
      </c>
      <c r="H1098" s="5" t="s">
        <v>23</v>
      </c>
      <c r="I1098" s="5" t="s">
        <v>23</v>
      </c>
      <c r="J1098" s="5" t="s">
        <v>23</v>
      </c>
      <c r="K1098" s="5" t="s">
        <v>23</v>
      </c>
      <c r="L1098" s="5" t="s">
        <v>23</v>
      </c>
      <c r="M1098" s="5" t="s">
        <v>23</v>
      </c>
      <c r="N1098" s="8">
        <f>IF(OR(LOOKUP(A1098,characters!A:A,characters!B:B)=-1, LOOKUP(A1098,characters!A:A,characters!B:B)+0.1&gt;=B1098),1,0)</f>
        <v/>
      </c>
    </row>
    <row r="1099" spans="1:14">
      <c r="A1099" s="4" t="s">
        <v>109</v>
      </c>
      <c r="B1099" s="7">
        <v>2</v>
      </c>
      <c r="C1099" s="5" t="s">
        <v>23</v>
      </c>
      <c r="D1099" s="6">
        <f>IF(N1099=1,1.0,0)</f>
        <v/>
      </c>
      <c r="E1099" s="6">
        <f>IF(N1099=1,1.0,0)</f>
        <v/>
      </c>
      <c r="F1099" s="6">
        <f>IF(N1099=1,0.9,0)</f>
        <v/>
      </c>
      <c r="G1099" s="5" t="s">
        <v>23</v>
      </c>
      <c r="H1099" s="5" t="s">
        <v>23</v>
      </c>
      <c r="I1099" s="5" t="s">
        <v>23</v>
      </c>
      <c r="J1099" s="5" t="s">
        <v>23</v>
      </c>
      <c r="K1099" s="5" t="s">
        <v>23</v>
      </c>
      <c r="L1099" s="5" t="s">
        <v>23</v>
      </c>
      <c r="M1099" s="5" t="s">
        <v>23</v>
      </c>
      <c r="N1099" s="8">
        <f>IF(OR(LOOKUP(A1099,characters!A:A,characters!B:B)=-1, LOOKUP(A1099,characters!A:A,characters!B:B)+0.1&gt;=B1099),1,0)</f>
        <v/>
      </c>
    </row>
    <row r="1100" spans="1:14">
      <c r="A1100" s="4" t="s">
        <v>73</v>
      </c>
      <c r="B1100" s="7">
        <v>2</v>
      </c>
      <c r="C1100" s="6">
        <f>IF(N1100=1,1.0,0)</f>
        <v/>
      </c>
      <c r="D1100" s="6">
        <f>IF(N1100=1,0.89,0)</f>
        <v/>
      </c>
      <c r="E1100" s="6">
        <f>IF(N1100=1,0.89,0)</f>
        <v/>
      </c>
      <c r="F1100" s="6">
        <f>IF(N1100=1,0.79,0)</f>
        <v/>
      </c>
      <c r="G1100" s="6">
        <f>IF(N1100=1,0.9,0)</f>
        <v/>
      </c>
      <c r="H1100" s="5" t="s">
        <v>23</v>
      </c>
      <c r="I1100" s="5" t="s">
        <v>23</v>
      </c>
      <c r="J1100" s="5" t="s">
        <v>23</v>
      </c>
      <c r="K1100" s="5" t="s">
        <v>23</v>
      </c>
      <c r="L1100" s="5" t="s">
        <v>23</v>
      </c>
      <c r="M1100" s="5" t="s">
        <v>23</v>
      </c>
      <c r="N1100" s="8">
        <f>IF(OR(LOOKUP(A1100,characters!A:A,characters!B:B)=-1, LOOKUP(A1100,characters!A:A,characters!B:B)+0.1&gt;=B1100),1,0)</f>
        <v/>
      </c>
    </row>
    <row r="1101" spans="1:14">
      <c r="A1101" s="4" t="s">
        <v>74</v>
      </c>
      <c r="B1101" s="7">
        <v>2</v>
      </c>
      <c r="C1101" s="6">
        <f>IF(N1101=1,1.0,0)</f>
        <v/>
      </c>
      <c r="D1101" s="6">
        <f>IF(N1101=1,0.89,0)</f>
        <v/>
      </c>
      <c r="E1101" s="6">
        <f>IF(N1101=1,0.89,0)</f>
        <v/>
      </c>
      <c r="F1101" s="6">
        <f>IF(N1101=1,0.79,0)</f>
        <v/>
      </c>
      <c r="G1101" s="6">
        <f>IF(N1101=1,0.9,0)</f>
        <v/>
      </c>
      <c r="H1101" s="5" t="s">
        <v>23</v>
      </c>
      <c r="I1101" s="5" t="s">
        <v>23</v>
      </c>
      <c r="J1101" s="5" t="s">
        <v>23</v>
      </c>
      <c r="K1101" s="5" t="s">
        <v>23</v>
      </c>
      <c r="L1101" s="5" t="s">
        <v>23</v>
      </c>
      <c r="M1101" s="5" t="s">
        <v>23</v>
      </c>
      <c r="N1101" s="8">
        <f>IF(OR(LOOKUP(A1101,characters!A:A,characters!B:B)=-1, LOOKUP(A1101,characters!A:A,characters!B:B)+0.1&gt;=B1101),1,0)</f>
        <v/>
      </c>
    </row>
    <row r="1102" spans="1:14">
      <c r="A1102" s="4" t="s">
        <v>113</v>
      </c>
      <c r="B1102" s="7">
        <v>2</v>
      </c>
      <c r="C1102" s="6">
        <f>IF(N1102=1,1.0,0)</f>
        <v/>
      </c>
      <c r="D1102" s="6">
        <f>IF(N1102=1,0.89,0)</f>
        <v/>
      </c>
      <c r="E1102" s="6">
        <f>IF(N1102=1,0.89,0)</f>
        <v/>
      </c>
      <c r="F1102" s="6">
        <f>IF(N1102=1,0.79,0)</f>
        <v/>
      </c>
      <c r="G1102" s="6">
        <f>IF(N1102=1,0.9,0)</f>
        <v/>
      </c>
      <c r="H1102" s="5" t="s">
        <v>23</v>
      </c>
      <c r="I1102" s="5" t="s">
        <v>23</v>
      </c>
      <c r="J1102" s="5" t="s">
        <v>23</v>
      </c>
      <c r="K1102" s="5" t="s">
        <v>23</v>
      </c>
      <c r="L1102" s="5" t="s">
        <v>23</v>
      </c>
      <c r="M1102" s="5" t="s">
        <v>23</v>
      </c>
      <c r="N1102" s="8">
        <f>IF(OR(LOOKUP(A1102,characters!A:A,characters!B:B)=-1, LOOKUP(A1102,characters!A:A,characters!B:B)+0.1&gt;=B1102),1,0)</f>
        <v/>
      </c>
    </row>
    <row r="1103" spans="1:14">
      <c r="A1103" s="4" t="s">
        <v>57</v>
      </c>
      <c r="B1103" s="7">
        <v>3</v>
      </c>
      <c r="C1103" s="6">
        <f>IF(N1103=1,1.0,0)</f>
        <v/>
      </c>
      <c r="D1103" s="6">
        <f>IF(N1103=1,0.9,0)</f>
        <v/>
      </c>
      <c r="E1103" s="6">
        <f>IF(N1103=1,0.9,0)</f>
        <v/>
      </c>
      <c r="F1103" s="6">
        <f>IF(N1103=1,0.8,0)</f>
        <v/>
      </c>
      <c r="G1103" s="5" t="s">
        <v>23</v>
      </c>
      <c r="H1103" s="5" t="s">
        <v>23</v>
      </c>
      <c r="I1103" s="5" t="s">
        <v>23</v>
      </c>
      <c r="J1103" s="5" t="s">
        <v>23</v>
      </c>
      <c r="K1103" s="5" t="s">
        <v>23</v>
      </c>
      <c r="L1103" s="5" t="s">
        <v>23</v>
      </c>
      <c r="M1103" s="5" t="s">
        <v>23</v>
      </c>
      <c r="N1103" s="8">
        <f>IF(OR(LOOKUP(A1103,characters!A:A,characters!B:B)=-1, LOOKUP(A1103,characters!A:A,characters!B:B)+0.1&gt;=B1103),1,0)</f>
        <v/>
      </c>
    </row>
    <row r="1104" spans="1:14">
      <c r="A1104" s="4" t="s">
        <v>104</v>
      </c>
      <c r="B1104" s="7">
        <v>3</v>
      </c>
      <c r="C1104" s="6">
        <f>IF(N1104=1,1.0,0)</f>
        <v/>
      </c>
      <c r="D1104" s="6">
        <f>IF(N1104=1,1.0,0)</f>
        <v/>
      </c>
      <c r="E1104" s="6">
        <f>IF(N1104=1,1.0,0)</f>
        <v/>
      </c>
      <c r="F1104" s="6">
        <f>IF(N1104=1,0.9,0)</f>
        <v/>
      </c>
      <c r="G1104" s="5" t="s">
        <v>23</v>
      </c>
      <c r="H1104" s="5" t="s">
        <v>23</v>
      </c>
      <c r="I1104" s="5" t="s">
        <v>23</v>
      </c>
      <c r="J1104" s="5" t="s">
        <v>23</v>
      </c>
      <c r="K1104" s="5" t="s">
        <v>23</v>
      </c>
      <c r="L1104" s="5" t="s">
        <v>23</v>
      </c>
      <c r="M1104" s="5" t="s">
        <v>23</v>
      </c>
      <c r="N1104" s="8">
        <f>IF(OR(LOOKUP(A1104,characters!A:A,characters!B:B)=-1, LOOKUP(A1104,characters!A:A,characters!B:B)+0.1&gt;=B1104),1,0)</f>
        <v/>
      </c>
    </row>
    <row r="1105" spans="1:14">
      <c r="A1105" s="4" t="s">
        <v>81</v>
      </c>
      <c r="B1105" s="7">
        <v>3</v>
      </c>
      <c r="C1105" s="6">
        <f>IF(N1105=1,1.0,0)</f>
        <v/>
      </c>
      <c r="D1105" s="6">
        <f>IF(N1105=1,0.9,0)</f>
        <v/>
      </c>
      <c r="E1105" s="6">
        <f>IF(N1105=1,0.9,0)</f>
        <v/>
      </c>
      <c r="F1105" s="6">
        <f>IF(N1105=1,0.8,0)</f>
        <v/>
      </c>
      <c r="G1105" s="5" t="s">
        <v>23</v>
      </c>
      <c r="H1105" s="5" t="s">
        <v>23</v>
      </c>
      <c r="I1105" s="5" t="s">
        <v>23</v>
      </c>
      <c r="J1105" s="5" t="s">
        <v>23</v>
      </c>
      <c r="K1105" s="5" t="s">
        <v>23</v>
      </c>
      <c r="L1105" s="5" t="s">
        <v>23</v>
      </c>
      <c r="M1105" s="5" t="s">
        <v>23</v>
      </c>
      <c r="N1105" s="8">
        <f>IF(OR(LOOKUP(A1105,characters!A:A,characters!B:B)=-1, LOOKUP(A1105,characters!A:A,characters!B:B)+0.1&gt;=B1105),1,0)</f>
        <v/>
      </c>
    </row>
    <row r="1106" spans="1:14">
      <c r="A1106" s="4" t="s">
        <v>86</v>
      </c>
      <c r="B1106" s="7">
        <v>3</v>
      </c>
      <c r="C1106" s="6">
        <f>IF(N1106=1,0.79,0)</f>
        <v/>
      </c>
      <c r="D1106" s="6">
        <f>IF(N1106=1,0.99,0)</f>
        <v/>
      </c>
      <c r="E1106" s="6">
        <f>IF(N1106=1,1.0,0)</f>
        <v/>
      </c>
      <c r="F1106" s="6">
        <f>IF(N1106=1,0.89,0)</f>
        <v/>
      </c>
      <c r="G1106" s="5" t="s">
        <v>23</v>
      </c>
      <c r="H1106" s="5" t="s">
        <v>23</v>
      </c>
      <c r="I1106" s="5" t="s">
        <v>23</v>
      </c>
      <c r="J1106" s="5" t="s">
        <v>23</v>
      </c>
      <c r="K1106" s="5" t="s">
        <v>23</v>
      </c>
      <c r="L1106" s="5" t="s">
        <v>23</v>
      </c>
      <c r="M1106" s="5" t="s">
        <v>23</v>
      </c>
      <c r="N1106" s="8">
        <f>IF(OR(LOOKUP(A1106,characters!A:A,characters!B:B)=-1, LOOKUP(A1106,characters!A:A,characters!B:B)+0.1&gt;=B1106),1,0)</f>
        <v/>
      </c>
    </row>
    <row r="1107" spans="1:14">
      <c r="A1107" s="4" t="s">
        <v>106</v>
      </c>
      <c r="B1107" s="7">
        <v>3</v>
      </c>
      <c r="C1107" s="6">
        <f>IF(N1107=1,1.0,0)</f>
        <v/>
      </c>
      <c r="D1107" s="6">
        <f>IF(N1107=1,0.9,0)</f>
        <v/>
      </c>
      <c r="E1107" s="6">
        <f>IF(N1107=1,0.9,0)</f>
        <v/>
      </c>
      <c r="F1107" s="6">
        <f>IF(N1107=1,0.8,0)</f>
        <v/>
      </c>
      <c r="G1107" s="5" t="s">
        <v>23</v>
      </c>
      <c r="H1107" s="5" t="s">
        <v>23</v>
      </c>
      <c r="I1107" s="5" t="s">
        <v>23</v>
      </c>
      <c r="J1107" s="5" t="s">
        <v>23</v>
      </c>
      <c r="K1107" s="5" t="s">
        <v>23</v>
      </c>
      <c r="L1107" s="5" t="s">
        <v>23</v>
      </c>
      <c r="M1107" s="5" t="s">
        <v>23</v>
      </c>
      <c r="N1107" s="8">
        <f>IF(OR(LOOKUP(A1107,characters!A:A,characters!B:B)=-1, LOOKUP(A1107,characters!A:A,characters!B:B)+0.1&gt;=B1107),1,0)</f>
        <v/>
      </c>
    </row>
    <row r="1108" spans="1:14">
      <c r="A1108" s="4" t="s">
        <v>110</v>
      </c>
      <c r="B1108" s="7">
        <v>3</v>
      </c>
      <c r="C1108" s="6">
        <f>IF(N1108=1,1.0,0)</f>
        <v/>
      </c>
      <c r="D1108" s="6">
        <f>IF(N1108=1,0.9,0)</f>
        <v/>
      </c>
      <c r="E1108" s="6">
        <f>IF(N1108=1,0.9,0)</f>
        <v/>
      </c>
      <c r="F1108" s="6">
        <f>IF(N1108=1,0.8,0)</f>
        <v/>
      </c>
      <c r="G1108" s="5" t="s">
        <v>23</v>
      </c>
      <c r="H1108" s="5" t="s">
        <v>23</v>
      </c>
      <c r="I1108" s="5" t="s">
        <v>23</v>
      </c>
      <c r="J1108" s="5" t="s">
        <v>23</v>
      </c>
      <c r="K1108" s="5" t="s">
        <v>23</v>
      </c>
      <c r="L1108" s="5" t="s">
        <v>23</v>
      </c>
      <c r="M1108" s="5" t="s">
        <v>23</v>
      </c>
      <c r="N1108" s="8">
        <f>IF(OR(LOOKUP(A1108,characters!A:A,characters!B:B)=-1, LOOKUP(A1108,characters!A:A,characters!B:B)+0.1&gt;=B1108),1,0)</f>
        <v/>
      </c>
    </row>
    <row r="1109" spans="1:14">
      <c r="A1109" s="4" t="s">
        <v>60</v>
      </c>
      <c r="B1109" s="7">
        <v>3</v>
      </c>
      <c r="C1109" s="6">
        <f>IF(N1109=1,1.0,0)</f>
        <v/>
      </c>
      <c r="D1109" s="6">
        <f>IF(N1109=1,0.9,0)</f>
        <v/>
      </c>
      <c r="E1109" s="6">
        <f>IF(N1109=1,0.9,0)</f>
        <v/>
      </c>
      <c r="F1109" s="6">
        <f>IF(N1109=1,0.8,0)</f>
        <v/>
      </c>
      <c r="G1109" s="5" t="s">
        <v>23</v>
      </c>
      <c r="H1109" s="5" t="s">
        <v>23</v>
      </c>
      <c r="I1109" s="5" t="s">
        <v>23</v>
      </c>
      <c r="J1109" s="5" t="s">
        <v>23</v>
      </c>
      <c r="K1109" s="5" t="s">
        <v>23</v>
      </c>
      <c r="L1109" s="5" t="s">
        <v>23</v>
      </c>
      <c r="M1109" s="5" t="s">
        <v>23</v>
      </c>
      <c r="N1109" s="8">
        <f>IF(OR(LOOKUP(A1109,characters!A:A,characters!B:B)=-1, LOOKUP(A1109,characters!A:A,characters!B:B)+0.1&gt;=B1109),1,0)</f>
        <v/>
      </c>
    </row>
    <row r="1110" spans="1:14">
      <c r="A1110" s="4" t="s">
        <v>84</v>
      </c>
      <c r="B1110" s="7">
        <v>3</v>
      </c>
      <c r="C1110" s="6">
        <f>IF(N1110=1,1.0,0)</f>
        <v/>
      </c>
      <c r="D1110" s="6">
        <f>IF(N1110=1,0.9,0)</f>
        <v/>
      </c>
      <c r="E1110" s="6">
        <f>IF(N1110=1,0.9,0)</f>
        <v/>
      </c>
      <c r="F1110" s="6">
        <f>IF(N1110=1,0.8,0)</f>
        <v/>
      </c>
      <c r="G1110" s="5" t="s">
        <v>23</v>
      </c>
      <c r="H1110" s="5" t="s">
        <v>23</v>
      </c>
      <c r="I1110" s="5" t="s">
        <v>23</v>
      </c>
      <c r="J1110" s="5" t="s">
        <v>23</v>
      </c>
      <c r="K1110" s="5" t="s">
        <v>23</v>
      </c>
      <c r="L1110" s="5" t="s">
        <v>23</v>
      </c>
      <c r="M1110" s="5" t="s">
        <v>23</v>
      </c>
      <c r="N1110" s="8">
        <f>IF(OR(LOOKUP(A1110,characters!A:A,characters!B:B)=-1, LOOKUP(A1110,characters!A:A,characters!B:B)+0.1&gt;=B1110),1,0)</f>
        <v/>
      </c>
    </row>
    <row r="1111" spans="1:14">
      <c r="A1111" s="4" t="s">
        <v>111</v>
      </c>
      <c r="B1111" s="7">
        <v>3</v>
      </c>
      <c r="C1111" s="6">
        <f>IF(N1111=1,1.0,0)</f>
        <v/>
      </c>
      <c r="D1111" s="6">
        <f>IF(N1111=1,0.9,0)</f>
        <v/>
      </c>
      <c r="E1111" s="6">
        <f>IF(N1111=1,0.9,0)</f>
        <v/>
      </c>
      <c r="F1111" s="6">
        <f>IF(N1111=1,0.8,0)</f>
        <v/>
      </c>
      <c r="G1111" s="5" t="s">
        <v>23</v>
      </c>
      <c r="H1111" s="5" t="s">
        <v>23</v>
      </c>
      <c r="I1111" s="5" t="s">
        <v>23</v>
      </c>
      <c r="J1111" s="6">
        <f>IF(N1111=1,1.0,0)</f>
        <v/>
      </c>
      <c r="K1111" s="5" t="s">
        <v>23</v>
      </c>
      <c r="L1111" s="5" t="s">
        <v>23</v>
      </c>
      <c r="M1111" s="5" t="s">
        <v>23</v>
      </c>
      <c r="N1111" s="8">
        <f>IF(OR(LOOKUP(A1111,characters!A:A,characters!B:B)=-1, LOOKUP(A1111,characters!A:A,characters!B:B)+0.1&gt;=B1111),1,0)</f>
        <v/>
      </c>
    </row>
    <row r="1113" spans="1:14">
      <c r="A1113" s="3" t="s">
        <v>64</v>
      </c>
      <c r="B1113" s="3" t="s">
        <v>9</v>
      </c>
      <c r="C1113" s="3" t="s">
        <v>17</v>
      </c>
      <c r="D1113" s="3" t="s">
        <v>89</v>
      </c>
      <c r="E1113" s="3" t="s">
        <v>87</v>
      </c>
      <c r="F1113" s="3" t="s">
        <v>12</v>
      </c>
      <c r="G1113" s="3" t="s">
        <v>68</v>
      </c>
      <c r="H1113" s="3" t="s">
        <v>88</v>
      </c>
      <c r="I1113" s="3" t="s">
        <v>13</v>
      </c>
      <c r="J1113" s="3" t="s">
        <v>114</v>
      </c>
      <c r="K1113" s="3" t="s">
        <v>90</v>
      </c>
      <c r="L1113" s="3" t="s">
        <v>69</v>
      </c>
    </row>
    <row r="1114" spans="1:14">
      <c r="A1114" s="4" t="s">
        <v>22</v>
      </c>
      <c r="B1114" s="5" t="s">
        <v>23</v>
      </c>
      <c r="C1114" s="6">
        <f>IF(SUM(M1115:M1141)=0,0,SUM(C1115:C1141)/SUM(M1115:M1141))</f>
        <v/>
      </c>
      <c r="D1114" s="6">
        <f>IF(SUM(M1115:M1141)=0,0,SUM(D1115:D1141)/SUM(M1115:M1141))</f>
        <v/>
      </c>
      <c r="E1114" s="6">
        <f>IF(SUM(M1115:M1141)=0,0,SUM(E1115:E1141)/SUM(M1115:M1141))</f>
        <v/>
      </c>
      <c r="F1114" s="6">
        <f>IF(SUM(M1115:M1141)=0,0,SUM(F1115:F1141)/SUM(M1115:M1141))</f>
        <v/>
      </c>
      <c r="G1114" s="6">
        <f>IF(SUM(M1115:M1141)=0,0,SUM(G1115:G1141)/SUM(M1115:M1141))</f>
        <v/>
      </c>
      <c r="H1114" s="6">
        <f>IF(SUM(M1115:M1141)=0,0,SUM(H1115:H1141)/SUM(M1115:M1141))</f>
        <v/>
      </c>
      <c r="I1114" s="6">
        <f>IF(SUM(M1115:M1141)=0,0,SUM(I1115:I1141)/SUM(M1115:M1141))</f>
        <v/>
      </c>
      <c r="J1114" s="6">
        <f>IF(SUM(M1115:M1141)=0,0,SUM(J1115:J1141)/SUM(M1115:M1141))</f>
        <v/>
      </c>
      <c r="K1114" s="6">
        <f>IF(SUM(M1115:M1141)=0,0,SUM(K1115:K1141)/SUM(M1115:M1141))</f>
        <v/>
      </c>
      <c r="L1114" s="6">
        <f>IF(SUM(M1115:M1141)=0,0,SUM(L1115:L1141)/SUM(M1115:M1141))</f>
        <v/>
      </c>
    </row>
    <row r="1115" spans="1:14">
      <c r="A1115" s="4" t="s">
        <v>61</v>
      </c>
      <c r="B1115" s="7">
        <v>1</v>
      </c>
      <c r="C1115" s="6">
        <f>IF(M1115=1,1.0,0)</f>
        <v/>
      </c>
      <c r="D1115" s="6">
        <f>IF(M1115=1,0.9,0)</f>
        <v/>
      </c>
      <c r="E1115" s="5" t="s">
        <v>23</v>
      </c>
      <c r="F1115" s="5" t="s">
        <v>23</v>
      </c>
      <c r="G1115" s="5" t="s">
        <v>23</v>
      </c>
      <c r="H1115" s="5" t="s">
        <v>23</v>
      </c>
      <c r="I1115" s="5" t="s">
        <v>23</v>
      </c>
      <c r="J1115" s="5" t="s">
        <v>23</v>
      </c>
      <c r="K1115" s="5" t="s">
        <v>23</v>
      </c>
      <c r="L1115" s="5" t="s">
        <v>23</v>
      </c>
      <c r="M1115" s="8">
        <f>IF(OR(LOOKUP(A1115,characters!A:A,characters!B:B)=-1, LOOKUP(A1115,characters!A:A,characters!B:B)+0.1&gt;=B1115),1,0)</f>
        <v/>
      </c>
    </row>
    <row r="1116" spans="1:14">
      <c r="A1116" s="4" t="s">
        <v>75</v>
      </c>
      <c r="B1116" s="7">
        <v>0</v>
      </c>
      <c r="C1116" s="6">
        <f>IF(M1116=1,1.0,0)</f>
        <v/>
      </c>
      <c r="D1116" s="5" t="s">
        <v>23</v>
      </c>
      <c r="E1116" s="6">
        <f>IF(M1116=1,1.0,0)</f>
        <v/>
      </c>
      <c r="F1116" s="5" t="s">
        <v>23</v>
      </c>
      <c r="G1116" s="5" t="s">
        <v>23</v>
      </c>
      <c r="H1116" s="5" t="s">
        <v>23</v>
      </c>
      <c r="I1116" s="5" t="s">
        <v>23</v>
      </c>
      <c r="J1116" s="5" t="s">
        <v>23</v>
      </c>
      <c r="K1116" s="5" t="s">
        <v>23</v>
      </c>
      <c r="L1116" s="5" t="s">
        <v>23</v>
      </c>
      <c r="M1116" s="8">
        <f>IF(OR(LOOKUP(A1116,characters!A:A,characters!B:B)=-1, LOOKUP(A1116,characters!A:A,characters!B:B)+0.1&gt;=B1116),1,0)</f>
        <v/>
      </c>
    </row>
    <row r="1117" spans="1:14">
      <c r="A1117" s="4" t="s">
        <v>57</v>
      </c>
      <c r="B1117" s="7">
        <v>3</v>
      </c>
      <c r="C1117" s="6">
        <f>IF(M1117=1,0.9,0)</f>
        <v/>
      </c>
      <c r="D1117" s="6">
        <f>IF(M1117=1,1.0,0)</f>
        <v/>
      </c>
      <c r="E1117" s="5" t="s">
        <v>23</v>
      </c>
      <c r="F1117" s="5" t="s">
        <v>23</v>
      </c>
      <c r="G1117" s="5" t="s">
        <v>23</v>
      </c>
      <c r="H1117" s="5" t="s">
        <v>23</v>
      </c>
      <c r="I1117" s="5" t="s">
        <v>23</v>
      </c>
      <c r="J1117" s="5" t="s">
        <v>23</v>
      </c>
      <c r="K1117" s="5" t="s">
        <v>23</v>
      </c>
      <c r="L1117" s="5" t="s">
        <v>23</v>
      </c>
      <c r="M1117" s="8">
        <f>IF(OR(LOOKUP(A1117,characters!A:A,characters!B:B)=-1, LOOKUP(A1117,characters!A:A,characters!B:B)+0.1&gt;=B1117),1,0)</f>
        <v/>
      </c>
    </row>
    <row r="1118" spans="1:14">
      <c r="A1118" s="4" t="s">
        <v>25</v>
      </c>
      <c r="B1118" s="7">
        <v>0</v>
      </c>
      <c r="C1118" s="5" t="s">
        <v>23</v>
      </c>
      <c r="D1118" s="5" t="s">
        <v>23</v>
      </c>
      <c r="E1118" s="5" t="s">
        <v>23</v>
      </c>
      <c r="F1118" s="6">
        <f>IF(M1118=1,1.0,0)</f>
        <v/>
      </c>
      <c r="G1118" s="6">
        <f>IF(M1118=1,1.0,0)</f>
        <v/>
      </c>
      <c r="H1118" s="5" t="s">
        <v>23</v>
      </c>
      <c r="I1118" s="5" t="s">
        <v>23</v>
      </c>
      <c r="J1118" s="5" t="s">
        <v>23</v>
      </c>
      <c r="K1118" s="5" t="s">
        <v>23</v>
      </c>
      <c r="L1118" s="5" t="s">
        <v>23</v>
      </c>
      <c r="M1118" s="8">
        <f>IF(OR(LOOKUP(A1118,characters!A:A,characters!B:B)=-1, LOOKUP(A1118,characters!A:A,characters!B:B)+0.1&gt;=B1118),1,0)</f>
        <v/>
      </c>
    </row>
    <row r="1119" spans="1:14">
      <c r="A1119" s="4" t="s">
        <v>125</v>
      </c>
      <c r="B1119" s="7">
        <v>1</v>
      </c>
      <c r="C1119" s="5" t="s">
        <v>23</v>
      </c>
      <c r="D1119" s="5" t="s">
        <v>23</v>
      </c>
      <c r="E1119" s="5" t="s">
        <v>23</v>
      </c>
      <c r="F1119" s="5" t="s">
        <v>23</v>
      </c>
      <c r="G1119" s="5" t="s">
        <v>23</v>
      </c>
      <c r="H1119" s="6">
        <f>IF(M1119=1,1.0,0)</f>
        <v/>
      </c>
      <c r="I1119" s="6">
        <f>IF(M1119=1,0.99,0)</f>
        <v/>
      </c>
      <c r="J1119" s="5" t="s">
        <v>23</v>
      </c>
      <c r="K1119" s="5" t="s">
        <v>23</v>
      </c>
      <c r="L1119" s="5" t="s">
        <v>23</v>
      </c>
      <c r="M1119" s="8">
        <f>IF(OR(LOOKUP(A1119,characters!A:A,characters!B:B)=-1, LOOKUP(A1119,characters!A:A,characters!B:B)+0.1&gt;=B1119),1,0)</f>
        <v/>
      </c>
    </row>
    <row r="1120" spans="1:14">
      <c r="A1120" s="4" t="s">
        <v>72</v>
      </c>
      <c r="B1120" s="7">
        <v>1</v>
      </c>
      <c r="C1120" s="6">
        <f>IF(M1120=1,0.9,0)</f>
        <v/>
      </c>
      <c r="D1120" s="5" t="s">
        <v>23</v>
      </c>
      <c r="E1120" s="6">
        <f>IF(M1120=1,1.0,0)</f>
        <v/>
      </c>
      <c r="F1120" s="5" t="s">
        <v>23</v>
      </c>
      <c r="G1120" s="5" t="s">
        <v>23</v>
      </c>
      <c r="H1120" s="5" t="s">
        <v>23</v>
      </c>
      <c r="I1120" s="5" t="s">
        <v>23</v>
      </c>
      <c r="J1120" s="5" t="s">
        <v>23</v>
      </c>
      <c r="K1120" s="5" t="s">
        <v>23</v>
      </c>
      <c r="L1120" s="5" t="s">
        <v>23</v>
      </c>
      <c r="M1120" s="8">
        <f>IF(OR(LOOKUP(A1120,characters!A:A,characters!B:B)=-1, LOOKUP(A1120,characters!A:A,characters!B:B)+0.1&gt;=B1120),1,0)</f>
        <v/>
      </c>
    </row>
    <row r="1121" spans="1:13">
      <c r="A1121" s="4" t="s">
        <v>104</v>
      </c>
      <c r="B1121" s="7">
        <v>3</v>
      </c>
      <c r="C1121" s="6">
        <f>IF(M1121=1,0.99,0)</f>
        <v/>
      </c>
      <c r="D1121" s="5" t="s">
        <v>23</v>
      </c>
      <c r="E1121" s="5" t="s">
        <v>23</v>
      </c>
      <c r="F1121" s="5" t="s">
        <v>23</v>
      </c>
      <c r="G1121" s="5" t="s">
        <v>23</v>
      </c>
      <c r="H1121" s="6">
        <f>IF(M1121=1,1.0,0)</f>
        <v/>
      </c>
      <c r="I1121" s="5" t="s">
        <v>23</v>
      </c>
      <c r="J1121" s="5" t="s">
        <v>23</v>
      </c>
      <c r="K1121" s="5" t="s">
        <v>23</v>
      </c>
      <c r="L1121" s="5" t="s">
        <v>23</v>
      </c>
      <c r="M1121" s="8">
        <f>IF(OR(LOOKUP(A1121,characters!A:A,characters!B:B)=-1, LOOKUP(A1121,characters!A:A,characters!B:B)+0.1&gt;=B1121),1,0)</f>
        <v/>
      </c>
    </row>
    <row r="1122" spans="1:13">
      <c r="A1122" s="4" t="s">
        <v>81</v>
      </c>
      <c r="B1122" s="7">
        <v>3</v>
      </c>
      <c r="C1122" s="6">
        <f>IF(M1122=1,0.99,0)</f>
        <v/>
      </c>
      <c r="D1122" s="5" t="s">
        <v>23</v>
      </c>
      <c r="E1122" s="5" t="s">
        <v>23</v>
      </c>
      <c r="F1122" s="5" t="s">
        <v>23</v>
      </c>
      <c r="G1122" s="6">
        <f>IF(M1122=1,1.0,0)</f>
        <v/>
      </c>
      <c r="H1122" s="5" t="s">
        <v>23</v>
      </c>
      <c r="I1122" s="5" t="s">
        <v>23</v>
      </c>
      <c r="J1122" s="5" t="s">
        <v>23</v>
      </c>
      <c r="K1122" s="5" t="s">
        <v>23</v>
      </c>
      <c r="L1122" s="5" t="s">
        <v>23</v>
      </c>
      <c r="M1122" s="8">
        <f>IF(OR(LOOKUP(A1122,characters!A:A,characters!B:B)=-1, LOOKUP(A1122,characters!A:A,characters!B:B)+0.1&gt;=B1122),1,0)</f>
        <v/>
      </c>
    </row>
    <row r="1123" spans="1:13">
      <c r="A1123" s="4" t="s">
        <v>82</v>
      </c>
      <c r="B1123" s="7">
        <v>2</v>
      </c>
      <c r="C1123" s="6">
        <f>IF(M1123=1,0.9,0)</f>
        <v/>
      </c>
      <c r="D1123" s="5" t="s">
        <v>23</v>
      </c>
      <c r="E1123" s="5" t="s">
        <v>23</v>
      </c>
      <c r="F1123" s="5" t="s">
        <v>23</v>
      </c>
      <c r="G1123" s="5" t="s">
        <v>23</v>
      </c>
      <c r="H1123" s="6">
        <f>IF(M1123=1,1.0,0)</f>
        <v/>
      </c>
      <c r="I1123" s="5" t="s">
        <v>23</v>
      </c>
      <c r="J1123" s="5" t="s">
        <v>23</v>
      </c>
      <c r="K1123" s="5" t="s">
        <v>23</v>
      </c>
      <c r="L1123" s="5" t="s">
        <v>23</v>
      </c>
      <c r="M1123" s="8">
        <f>IF(OR(LOOKUP(A1123,characters!A:A,characters!B:B)=-1, LOOKUP(A1123,characters!A:A,characters!B:B)+0.1&gt;=B1123),1,0)</f>
        <v/>
      </c>
    </row>
    <row r="1124" spans="1:13">
      <c r="A1124" s="4" t="s">
        <v>112</v>
      </c>
      <c r="B1124" s="7">
        <v>0</v>
      </c>
      <c r="C1124" s="6">
        <f>IF(M1124=1,0.9,0)</f>
        <v/>
      </c>
      <c r="D1124" s="5" t="s">
        <v>23</v>
      </c>
      <c r="E1124" s="5" t="s">
        <v>23</v>
      </c>
      <c r="F1124" s="5" t="s">
        <v>23</v>
      </c>
      <c r="G1124" s="5" t="s">
        <v>23</v>
      </c>
      <c r="H1124" s="5" t="s">
        <v>23</v>
      </c>
      <c r="I1124" s="5" t="s">
        <v>23</v>
      </c>
      <c r="J1124" s="6">
        <f>IF(M1124=1,1.0,0)</f>
        <v/>
      </c>
      <c r="K1124" s="5" t="s">
        <v>23</v>
      </c>
      <c r="L1124" s="5" t="s">
        <v>23</v>
      </c>
      <c r="M1124" s="8">
        <f>IF(OR(LOOKUP(A1124,characters!A:A,characters!B:B)=-1, LOOKUP(A1124,characters!A:A,characters!B:B)+0.1&gt;=B1124),1,0)</f>
        <v/>
      </c>
    </row>
    <row r="1125" spans="1:13">
      <c r="A1125" s="4" t="s">
        <v>100</v>
      </c>
      <c r="B1125" s="7">
        <v>0</v>
      </c>
      <c r="C1125" s="6">
        <f>IF(M1125=1,0.9,0)</f>
        <v/>
      </c>
      <c r="D1125" s="5" t="s">
        <v>23</v>
      </c>
      <c r="E1125" s="5" t="s">
        <v>23</v>
      </c>
      <c r="F1125" s="5" t="s">
        <v>23</v>
      </c>
      <c r="G1125" s="5" t="s">
        <v>23</v>
      </c>
      <c r="H1125" s="5" t="s">
        <v>23</v>
      </c>
      <c r="I1125" s="5" t="s">
        <v>23</v>
      </c>
      <c r="J1125" s="5" t="s">
        <v>23</v>
      </c>
      <c r="K1125" s="6">
        <f>IF(M1125=1,1.0,0)</f>
        <v/>
      </c>
      <c r="L1125" s="5" t="s">
        <v>23</v>
      </c>
      <c r="M1125" s="8">
        <f>IF(OR(LOOKUP(A1125,characters!A:A,characters!B:B)=-1, LOOKUP(A1125,characters!A:A,characters!B:B)+0.1&gt;=B1125),1,0)</f>
        <v/>
      </c>
    </row>
    <row r="1126" spans="1:13">
      <c r="A1126" s="4" t="s">
        <v>86</v>
      </c>
      <c r="B1126" s="7">
        <v>3</v>
      </c>
      <c r="C1126" s="5" t="s">
        <v>23</v>
      </c>
      <c r="D1126" s="5" t="s">
        <v>23</v>
      </c>
      <c r="E1126" s="5" t="s">
        <v>23</v>
      </c>
      <c r="F1126" s="5" t="s">
        <v>23</v>
      </c>
      <c r="G1126" s="5" t="s">
        <v>23</v>
      </c>
      <c r="H1126" s="5" t="s">
        <v>23</v>
      </c>
      <c r="I1126" s="5" t="s">
        <v>23</v>
      </c>
      <c r="J1126" s="5" t="s">
        <v>23</v>
      </c>
      <c r="K1126" s="5" t="s">
        <v>23</v>
      </c>
      <c r="L1126" s="6">
        <f>IF(M1126=1,1.0,0)</f>
        <v/>
      </c>
      <c r="M1126" s="8">
        <f>IF(OR(LOOKUP(A1126,characters!A:A,characters!B:B)=-1, LOOKUP(A1126,characters!A:A,characters!B:B)+0.1&gt;=B1126),1,0)</f>
        <v/>
      </c>
    </row>
    <row r="1127" spans="1:13">
      <c r="A1127" s="4" t="s">
        <v>58</v>
      </c>
      <c r="B1127" s="7">
        <v>0</v>
      </c>
      <c r="C1127" s="6">
        <f>IF(M1127=1,0.9,0)</f>
        <v/>
      </c>
      <c r="D1127" s="6">
        <f>IF(M1127=1,1.0,0)</f>
        <v/>
      </c>
      <c r="E1127" s="5" t="s">
        <v>23</v>
      </c>
      <c r="F1127" s="5" t="s">
        <v>23</v>
      </c>
      <c r="G1127" s="5" t="s">
        <v>23</v>
      </c>
      <c r="H1127" s="5" t="s">
        <v>23</v>
      </c>
      <c r="I1127" s="5" t="s">
        <v>23</v>
      </c>
      <c r="J1127" s="5" t="s">
        <v>23</v>
      </c>
      <c r="K1127" s="5" t="s">
        <v>23</v>
      </c>
      <c r="L1127" s="5" t="s">
        <v>23</v>
      </c>
      <c r="M1127" s="8">
        <f>IF(OR(LOOKUP(A1127,characters!A:A,characters!B:B)=-1, LOOKUP(A1127,characters!A:A,characters!B:B)+0.1&gt;=B1127),1,0)</f>
        <v/>
      </c>
    </row>
    <row r="1128" spans="1:13">
      <c r="A1128" s="4" t="s">
        <v>106</v>
      </c>
      <c r="B1128" s="7">
        <v>3</v>
      </c>
      <c r="C1128" s="6">
        <f>IF(M1128=1,0.9,0)</f>
        <v/>
      </c>
      <c r="D1128" s="5" t="s">
        <v>23</v>
      </c>
      <c r="E1128" s="5" t="s">
        <v>23</v>
      </c>
      <c r="F1128" s="5" t="s">
        <v>23</v>
      </c>
      <c r="G1128" s="5" t="s">
        <v>23</v>
      </c>
      <c r="H1128" s="5" t="s">
        <v>23</v>
      </c>
      <c r="I1128" s="5" t="s">
        <v>23</v>
      </c>
      <c r="J1128" s="6">
        <f>IF(M1128=1,1.0,0)</f>
        <v/>
      </c>
      <c r="K1128" s="5" t="s">
        <v>23</v>
      </c>
      <c r="L1128" s="5" t="s">
        <v>23</v>
      </c>
      <c r="M1128" s="8">
        <f>IF(OR(LOOKUP(A1128,characters!A:A,characters!B:B)=-1, LOOKUP(A1128,characters!A:A,characters!B:B)+0.1&gt;=B1128),1,0)</f>
        <v/>
      </c>
    </row>
    <row r="1129" spans="1:13">
      <c r="A1129" s="4" t="s">
        <v>110</v>
      </c>
      <c r="B1129" s="7">
        <v>3</v>
      </c>
      <c r="C1129" s="6">
        <f>IF(M1129=1,0.99,0)</f>
        <v/>
      </c>
      <c r="D1129" s="5" t="s">
        <v>23</v>
      </c>
      <c r="E1129" s="5" t="s">
        <v>23</v>
      </c>
      <c r="F1129" s="5" t="s">
        <v>23</v>
      </c>
      <c r="G1129" s="6">
        <f>IF(M1129=1,1.0,0)</f>
        <v/>
      </c>
      <c r="H1129" s="5" t="s">
        <v>23</v>
      </c>
      <c r="I1129" s="5" t="s">
        <v>23</v>
      </c>
      <c r="J1129" s="5" t="s">
        <v>23</v>
      </c>
      <c r="K1129" s="5" t="s">
        <v>23</v>
      </c>
      <c r="L1129" s="5" t="s">
        <v>23</v>
      </c>
      <c r="M1129" s="8">
        <f>IF(OR(LOOKUP(A1129,characters!A:A,characters!B:B)=-1, LOOKUP(A1129,characters!A:A,characters!B:B)+0.1&gt;=B1129),1,0)</f>
        <v/>
      </c>
    </row>
    <row r="1130" spans="1:13">
      <c r="A1130" s="4" t="s">
        <v>107</v>
      </c>
      <c r="B1130" s="7">
        <v>0</v>
      </c>
      <c r="C1130" s="6">
        <f>IF(M1130=1,0.99,0)</f>
        <v/>
      </c>
      <c r="D1130" s="5" t="s">
        <v>23</v>
      </c>
      <c r="E1130" s="5" t="s">
        <v>23</v>
      </c>
      <c r="F1130" s="5" t="s">
        <v>23</v>
      </c>
      <c r="G1130" s="5" t="s">
        <v>23</v>
      </c>
      <c r="H1130" s="5" t="s">
        <v>23</v>
      </c>
      <c r="I1130" s="5" t="s">
        <v>23</v>
      </c>
      <c r="J1130" s="6">
        <f>IF(M1130=1,1.0,0)</f>
        <v/>
      </c>
      <c r="K1130" s="5" t="s">
        <v>23</v>
      </c>
      <c r="L1130" s="5" t="s">
        <v>23</v>
      </c>
      <c r="M1130" s="8">
        <f>IF(OR(LOOKUP(A1130,characters!A:A,characters!B:B)=-1, LOOKUP(A1130,characters!A:A,characters!B:B)+0.1&gt;=B1130),1,0)</f>
        <v/>
      </c>
    </row>
    <row r="1131" spans="1:13">
      <c r="A1131" s="4" t="s">
        <v>83</v>
      </c>
      <c r="B1131" s="7">
        <v>2</v>
      </c>
      <c r="C1131" s="5" t="s">
        <v>23</v>
      </c>
      <c r="D1131" s="6">
        <f>IF(M1131=1,1.0,0)</f>
        <v/>
      </c>
      <c r="E1131" s="5" t="s">
        <v>23</v>
      </c>
      <c r="F1131" s="5" t="s">
        <v>23</v>
      </c>
      <c r="G1131" s="5" t="s">
        <v>23</v>
      </c>
      <c r="H1131" s="5" t="s">
        <v>23</v>
      </c>
      <c r="I1131" s="5" t="s">
        <v>23</v>
      </c>
      <c r="J1131" s="5" t="s">
        <v>23</v>
      </c>
      <c r="K1131" s="5" t="s">
        <v>23</v>
      </c>
      <c r="L1131" s="5" t="s">
        <v>23</v>
      </c>
      <c r="M1131" s="8">
        <f>IF(OR(LOOKUP(A1131,characters!A:A,characters!B:B)=-1, LOOKUP(A1131,characters!A:A,characters!B:B)+0.1&gt;=B1131),1,0)</f>
        <v/>
      </c>
    </row>
    <row r="1132" spans="1:13">
      <c r="A1132" s="4" t="s">
        <v>108</v>
      </c>
      <c r="B1132" s="7">
        <v>2</v>
      </c>
      <c r="C1132" s="5" t="s">
        <v>23</v>
      </c>
      <c r="D1132" s="5" t="s">
        <v>23</v>
      </c>
      <c r="E1132" s="5" t="s">
        <v>23</v>
      </c>
      <c r="F1132" s="5" t="s">
        <v>23</v>
      </c>
      <c r="G1132" s="5" t="s">
        <v>23</v>
      </c>
      <c r="H1132" s="5" t="s">
        <v>23</v>
      </c>
      <c r="I1132" s="5" t="s">
        <v>23</v>
      </c>
      <c r="J1132" s="5" t="s">
        <v>23</v>
      </c>
      <c r="K1132" s="5" t="s">
        <v>23</v>
      </c>
      <c r="L1132" s="6">
        <f>IF(M1132=1,1.0,0)</f>
        <v/>
      </c>
      <c r="M1132" s="8">
        <f>IF(OR(LOOKUP(A1132,characters!A:A,characters!B:B)=-1, LOOKUP(A1132,characters!A:A,characters!B:B)+0.1&gt;=B1132),1,0)</f>
        <v/>
      </c>
    </row>
    <row r="1133" spans="1:13">
      <c r="A1133" s="4" t="s">
        <v>109</v>
      </c>
      <c r="B1133" s="7">
        <v>2</v>
      </c>
      <c r="C1133" s="6">
        <f>IF(M1133=1,0.99,0)</f>
        <v/>
      </c>
      <c r="D1133" s="5" t="s">
        <v>23</v>
      </c>
      <c r="E1133" s="5" t="s">
        <v>23</v>
      </c>
      <c r="F1133" s="5" t="s">
        <v>23</v>
      </c>
      <c r="G1133" s="5" t="s">
        <v>23</v>
      </c>
      <c r="H1133" s="5" t="s">
        <v>23</v>
      </c>
      <c r="I1133" s="5" t="s">
        <v>23</v>
      </c>
      <c r="J1133" s="5" t="s">
        <v>23</v>
      </c>
      <c r="K1133" s="5" t="s">
        <v>23</v>
      </c>
      <c r="L1133" s="6">
        <f>IF(M1133=1,1.0,0)</f>
        <v/>
      </c>
      <c r="M1133" s="8">
        <f>IF(OR(LOOKUP(A1133,characters!A:A,characters!B:B)=-1, LOOKUP(A1133,characters!A:A,characters!B:B)+0.1&gt;=B1133),1,0)</f>
        <v/>
      </c>
    </row>
    <row r="1134" spans="1:13">
      <c r="A1134" s="4" t="s">
        <v>60</v>
      </c>
      <c r="B1134" s="7">
        <v>3</v>
      </c>
      <c r="C1134" s="6">
        <f>IF(M1134=1,0.99,0)</f>
        <v/>
      </c>
      <c r="D1134" s="6">
        <f>IF(M1134=1,1.0,0)</f>
        <v/>
      </c>
      <c r="E1134" s="5" t="s">
        <v>23</v>
      </c>
      <c r="F1134" s="5" t="s">
        <v>23</v>
      </c>
      <c r="G1134" s="5" t="s">
        <v>23</v>
      </c>
      <c r="H1134" s="5" t="s">
        <v>23</v>
      </c>
      <c r="I1134" s="5" t="s">
        <v>23</v>
      </c>
      <c r="J1134" s="5" t="s">
        <v>23</v>
      </c>
      <c r="K1134" s="5" t="s">
        <v>23</v>
      </c>
      <c r="L1134" s="5" t="s">
        <v>23</v>
      </c>
      <c r="M1134" s="8">
        <f>IF(OR(LOOKUP(A1134,characters!A:A,characters!B:B)=-1, LOOKUP(A1134,characters!A:A,characters!B:B)+0.1&gt;=B1134),1,0)</f>
        <v/>
      </c>
    </row>
    <row r="1135" spans="1:13">
      <c r="A1135" s="4" t="s">
        <v>73</v>
      </c>
      <c r="B1135" s="7">
        <v>2</v>
      </c>
      <c r="C1135" s="6">
        <f>IF(M1135=1,0.99,0)</f>
        <v/>
      </c>
      <c r="D1135" s="5" t="s">
        <v>23</v>
      </c>
      <c r="E1135" s="6">
        <f>IF(M1135=1,1.0,0)</f>
        <v/>
      </c>
      <c r="F1135" s="5" t="s">
        <v>23</v>
      </c>
      <c r="G1135" s="5" t="s">
        <v>23</v>
      </c>
      <c r="H1135" s="5" t="s">
        <v>23</v>
      </c>
      <c r="I1135" s="5" t="s">
        <v>23</v>
      </c>
      <c r="J1135" s="5" t="s">
        <v>23</v>
      </c>
      <c r="K1135" s="5" t="s">
        <v>23</v>
      </c>
      <c r="L1135" s="5" t="s">
        <v>23</v>
      </c>
      <c r="M1135" s="8">
        <f>IF(OR(LOOKUP(A1135,characters!A:A,characters!B:B)=-1, LOOKUP(A1135,characters!A:A,characters!B:B)+0.1&gt;=B1135),1,0)</f>
        <v/>
      </c>
    </row>
    <row r="1136" spans="1:13">
      <c r="A1136" s="4" t="s">
        <v>84</v>
      </c>
      <c r="B1136" s="7">
        <v>3</v>
      </c>
      <c r="C1136" s="6">
        <f>IF(M1136=1,0.9,0)</f>
        <v/>
      </c>
      <c r="D1136" s="5" t="s">
        <v>23</v>
      </c>
      <c r="E1136" s="5" t="s">
        <v>23</v>
      </c>
      <c r="F1136" s="5" t="s">
        <v>23</v>
      </c>
      <c r="G1136" s="5" t="s">
        <v>23</v>
      </c>
      <c r="H1136" s="5" t="s">
        <v>23</v>
      </c>
      <c r="I1136" s="5" t="s">
        <v>23</v>
      </c>
      <c r="J1136" s="5" t="s">
        <v>23</v>
      </c>
      <c r="K1136" s="6">
        <f>IF(M1136=1,1.0,0)</f>
        <v/>
      </c>
      <c r="L1136" s="5" t="s">
        <v>23</v>
      </c>
      <c r="M1136" s="8">
        <f>IF(OR(LOOKUP(A1136,characters!A:A,characters!B:B)=-1, LOOKUP(A1136,characters!A:A,characters!B:B)+0.1&gt;=B1136),1,0)</f>
        <v/>
      </c>
    </row>
    <row r="1137" spans="1:13">
      <c r="A1137" s="4" t="s">
        <v>74</v>
      </c>
      <c r="B1137" s="7">
        <v>2</v>
      </c>
      <c r="C1137" s="6">
        <f>IF(M1137=1,0.9,0)</f>
        <v/>
      </c>
      <c r="D1137" s="5" t="s">
        <v>23</v>
      </c>
      <c r="E1137" s="6">
        <f>IF(M1137=1,1.0,0)</f>
        <v/>
      </c>
      <c r="F1137" s="5" t="s">
        <v>23</v>
      </c>
      <c r="G1137" s="5" t="s">
        <v>23</v>
      </c>
      <c r="H1137" s="5" t="s">
        <v>23</v>
      </c>
      <c r="I1137" s="5" t="s">
        <v>23</v>
      </c>
      <c r="J1137" s="5" t="s">
        <v>23</v>
      </c>
      <c r="K1137" s="5" t="s">
        <v>23</v>
      </c>
      <c r="L1137" s="5" t="s">
        <v>23</v>
      </c>
      <c r="M1137" s="8">
        <f>IF(OR(LOOKUP(A1137,characters!A:A,characters!B:B)=-1, LOOKUP(A1137,characters!A:A,characters!B:B)+0.1&gt;=B1137),1,0)</f>
        <v/>
      </c>
    </row>
    <row r="1138" spans="1:13">
      <c r="A1138" s="4" t="s">
        <v>111</v>
      </c>
      <c r="B1138" s="7">
        <v>3</v>
      </c>
      <c r="C1138" s="6">
        <f>IF(M1138=1,0.9,0)</f>
        <v/>
      </c>
      <c r="D1138" s="5" t="s">
        <v>23</v>
      </c>
      <c r="E1138" s="5" t="s">
        <v>23</v>
      </c>
      <c r="F1138" s="5" t="s">
        <v>23</v>
      </c>
      <c r="G1138" s="6">
        <f>IF(M1138=1,1.0,0)</f>
        <v/>
      </c>
      <c r="H1138" s="5" t="s">
        <v>23</v>
      </c>
      <c r="I1138" s="5" t="s">
        <v>23</v>
      </c>
      <c r="J1138" s="5" t="s">
        <v>23</v>
      </c>
      <c r="K1138" s="5" t="s">
        <v>23</v>
      </c>
      <c r="L1138" s="5" t="s">
        <v>23</v>
      </c>
      <c r="M1138" s="8">
        <f>IF(OR(LOOKUP(A1138,characters!A:A,characters!B:B)=-1, LOOKUP(A1138,characters!A:A,characters!B:B)+0.1&gt;=B1138),1,0)</f>
        <v/>
      </c>
    </row>
    <row r="1139" spans="1:13">
      <c r="A1139" s="4" t="s">
        <v>113</v>
      </c>
      <c r="B1139" s="7">
        <v>2</v>
      </c>
      <c r="C1139" s="6">
        <f>IF(M1139=1,1.0,0)</f>
        <v/>
      </c>
      <c r="D1139" s="5" t="s">
        <v>23</v>
      </c>
      <c r="E1139" s="5" t="s">
        <v>23</v>
      </c>
      <c r="F1139" s="5" t="s">
        <v>23</v>
      </c>
      <c r="G1139" s="5" t="s">
        <v>23</v>
      </c>
      <c r="H1139" s="5" t="s">
        <v>23</v>
      </c>
      <c r="I1139" s="5" t="s">
        <v>23</v>
      </c>
      <c r="J1139" s="5" t="s">
        <v>23</v>
      </c>
      <c r="K1139" s="5" t="s">
        <v>23</v>
      </c>
      <c r="L1139" s="6">
        <f>IF(M1139=1,0.9,0)</f>
        <v/>
      </c>
      <c r="M1139" s="8">
        <f>IF(OR(LOOKUP(A1139,characters!A:A,characters!B:B)=-1, LOOKUP(A1139,characters!A:A,characters!B:B)+0.1&gt;=B1139),1,0)</f>
        <v/>
      </c>
    </row>
    <row r="1140" spans="1:13">
      <c r="A1140" s="4" t="s">
        <v>48</v>
      </c>
      <c r="B1140" s="7">
        <v>0</v>
      </c>
      <c r="C1140" s="6">
        <f>IF(M1140=1,0.9,0)</f>
        <v/>
      </c>
      <c r="D1140" s="5" t="s">
        <v>23</v>
      </c>
      <c r="E1140" s="5" t="s">
        <v>23</v>
      </c>
      <c r="F1140" s="5" t="s">
        <v>23</v>
      </c>
      <c r="G1140" s="6">
        <f>IF(M1140=1,1.0,0)</f>
        <v/>
      </c>
      <c r="H1140" s="5" t="s">
        <v>23</v>
      </c>
      <c r="I1140" s="5" t="s">
        <v>23</v>
      </c>
      <c r="J1140" s="5" t="s">
        <v>23</v>
      </c>
      <c r="K1140" s="5" t="s">
        <v>23</v>
      </c>
      <c r="L1140" s="5" t="s">
        <v>23</v>
      </c>
      <c r="M1140" s="8">
        <f>IF(OR(LOOKUP(A1140,characters!A:A,characters!B:B)=-1, LOOKUP(A1140,characters!A:A,characters!B:B)+0.1&gt;=B1140),1,0)</f>
        <v/>
      </c>
    </row>
    <row r="1141" spans="1:13">
      <c r="A1141" s="4" t="s">
        <v>85</v>
      </c>
      <c r="B1141" s="7">
        <v>0</v>
      </c>
      <c r="C1141" s="6">
        <f>IF(M1141=1,0.9,0)</f>
        <v/>
      </c>
      <c r="D1141" s="5" t="s">
        <v>23</v>
      </c>
      <c r="E1141" s="6">
        <f>IF(M1141=1,1.0,0)</f>
        <v/>
      </c>
      <c r="F1141" s="5" t="s">
        <v>23</v>
      </c>
      <c r="G1141" s="5" t="s">
        <v>23</v>
      </c>
      <c r="H1141" s="5" t="s">
        <v>23</v>
      </c>
      <c r="I1141" s="5" t="s">
        <v>23</v>
      </c>
      <c r="J1141" s="5" t="s">
        <v>23</v>
      </c>
      <c r="K1141" s="5" t="s">
        <v>23</v>
      </c>
      <c r="L1141" s="5" t="s">
        <v>23</v>
      </c>
      <c r="M1141" s="8">
        <f>IF(OR(LOOKUP(A1141,characters!A:A,characters!B:B)=-1, LOOKUP(A1141,characters!A:A,characters!B:B)+0.1&gt;=B1141),1,0)</f>
        <v/>
      </c>
    </row>
    <row r="1143" spans="1:13">
      <c r="A1143" s="3" t="s">
        <v>65</v>
      </c>
      <c r="B1143" s="3" t="s">
        <v>9</v>
      </c>
      <c r="C1143" s="3" t="s">
        <v>17</v>
      </c>
      <c r="D1143" s="3" t="s">
        <v>12</v>
      </c>
      <c r="E1143" s="3" t="s">
        <v>13</v>
      </c>
      <c r="F1143" s="3" t="s">
        <v>51</v>
      </c>
      <c r="G1143" s="3" t="s">
        <v>18</v>
      </c>
      <c r="H1143" s="3" t="s">
        <v>66</v>
      </c>
    </row>
    <row r="1144" spans="1:13">
      <c r="A1144" s="4" t="s">
        <v>22</v>
      </c>
      <c r="B1144" s="5" t="s">
        <v>23</v>
      </c>
      <c r="C1144" s="6">
        <f>IF(SUM(I1145:I1171)=0,0,SUM(C1145:C1171)/SUM(I1145:I1171))</f>
        <v/>
      </c>
      <c r="D1144" s="6">
        <f>IF(SUM(I1145:I1171)=0,0,SUM(D1145:D1171)/SUM(I1145:I1171))</f>
        <v/>
      </c>
      <c r="E1144" s="6">
        <f>IF(SUM(I1145:I1171)=0,0,SUM(E1145:E1171)/SUM(I1145:I1171))</f>
        <v/>
      </c>
      <c r="F1144" s="6">
        <f>IF(SUM(I1145:I1171)=0,0,SUM(F1145:F1171)/SUM(I1145:I1171))</f>
        <v/>
      </c>
      <c r="G1144" s="6">
        <f>IF(SUM(I1145:I1171)=0,0,SUM(G1145:G1171)/SUM(I1145:I1171))</f>
        <v/>
      </c>
      <c r="H1144" s="6">
        <f>IF(SUM(I1145:I1171)=0,0,SUM(H1145:H1171)/SUM(I1145:I1171))</f>
        <v/>
      </c>
    </row>
    <row r="1145" spans="1:13">
      <c r="A1145" s="4" t="s">
        <v>61</v>
      </c>
      <c r="B1145" s="7">
        <v>1</v>
      </c>
      <c r="C1145" s="6">
        <f>IF(I1145=1,1.0,0)</f>
        <v/>
      </c>
      <c r="D1145" s="5" t="s">
        <v>23</v>
      </c>
      <c r="E1145" s="5" t="s">
        <v>23</v>
      </c>
      <c r="F1145" s="5" t="s">
        <v>23</v>
      </c>
      <c r="G1145" s="5" t="s">
        <v>23</v>
      </c>
      <c r="H1145" s="5" t="s">
        <v>23</v>
      </c>
      <c r="I1145" s="8">
        <f>IF(OR(LOOKUP(A1145,characters!A:A,characters!B:B)=-1, LOOKUP(A1145,characters!A:A,characters!B:B)+0.1&gt;=B1145),1,0)</f>
        <v/>
      </c>
    </row>
    <row r="1146" spans="1:13">
      <c r="A1146" s="4" t="s">
        <v>75</v>
      </c>
      <c r="B1146" s="7">
        <v>0</v>
      </c>
      <c r="C1146" s="6">
        <f>IF(I1146=1,1.0,0)</f>
        <v/>
      </c>
      <c r="D1146" s="5" t="s">
        <v>23</v>
      </c>
      <c r="E1146" s="5" t="s">
        <v>23</v>
      </c>
      <c r="F1146" s="5" t="s">
        <v>23</v>
      </c>
      <c r="G1146" s="5" t="s">
        <v>23</v>
      </c>
      <c r="H1146" s="5" t="s">
        <v>23</v>
      </c>
      <c r="I1146" s="8">
        <f>IF(OR(LOOKUP(A1146,characters!A:A,characters!B:B)=-1, LOOKUP(A1146,characters!A:A,characters!B:B)+0.1&gt;=B1146),1,0)</f>
        <v/>
      </c>
    </row>
    <row r="1147" spans="1:13">
      <c r="A1147" s="4" t="s">
        <v>57</v>
      </c>
      <c r="B1147" s="7">
        <v>3</v>
      </c>
      <c r="C1147" s="6">
        <f>IF(I1147=1,1.0,0)</f>
        <v/>
      </c>
      <c r="D1147" s="5" t="s">
        <v>23</v>
      </c>
      <c r="E1147" s="5" t="s">
        <v>23</v>
      </c>
      <c r="F1147" s="5" t="s">
        <v>23</v>
      </c>
      <c r="G1147" s="5" t="s">
        <v>23</v>
      </c>
      <c r="H1147" s="5" t="s">
        <v>23</v>
      </c>
      <c r="I1147" s="8">
        <f>IF(OR(LOOKUP(A1147,characters!A:A,characters!B:B)=-1, LOOKUP(A1147,characters!A:A,characters!B:B)+0.1&gt;=B1147),1,0)</f>
        <v/>
      </c>
    </row>
    <row r="1148" spans="1:13">
      <c r="A1148" s="4" t="s">
        <v>25</v>
      </c>
      <c r="B1148" s="7">
        <v>0</v>
      </c>
      <c r="C1148" s="5" t="s">
        <v>23</v>
      </c>
      <c r="D1148" s="6">
        <f>IF(I1148=1,1.0,0)</f>
        <v/>
      </c>
      <c r="E1148" s="5" t="s">
        <v>23</v>
      </c>
      <c r="F1148" s="5" t="s">
        <v>23</v>
      </c>
      <c r="G1148" s="5" t="s">
        <v>23</v>
      </c>
      <c r="H1148" s="5" t="s">
        <v>23</v>
      </c>
      <c r="I1148" s="8">
        <f>IF(OR(LOOKUP(A1148,characters!A:A,characters!B:B)=-1, LOOKUP(A1148,characters!A:A,characters!B:B)+0.1&gt;=B1148),1,0)</f>
        <v/>
      </c>
    </row>
    <row r="1149" spans="1:13">
      <c r="A1149" s="4" t="s">
        <v>125</v>
      </c>
      <c r="B1149" s="7">
        <v>1</v>
      </c>
      <c r="C1149" s="5" t="s">
        <v>23</v>
      </c>
      <c r="D1149" s="5" t="s">
        <v>23</v>
      </c>
      <c r="E1149" s="6">
        <f>IF(I1149=1,1.0,0)</f>
        <v/>
      </c>
      <c r="F1149" s="5" t="s">
        <v>23</v>
      </c>
      <c r="G1149" s="5" t="s">
        <v>23</v>
      </c>
      <c r="H1149" s="5" t="s">
        <v>23</v>
      </c>
      <c r="I1149" s="8">
        <f>IF(OR(LOOKUP(A1149,characters!A:A,characters!B:B)=-1, LOOKUP(A1149,characters!A:A,characters!B:B)+0.1&gt;=B1149),1,0)</f>
        <v/>
      </c>
    </row>
    <row r="1150" spans="1:13">
      <c r="A1150" s="4" t="s">
        <v>72</v>
      </c>
      <c r="B1150" s="7">
        <v>1</v>
      </c>
      <c r="C1150" s="6">
        <f>IF(I1150=1,1.0,0)</f>
        <v/>
      </c>
      <c r="D1150" s="5" t="s">
        <v>23</v>
      </c>
      <c r="E1150" s="5" t="s">
        <v>23</v>
      </c>
      <c r="F1150" s="5" t="s">
        <v>23</v>
      </c>
      <c r="G1150" s="5" t="s">
        <v>23</v>
      </c>
      <c r="H1150" s="5" t="s">
        <v>23</v>
      </c>
      <c r="I1150" s="8">
        <f>IF(OR(LOOKUP(A1150,characters!A:A,characters!B:B)=-1, LOOKUP(A1150,characters!A:A,characters!B:B)+0.1&gt;=B1150),1,0)</f>
        <v/>
      </c>
    </row>
    <row r="1151" spans="1:13">
      <c r="A1151" s="4" t="s">
        <v>104</v>
      </c>
      <c r="B1151" s="7">
        <v>3</v>
      </c>
      <c r="C1151" s="6">
        <f>IF(I1151=1,1.0,0)</f>
        <v/>
      </c>
      <c r="D1151" s="5" t="s">
        <v>23</v>
      </c>
      <c r="E1151" s="5" t="s">
        <v>23</v>
      </c>
      <c r="F1151" s="5" t="s">
        <v>23</v>
      </c>
      <c r="G1151" s="5" t="s">
        <v>23</v>
      </c>
      <c r="H1151" s="5" t="s">
        <v>23</v>
      </c>
      <c r="I1151" s="8">
        <f>IF(OR(LOOKUP(A1151,characters!A:A,characters!B:B)=-1, LOOKUP(A1151,characters!A:A,characters!B:B)+0.1&gt;=B1151),1,0)</f>
        <v/>
      </c>
    </row>
    <row r="1152" spans="1:13">
      <c r="A1152" s="4" t="s">
        <v>81</v>
      </c>
      <c r="B1152" s="7">
        <v>3</v>
      </c>
      <c r="C1152" s="6">
        <f>IF(I1152=1,1.0,0)</f>
        <v/>
      </c>
      <c r="D1152" s="5" t="s">
        <v>23</v>
      </c>
      <c r="E1152" s="5" t="s">
        <v>23</v>
      </c>
      <c r="F1152" s="5" t="s">
        <v>23</v>
      </c>
      <c r="G1152" s="5" t="s">
        <v>23</v>
      </c>
      <c r="H1152" s="5" t="s">
        <v>23</v>
      </c>
      <c r="I1152" s="8">
        <f>IF(OR(LOOKUP(A1152,characters!A:A,characters!B:B)=-1, LOOKUP(A1152,characters!A:A,characters!B:B)+0.1&gt;=B1152),1,0)</f>
        <v/>
      </c>
    </row>
    <row r="1153" spans="1:9">
      <c r="A1153" s="4" t="s">
        <v>82</v>
      </c>
      <c r="B1153" s="7">
        <v>2</v>
      </c>
      <c r="C1153" s="6">
        <f>IF(I1153=1,1.0,0)</f>
        <v/>
      </c>
      <c r="D1153" s="5" t="s">
        <v>23</v>
      </c>
      <c r="E1153" s="5" t="s">
        <v>23</v>
      </c>
      <c r="F1153" s="5" t="s">
        <v>23</v>
      </c>
      <c r="G1153" s="5" t="s">
        <v>23</v>
      </c>
      <c r="H1153" s="5" t="s">
        <v>23</v>
      </c>
      <c r="I1153" s="8">
        <f>IF(OR(LOOKUP(A1153,characters!A:A,characters!B:B)=-1, LOOKUP(A1153,characters!A:A,characters!B:B)+0.1&gt;=B1153),1,0)</f>
        <v/>
      </c>
    </row>
    <row r="1154" spans="1:9">
      <c r="A1154" s="4" t="s">
        <v>112</v>
      </c>
      <c r="B1154" s="7">
        <v>0</v>
      </c>
      <c r="C1154" s="6">
        <f>IF(I1154=1,1.0,0)</f>
        <v/>
      </c>
      <c r="D1154" s="5" t="s">
        <v>23</v>
      </c>
      <c r="E1154" s="5" t="s">
        <v>23</v>
      </c>
      <c r="F1154" s="5" t="s">
        <v>23</v>
      </c>
      <c r="G1154" s="5" t="s">
        <v>23</v>
      </c>
      <c r="H1154" s="5" t="s">
        <v>23</v>
      </c>
      <c r="I1154" s="8">
        <f>IF(OR(LOOKUP(A1154,characters!A:A,characters!B:B)=-1, LOOKUP(A1154,characters!A:A,characters!B:B)+0.1&gt;=B1154),1,0)</f>
        <v/>
      </c>
    </row>
    <row r="1155" spans="1:9">
      <c r="A1155" s="4" t="s">
        <v>100</v>
      </c>
      <c r="B1155" s="7">
        <v>0</v>
      </c>
      <c r="C1155" s="6">
        <f>IF(I1155=1,1.0,0)</f>
        <v/>
      </c>
      <c r="D1155" s="5" t="s">
        <v>23</v>
      </c>
      <c r="E1155" s="5" t="s">
        <v>23</v>
      </c>
      <c r="F1155" s="5" t="s">
        <v>23</v>
      </c>
      <c r="G1155" s="5" t="s">
        <v>23</v>
      </c>
      <c r="H1155" s="5" t="s">
        <v>23</v>
      </c>
      <c r="I1155" s="8">
        <f>IF(OR(LOOKUP(A1155,characters!A:A,characters!B:B)=-1, LOOKUP(A1155,characters!A:A,characters!B:B)+0.1&gt;=B1155),1,0)</f>
        <v/>
      </c>
    </row>
    <row r="1156" spans="1:9">
      <c r="A1156" s="4" t="s">
        <v>86</v>
      </c>
      <c r="B1156" s="7">
        <v>3</v>
      </c>
      <c r="C1156" s="6">
        <f>IF(I1156=1,1.0,0)</f>
        <v/>
      </c>
      <c r="D1156" s="5" t="s">
        <v>23</v>
      </c>
      <c r="E1156" s="5" t="s">
        <v>23</v>
      </c>
      <c r="F1156" s="5" t="s">
        <v>23</v>
      </c>
      <c r="G1156" s="5" t="s">
        <v>23</v>
      </c>
      <c r="H1156" s="5" t="s">
        <v>23</v>
      </c>
      <c r="I1156" s="8">
        <f>IF(OR(LOOKUP(A1156,characters!A:A,characters!B:B)=-1, LOOKUP(A1156,characters!A:A,characters!B:B)+0.1&gt;=B1156),1,0)</f>
        <v/>
      </c>
    </row>
    <row r="1157" spans="1:9">
      <c r="A1157" s="4" t="s">
        <v>58</v>
      </c>
      <c r="B1157" s="7">
        <v>0</v>
      </c>
      <c r="C1157" s="6">
        <f>IF(I1157=1,1.0,0)</f>
        <v/>
      </c>
      <c r="D1157" s="5" t="s">
        <v>23</v>
      </c>
      <c r="E1157" s="5" t="s">
        <v>23</v>
      </c>
      <c r="F1157" s="5" t="s">
        <v>23</v>
      </c>
      <c r="G1157" s="5" t="s">
        <v>23</v>
      </c>
      <c r="H1157" s="5" t="s">
        <v>23</v>
      </c>
      <c r="I1157" s="8">
        <f>IF(OR(LOOKUP(A1157,characters!A:A,characters!B:B)=-1, LOOKUP(A1157,characters!A:A,characters!B:B)+0.1&gt;=B1157),1,0)</f>
        <v/>
      </c>
    </row>
    <row r="1158" spans="1:9">
      <c r="A1158" s="4" t="s">
        <v>106</v>
      </c>
      <c r="B1158" s="7">
        <v>3</v>
      </c>
      <c r="C1158" s="6">
        <f>IF(I1158=1,1.0,0)</f>
        <v/>
      </c>
      <c r="D1158" s="5" t="s">
        <v>23</v>
      </c>
      <c r="E1158" s="5" t="s">
        <v>23</v>
      </c>
      <c r="F1158" s="5" t="s">
        <v>23</v>
      </c>
      <c r="G1158" s="5" t="s">
        <v>23</v>
      </c>
      <c r="H1158" s="5" t="s">
        <v>23</v>
      </c>
      <c r="I1158" s="8">
        <f>IF(OR(LOOKUP(A1158,characters!A:A,characters!B:B)=-1, LOOKUP(A1158,characters!A:A,characters!B:B)+0.1&gt;=B1158),1,0)</f>
        <v/>
      </c>
    </row>
    <row r="1159" spans="1:9">
      <c r="A1159" s="4" t="s">
        <v>110</v>
      </c>
      <c r="B1159" s="7">
        <v>3</v>
      </c>
      <c r="C1159" s="6">
        <f>IF(I1159=1,1.0,0)</f>
        <v/>
      </c>
      <c r="D1159" s="5" t="s">
        <v>23</v>
      </c>
      <c r="E1159" s="5" t="s">
        <v>23</v>
      </c>
      <c r="F1159" s="5" t="s">
        <v>23</v>
      </c>
      <c r="G1159" s="5" t="s">
        <v>23</v>
      </c>
      <c r="H1159" s="5" t="s">
        <v>23</v>
      </c>
      <c r="I1159" s="8">
        <f>IF(OR(LOOKUP(A1159,characters!A:A,characters!B:B)=-1, LOOKUP(A1159,characters!A:A,characters!B:B)+0.1&gt;=B1159),1,0)</f>
        <v/>
      </c>
    </row>
    <row r="1160" spans="1:9">
      <c r="A1160" s="4" t="s">
        <v>107</v>
      </c>
      <c r="B1160" s="7">
        <v>0</v>
      </c>
      <c r="C1160" s="6">
        <f>IF(I1160=1,1.0,0)</f>
        <v/>
      </c>
      <c r="D1160" s="5" t="s">
        <v>23</v>
      </c>
      <c r="E1160" s="5" t="s">
        <v>23</v>
      </c>
      <c r="F1160" s="5" t="s">
        <v>23</v>
      </c>
      <c r="G1160" s="5" t="s">
        <v>23</v>
      </c>
      <c r="H1160" s="5" t="s">
        <v>23</v>
      </c>
      <c r="I1160" s="8">
        <f>IF(OR(LOOKUP(A1160,characters!A:A,characters!B:B)=-1, LOOKUP(A1160,characters!A:A,characters!B:B)+0.1&gt;=B1160),1,0)</f>
        <v/>
      </c>
    </row>
    <row r="1161" spans="1:9">
      <c r="A1161" s="4" t="s">
        <v>83</v>
      </c>
      <c r="B1161" s="7">
        <v>2</v>
      </c>
      <c r="C1161" s="5" t="s">
        <v>23</v>
      </c>
      <c r="D1161" s="5" t="s">
        <v>23</v>
      </c>
      <c r="E1161" s="5" t="s">
        <v>23</v>
      </c>
      <c r="F1161" s="6">
        <f>IF(I1161=1,1.0,0)</f>
        <v/>
      </c>
      <c r="G1161" s="5" t="s">
        <v>23</v>
      </c>
      <c r="H1161" s="5" t="s">
        <v>23</v>
      </c>
      <c r="I1161" s="8">
        <f>IF(OR(LOOKUP(A1161,characters!A:A,characters!B:B)=-1, LOOKUP(A1161,characters!A:A,characters!B:B)+0.1&gt;=B1161),1,0)</f>
        <v/>
      </c>
    </row>
    <row r="1162" spans="1:9">
      <c r="A1162" s="4" t="s">
        <v>108</v>
      </c>
      <c r="B1162" s="7">
        <v>2</v>
      </c>
      <c r="C1162" s="6">
        <f>IF(I1162=1,1.0,0)</f>
        <v/>
      </c>
      <c r="D1162" s="5" t="s">
        <v>23</v>
      </c>
      <c r="E1162" s="5" t="s">
        <v>23</v>
      </c>
      <c r="F1162" s="5" t="s">
        <v>23</v>
      </c>
      <c r="G1162" s="5" t="s">
        <v>23</v>
      </c>
      <c r="H1162" s="5" t="s">
        <v>23</v>
      </c>
      <c r="I1162" s="8">
        <f>IF(OR(LOOKUP(A1162,characters!A:A,characters!B:B)=-1, LOOKUP(A1162,characters!A:A,characters!B:B)+0.1&gt;=B1162),1,0)</f>
        <v/>
      </c>
    </row>
    <row r="1163" spans="1:9">
      <c r="A1163" s="4" t="s">
        <v>109</v>
      </c>
      <c r="B1163" s="7">
        <v>2</v>
      </c>
      <c r="C1163" s="6">
        <f>IF(I1163=1,1.0,0)</f>
        <v/>
      </c>
      <c r="D1163" s="5" t="s">
        <v>23</v>
      </c>
      <c r="E1163" s="5" t="s">
        <v>23</v>
      </c>
      <c r="F1163" s="5" t="s">
        <v>23</v>
      </c>
      <c r="G1163" s="5" t="s">
        <v>23</v>
      </c>
      <c r="H1163" s="5" t="s">
        <v>23</v>
      </c>
      <c r="I1163" s="8">
        <f>IF(OR(LOOKUP(A1163,characters!A:A,characters!B:B)=-1, LOOKUP(A1163,characters!A:A,characters!B:B)+0.1&gt;=B1163),1,0)</f>
        <v/>
      </c>
    </row>
    <row r="1164" spans="1:9">
      <c r="A1164" s="4" t="s">
        <v>60</v>
      </c>
      <c r="B1164" s="7">
        <v>3</v>
      </c>
      <c r="C1164" s="6">
        <f>IF(I1164=1,1.0,0)</f>
        <v/>
      </c>
      <c r="D1164" s="5" t="s">
        <v>23</v>
      </c>
      <c r="E1164" s="5" t="s">
        <v>23</v>
      </c>
      <c r="F1164" s="5" t="s">
        <v>23</v>
      </c>
      <c r="G1164" s="5" t="s">
        <v>23</v>
      </c>
      <c r="H1164" s="5" t="s">
        <v>23</v>
      </c>
      <c r="I1164" s="8">
        <f>IF(OR(LOOKUP(A1164,characters!A:A,characters!B:B)=-1, LOOKUP(A1164,characters!A:A,characters!B:B)+0.1&gt;=B1164),1,0)</f>
        <v/>
      </c>
    </row>
    <row r="1165" spans="1:9">
      <c r="A1165" s="4" t="s">
        <v>73</v>
      </c>
      <c r="B1165" s="7">
        <v>2</v>
      </c>
      <c r="C1165" s="6">
        <f>IF(I1165=1,1.0,0)</f>
        <v/>
      </c>
      <c r="D1165" s="5" t="s">
        <v>23</v>
      </c>
      <c r="E1165" s="5" t="s">
        <v>23</v>
      </c>
      <c r="F1165" s="5" t="s">
        <v>23</v>
      </c>
      <c r="G1165" s="6">
        <f>IF(I1165=1,1.0,0)</f>
        <v/>
      </c>
      <c r="H1165" s="5" t="s">
        <v>23</v>
      </c>
      <c r="I1165" s="8">
        <f>IF(OR(LOOKUP(A1165,characters!A:A,characters!B:B)=-1, LOOKUP(A1165,characters!A:A,characters!B:B)+0.1&gt;=B1165),1,0)</f>
        <v/>
      </c>
    </row>
    <row r="1166" spans="1:9">
      <c r="A1166" s="4" t="s">
        <v>84</v>
      </c>
      <c r="B1166" s="7">
        <v>3</v>
      </c>
      <c r="C1166" s="6">
        <f>IF(I1166=1,1.0,0)</f>
        <v/>
      </c>
      <c r="D1166" s="5" t="s">
        <v>23</v>
      </c>
      <c r="E1166" s="5" t="s">
        <v>23</v>
      </c>
      <c r="F1166" s="5" t="s">
        <v>23</v>
      </c>
      <c r="G1166" s="5" t="s">
        <v>23</v>
      </c>
      <c r="H1166" s="5" t="s">
        <v>23</v>
      </c>
      <c r="I1166" s="8">
        <f>IF(OR(LOOKUP(A1166,characters!A:A,characters!B:B)=-1, LOOKUP(A1166,characters!A:A,characters!B:B)+0.1&gt;=B1166),1,0)</f>
        <v/>
      </c>
    </row>
    <row r="1167" spans="1:9">
      <c r="A1167" s="4" t="s">
        <v>74</v>
      </c>
      <c r="B1167" s="7">
        <v>2</v>
      </c>
      <c r="C1167" s="6">
        <f>IF(I1167=1,1.0,0)</f>
        <v/>
      </c>
      <c r="D1167" s="5" t="s">
        <v>23</v>
      </c>
      <c r="E1167" s="5" t="s">
        <v>23</v>
      </c>
      <c r="F1167" s="5" t="s">
        <v>23</v>
      </c>
      <c r="G1167" s="6">
        <f>IF(I1167=1,0.9,0)</f>
        <v/>
      </c>
      <c r="H1167" s="5" t="s">
        <v>23</v>
      </c>
      <c r="I1167" s="8">
        <f>IF(OR(LOOKUP(A1167,characters!A:A,characters!B:B)=-1, LOOKUP(A1167,characters!A:A,characters!B:B)+0.1&gt;=B1167),1,0)</f>
        <v/>
      </c>
    </row>
    <row r="1168" spans="1:9">
      <c r="A1168" s="4" t="s">
        <v>111</v>
      </c>
      <c r="B1168" s="7">
        <v>3</v>
      </c>
      <c r="C1168" s="6">
        <f>IF(I1168=1,1.0,0)</f>
        <v/>
      </c>
      <c r="D1168" s="5" t="s">
        <v>23</v>
      </c>
      <c r="E1168" s="5" t="s">
        <v>23</v>
      </c>
      <c r="F1168" s="5" t="s">
        <v>23</v>
      </c>
      <c r="G1168" s="5" t="s">
        <v>23</v>
      </c>
      <c r="H1168" s="5" t="s">
        <v>23</v>
      </c>
      <c r="I1168" s="8">
        <f>IF(OR(LOOKUP(A1168,characters!A:A,characters!B:B)=-1, LOOKUP(A1168,characters!A:A,characters!B:B)+0.1&gt;=B1168),1,0)</f>
        <v/>
      </c>
    </row>
    <row r="1169" spans="1:9">
      <c r="A1169" s="4" t="s">
        <v>113</v>
      </c>
      <c r="B1169" s="7">
        <v>2</v>
      </c>
      <c r="C1169" s="5" t="s">
        <v>23</v>
      </c>
      <c r="D1169" s="5" t="s">
        <v>23</v>
      </c>
      <c r="E1169" s="5" t="s">
        <v>23</v>
      </c>
      <c r="F1169" s="5" t="s">
        <v>23</v>
      </c>
      <c r="G1169" s="6">
        <f>IF(I1169=1,1.0,0)</f>
        <v/>
      </c>
      <c r="H1169" s="5" t="s">
        <v>23</v>
      </c>
      <c r="I1169" s="8">
        <f>IF(OR(LOOKUP(A1169,characters!A:A,characters!B:B)=-1, LOOKUP(A1169,characters!A:A,characters!B:B)+0.1&gt;=B1169),1,0)</f>
        <v/>
      </c>
    </row>
    <row r="1170" spans="1:9">
      <c r="A1170" s="4" t="s">
        <v>48</v>
      </c>
      <c r="B1170" s="7">
        <v>0</v>
      </c>
      <c r="C1170" s="6">
        <f>IF(I1170=1,0.99,0)</f>
        <v/>
      </c>
      <c r="D1170" s="5" t="s">
        <v>23</v>
      </c>
      <c r="E1170" s="5" t="s">
        <v>23</v>
      </c>
      <c r="F1170" s="5" t="s">
        <v>23</v>
      </c>
      <c r="G1170" s="5" t="s">
        <v>23</v>
      </c>
      <c r="H1170" s="6">
        <f>IF(I1170=1,1.0,0)</f>
        <v/>
      </c>
      <c r="I1170" s="8">
        <f>IF(OR(LOOKUP(A1170,characters!A:A,characters!B:B)=-1, LOOKUP(A1170,characters!A:A,characters!B:B)+0.1&gt;=B1170),1,0)</f>
        <v/>
      </c>
    </row>
    <row r="1171" spans="1:9">
      <c r="A1171" s="4" t="s">
        <v>85</v>
      </c>
      <c r="B1171" s="7">
        <v>0</v>
      </c>
      <c r="C1171" s="6">
        <f>IF(I1171=1,1.0,0)</f>
        <v/>
      </c>
      <c r="D1171" s="5" t="s">
        <v>23</v>
      </c>
      <c r="E1171" s="5" t="s">
        <v>23</v>
      </c>
      <c r="F1171" s="5" t="s">
        <v>23</v>
      </c>
      <c r="G1171" s="5" t="s">
        <v>23</v>
      </c>
      <c r="H1171" s="6">
        <f>IF(I1171=1,0.9,0)</f>
        <v/>
      </c>
      <c r="I1171" s="8">
        <f>IF(OR(LOOKUP(A1171,characters!A:A,characters!B:B)=-1, LOOKUP(A1171,characters!A:A,characters!B:B)+0.1&gt;=B1171),1,0)</f>
        <v/>
      </c>
    </row>
    <row r="1178" spans="1:9">
      <c r="A1178" s="3" t="s">
        <v>126</v>
      </c>
    </row>
    <row r="1179" spans="1:9">
      <c r="A1179" s="3" t="s">
        <v>8</v>
      </c>
      <c r="B1179" s="3" t="s">
        <v>9</v>
      </c>
      <c r="C1179" s="3" t="s">
        <v>12</v>
      </c>
      <c r="D1179" s="3" t="s">
        <v>10</v>
      </c>
      <c r="E1179" s="3" t="s">
        <v>19</v>
      </c>
      <c r="F1179" s="3" t="s">
        <v>21</v>
      </c>
      <c r="G1179" s="3" t="s">
        <v>11</v>
      </c>
    </row>
    <row r="1180" spans="1:9">
      <c r="A1180" s="4" t="s">
        <v>22</v>
      </c>
      <c r="B1180" s="5" t="s">
        <v>23</v>
      </c>
      <c r="C1180" s="6">
        <f>IF(SUM(H1181)=0,0,SUM(C1181)/SUM(H1181))</f>
        <v/>
      </c>
      <c r="D1180" s="6">
        <f>IF(SUM(H1181)=0,0,SUM(D1181)/SUM(H1181))</f>
        <v/>
      </c>
      <c r="E1180" s="6">
        <f>IF(SUM(H1181)=0,0,SUM(E1181)/SUM(H1181))</f>
        <v/>
      </c>
      <c r="F1180" s="6">
        <f>IF(SUM(H1181)=0,0,SUM(F1181)/SUM(H1181))</f>
        <v/>
      </c>
      <c r="G1180" s="6">
        <f>IF(SUM(H1181)=0,0,SUM(G1181)/SUM(H1181))</f>
        <v/>
      </c>
    </row>
    <row r="1181" spans="1:9">
      <c r="A1181" s="4" t="s">
        <v>25</v>
      </c>
      <c r="B1181" s="7">
        <v>0</v>
      </c>
      <c r="C1181" s="6">
        <f>IF(H1181=1,1.0,0)</f>
        <v/>
      </c>
      <c r="D1181" s="6">
        <f>IF(H1181=1,0.99,0)</f>
        <v/>
      </c>
      <c r="E1181" s="6">
        <f>IF(H1181=1,0.89,0)</f>
        <v/>
      </c>
      <c r="F1181" s="6">
        <f>IF(H1181=1,0.79,0)</f>
        <v/>
      </c>
      <c r="G1181" s="6">
        <f>IF(H1181=1,0.69,0)</f>
        <v/>
      </c>
      <c r="H1181" s="8">
        <f>IF(OR(LOOKUP(A1181,characters!A:A,characters!B:B)=-1, LOOKUP(A1181,characters!A:A,characters!B:B)+0.1&gt;=B1181),1,0)</f>
        <v/>
      </c>
    </row>
    <row r="1183" spans="1:9">
      <c r="A1183" s="3" t="s">
        <v>49</v>
      </c>
      <c r="B1183" s="3" t="s">
        <v>9</v>
      </c>
      <c r="C1183" s="3" t="s">
        <v>12</v>
      </c>
      <c r="D1183" s="3" t="s">
        <v>19</v>
      </c>
    </row>
    <row r="1184" spans="1:9">
      <c r="A1184" s="4" t="s">
        <v>22</v>
      </c>
      <c r="B1184" s="5" t="s">
        <v>23</v>
      </c>
      <c r="C1184" s="6">
        <f>IF(SUM(E1185)=0,0,SUM(C1185)/SUM(E1185))</f>
        <v/>
      </c>
      <c r="D1184" s="6">
        <f>IF(SUM(E1185)=0,0,SUM(D1185)/SUM(E1185))</f>
        <v/>
      </c>
    </row>
    <row r="1185" spans="1:13">
      <c r="A1185" s="4" t="s">
        <v>25</v>
      </c>
      <c r="B1185" s="7">
        <v>0</v>
      </c>
      <c r="C1185" s="6">
        <f>IF(E1185=1,1.0,0)</f>
        <v/>
      </c>
      <c r="D1185" s="6">
        <f>IF(E1185=1,1.0,0)</f>
        <v/>
      </c>
      <c r="E1185" s="8">
        <f>IF(OR(LOOKUP(A1185,characters!A:A,characters!B:B)=-1, LOOKUP(A1185,characters!A:A,characters!B:B)+0.1&gt;=B1185),1,0)</f>
        <v/>
      </c>
    </row>
    <row r="1187" spans="1:13">
      <c r="A1187" s="3" t="s">
        <v>52</v>
      </c>
      <c r="B1187" s="3" t="s">
        <v>9</v>
      </c>
      <c r="C1187" s="3" t="s">
        <v>10</v>
      </c>
      <c r="D1187" s="3" t="s">
        <v>12</v>
      </c>
    </row>
    <row r="1188" spans="1:13">
      <c r="A1188" s="4" t="s">
        <v>22</v>
      </c>
      <c r="B1188" s="5" t="s">
        <v>23</v>
      </c>
      <c r="C1188" s="6">
        <f>IF(SUM(E1189)=0,0,SUM(C1189)/SUM(E1189))</f>
        <v/>
      </c>
      <c r="D1188" s="6">
        <f>IF(SUM(E1189)=0,0,SUM(D1189)/SUM(E1189))</f>
        <v/>
      </c>
    </row>
    <row r="1189" spans="1:13">
      <c r="A1189" s="4" t="s">
        <v>25</v>
      </c>
      <c r="B1189" s="7">
        <v>0</v>
      </c>
      <c r="C1189" s="6">
        <f>IF(E1189=1,1.0,0)</f>
        <v/>
      </c>
      <c r="D1189" s="6">
        <f>IF(E1189=1,0.99,0)</f>
        <v/>
      </c>
      <c r="E1189" s="8">
        <f>IF(OR(LOOKUP(A1189,characters!A:A,characters!B:B)=-1, LOOKUP(A1189,characters!A:A,characters!B:B)+0.1&gt;=B1189),1,0)</f>
        <v/>
      </c>
    </row>
    <row r="1196" spans="1:13">
      <c r="A1196" s="3" t="s">
        <v>127</v>
      </c>
    </row>
    <row r="1197" spans="1:13">
      <c r="A1197" s="3" t="s">
        <v>8</v>
      </c>
      <c r="B1197" s="3" t="s">
        <v>9</v>
      </c>
      <c r="C1197" s="3" t="s">
        <v>10</v>
      </c>
      <c r="D1197" s="3" t="s">
        <v>18</v>
      </c>
      <c r="E1197" s="3" t="s">
        <v>17</v>
      </c>
      <c r="F1197" s="3" t="s">
        <v>13</v>
      </c>
      <c r="G1197" s="3" t="s">
        <v>12</v>
      </c>
      <c r="H1197" s="3" t="s">
        <v>16</v>
      </c>
      <c r="I1197" s="3" t="s">
        <v>20</v>
      </c>
      <c r="J1197" s="3" t="s">
        <v>21</v>
      </c>
      <c r="K1197" s="3" t="s">
        <v>19</v>
      </c>
      <c r="L1197" s="3" t="s">
        <v>11</v>
      </c>
    </row>
    <row r="1198" spans="1:13">
      <c r="A1198" s="4" t="s">
        <v>22</v>
      </c>
      <c r="B1198" s="5" t="s">
        <v>23</v>
      </c>
      <c r="C1198" s="6">
        <f>IF(SUM(M1199:M1205)=0,0,SUM(C1199:C1205)/SUM(M1199:M1205))</f>
        <v/>
      </c>
      <c r="D1198" s="6">
        <f>IF(SUM(M1199:M1205)=0,0,SUM(D1199:D1205)/SUM(M1199:M1205))</f>
        <v/>
      </c>
      <c r="E1198" s="6">
        <f>IF(SUM(M1199:M1205)=0,0,SUM(E1199:E1205)/SUM(M1199:M1205))</f>
        <v/>
      </c>
      <c r="F1198" s="6">
        <f>IF(SUM(M1199:M1205)=0,0,SUM(F1199:F1205)/SUM(M1199:M1205))</f>
        <v/>
      </c>
      <c r="G1198" s="6">
        <f>IF(SUM(M1199:M1205)=0,0,SUM(G1199:G1205)/SUM(M1199:M1205))</f>
        <v/>
      </c>
      <c r="H1198" s="6">
        <f>IF(SUM(M1199:M1205)=0,0,SUM(H1199:H1205)/SUM(M1199:M1205))</f>
        <v/>
      </c>
      <c r="I1198" s="6">
        <f>IF(SUM(M1199:M1205)=0,0,SUM(I1199:I1205)/SUM(M1199:M1205))</f>
        <v/>
      </c>
      <c r="J1198" s="6">
        <f>IF(SUM(M1199:M1205)=0,0,SUM(J1199:J1205)/SUM(M1199:M1205))</f>
        <v/>
      </c>
      <c r="K1198" s="6">
        <f>IF(SUM(M1199:M1205)=0,0,SUM(K1199:K1205)/SUM(M1199:M1205))</f>
        <v/>
      </c>
      <c r="L1198" s="6">
        <f>IF(SUM(M1199:M1205)=0,0,SUM(L1199:L1205)/SUM(M1199:M1205))</f>
        <v/>
      </c>
    </row>
    <row r="1199" spans="1:13">
      <c r="A1199" s="4" t="s">
        <v>94</v>
      </c>
      <c r="B1199" s="7">
        <v>0</v>
      </c>
      <c r="C1199" s="6">
        <f>IF(M1199=1,1.0,0)</f>
        <v/>
      </c>
      <c r="D1199" s="6">
        <f>IF(M1199=1,0.99,0)</f>
        <v/>
      </c>
      <c r="E1199" s="5" t="s">
        <v>23</v>
      </c>
      <c r="F1199" s="5" t="s">
        <v>23</v>
      </c>
      <c r="G1199" s="5" t="s">
        <v>23</v>
      </c>
      <c r="H1199" s="5" t="s">
        <v>23</v>
      </c>
      <c r="I1199" s="5" t="s">
        <v>23</v>
      </c>
      <c r="J1199" s="5" t="s">
        <v>23</v>
      </c>
      <c r="K1199" s="5" t="s">
        <v>23</v>
      </c>
      <c r="L1199" s="5" t="s">
        <v>23</v>
      </c>
      <c r="M1199" s="8">
        <f>IF(OR(LOOKUP(A1199,characters!A:A,characters!B:B)=-1, LOOKUP(A1199,characters!A:A,characters!B:B)+0.1&gt;=B1199),1,0)</f>
        <v/>
      </c>
    </row>
    <row r="1200" spans="1:13">
      <c r="A1200" s="4" t="s">
        <v>119</v>
      </c>
      <c r="B1200" s="7">
        <v>0</v>
      </c>
      <c r="C1200" s="6">
        <f>IF(M1200=1,1.0,0)</f>
        <v/>
      </c>
      <c r="D1200" s="6">
        <f>IF(M1200=1,0.9,0)</f>
        <v/>
      </c>
      <c r="E1200" s="6">
        <f>IF(M1200=1,0.8,0)</f>
        <v/>
      </c>
      <c r="F1200" s="5" t="s">
        <v>23</v>
      </c>
      <c r="G1200" s="5" t="s">
        <v>23</v>
      </c>
      <c r="H1200" s="5" t="s">
        <v>23</v>
      </c>
      <c r="I1200" s="5" t="s">
        <v>23</v>
      </c>
      <c r="J1200" s="5" t="s">
        <v>23</v>
      </c>
      <c r="K1200" s="5" t="s">
        <v>23</v>
      </c>
      <c r="L1200" s="5" t="s">
        <v>23</v>
      </c>
      <c r="M1200" s="8">
        <f>IF(OR(LOOKUP(A1200,characters!A:A,characters!B:B)=-1, LOOKUP(A1200,characters!A:A,characters!B:B)+0.1&gt;=B1200),1,0)</f>
        <v/>
      </c>
    </row>
    <row r="1201" spans="1:13">
      <c r="A1201" s="4" t="s">
        <v>29</v>
      </c>
      <c r="B1201" s="7">
        <v>0</v>
      </c>
      <c r="C1201" s="6">
        <f>IF(M1201=1,1.0,0)</f>
        <v/>
      </c>
      <c r="D1201" s="6">
        <f>IF(M1201=1,0.9,0)</f>
        <v/>
      </c>
      <c r="E1201" s="5" t="s">
        <v>23</v>
      </c>
      <c r="F1201" s="6">
        <f>IF(M1201=1,0.7,0)</f>
        <v/>
      </c>
      <c r="G1201" s="6">
        <f>IF(M1201=1,0.7,0)</f>
        <v/>
      </c>
      <c r="H1201" s="5" t="s">
        <v>23</v>
      </c>
      <c r="I1201" s="5" t="s">
        <v>23</v>
      </c>
      <c r="J1201" s="5" t="s">
        <v>23</v>
      </c>
      <c r="K1201" s="5" t="s">
        <v>23</v>
      </c>
      <c r="L1201" s="6">
        <f>IF(M1201=1,0.8,0)</f>
        <v/>
      </c>
      <c r="M1201" s="8">
        <f>IF(OR(LOOKUP(A1201,characters!A:A,characters!B:B)=-1, LOOKUP(A1201,characters!A:A,characters!B:B)+0.1&gt;=B1201),1,0)</f>
        <v/>
      </c>
    </row>
    <row r="1202" spans="1:13">
      <c r="A1202" s="4" t="s">
        <v>35</v>
      </c>
      <c r="B1202" s="7">
        <v>0</v>
      </c>
      <c r="C1202" s="6">
        <f>IF(M1202=1,1.0,0)</f>
        <v/>
      </c>
      <c r="D1202" s="5" t="s">
        <v>23</v>
      </c>
      <c r="E1202" s="6">
        <f>IF(M1202=1,0.89,0)</f>
        <v/>
      </c>
      <c r="F1202" s="5" t="s">
        <v>23</v>
      </c>
      <c r="G1202" s="5" t="s">
        <v>23</v>
      </c>
      <c r="H1202" s="5" t="s">
        <v>23</v>
      </c>
      <c r="I1202" s="6">
        <f>IF(M1202=1,0.9,0)</f>
        <v/>
      </c>
      <c r="J1202" s="5" t="s">
        <v>23</v>
      </c>
      <c r="K1202" s="5" t="s">
        <v>23</v>
      </c>
      <c r="L1202" s="5" t="s">
        <v>23</v>
      </c>
      <c r="M1202" s="8">
        <f>IF(OR(LOOKUP(A1202,characters!A:A,characters!B:B)=-1, LOOKUP(A1202,characters!A:A,characters!B:B)+0.1&gt;=B1202),1,0)</f>
        <v/>
      </c>
    </row>
    <row r="1203" spans="1:13">
      <c r="A1203" s="4" t="s">
        <v>110</v>
      </c>
      <c r="B1203" s="7">
        <v>0</v>
      </c>
      <c r="C1203" s="6">
        <f>IF(M1203=1,1.0,0)</f>
        <v/>
      </c>
      <c r="D1203" s="5" t="s">
        <v>23</v>
      </c>
      <c r="E1203" s="6">
        <f>IF(M1203=1,0.8,0)</f>
        <v/>
      </c>
      <c r="F1203" s="5" t="s">
        <v>23</v>
      </c>
      <c r="G1203" s="5" t="s">
        <v>23</v>
      </c>
      <c r="H1203" s="5" t="s">
        <v>23</v>
      </c>
      <c r="I1203" s="5" t="s">
        <v>23</v>
      </c>
      <c r="J1203" s="6">
        <f>IF(M1203=1,0.9,0)</f>
        <v/>
      </c>
      <c r="K1203" s="6">
        <f>IF(M1203=1,0.9,0)</f>
        <v/>
      </c>
      <c r="L1203" s="5" t="s">
        <v>23</v>
      </c>
      <c r="M1203" s="8">
        <f>IF(OR(LOOKUP(A1203,characters!A:A,characters!B:B)=-1, LOOKUP(A1203,characters!A:A,characters!B:B)+0.1&gt;=B1203),1,0)</f>
        <v/>
      </c>
    </row>
    <row r="1204" spans="1:13">
      <c r="A1204" s="4" t="s">
        <v>95</v>
      </c>
      <c r="B1204" s="7">
        <v>0</v>
      </c>
      <c r="C1204" s="6">
        <f>IF(M1204=1,1.0,0)</f>
        <v/>
      </c>
      <c r="D1204" s="6">
        <f>IF(M1204=1,0.9,0)</f>
        <v/>
      </c>
      <c r="E1204" s="6">
        <f>IF(M1204=1,0.8,0)</f>
        <v/>
      </c>
      <c r="F1204" s="5" t="s">
        <v>23</v>
      </c>
      <c r="G1204" s="5" t="s">
        <v>23</v>
      </c>
      <c r="H1204" s="5" t="s">
        <v>23</v>
      </c>
      <c r="I1204" s="5" t="s">
        <v>23</v>
      </c>
      <c r="J1204" s="5" t="s">
        <v>23</v>
      </c>
      <c r="K1204" s="5" t="s">
        <v>23</v>
      </c>
      <c r="L1204" s="5" t="s">
        <v>23</v>
      </c>
      <c r="M1204" s="8">
        <f>IF(OR(LOOKUP(A1204,characters!A:A,characters!B:B)=-1, LOOKUP(A1204,characters!A:A,characters!B:B)+0.1&gt;=B1204),1,0)</f>
        <v/>
      </c>
    </row>
    <row r="1205" spans="1:13">
      <c r="A1205" s="4" t="s">
        <v>31</v>
      </c>
      <c r="B1205" s="7">
        <v>1</v>
      </c>
      <c r="C1205" s="6">
        <f>IF(M1205=1,0.9,0)</f>
        <v/>
      </c>
      <c r="D1205" s="6">
        <f>IF(M1205=1,0.7,0)</f>
        <v/>
      </c>
      <c r="E1205" s="6">
        <f>IF(M1205=1,0.8,0)</f>
        <v/>
      </c>
      <c r="F1205" s="6">
        <f>IF(M1205=1,0.7,0)</f>
        <v/>
      </c>
      <c r="G1205" s="6">
        <f>IF(M1205=1,0.7,0)</f>
        <v/>
      </c>
      <c r="H1205" s="6">
        <f>IF(M1205=1,1.0,0)</f>
        <v/>
      </c>
      <c r="I1205" s="5" t="s">
        <v>23</v>
      </c>
      <c r="J1205" s="5" t="s">
        <v>23</v>
      </c>
      <c r="K1205" s="5" t="s">
        <v>23</v>
      </c>
      <c r="L1205" s="5" t="s">
        <v>23</v>
      </c>
      <c r="M1205" s="8">
        <f>IF(OR(LOOKUP(A1205,characters!A:A,characters!B:B)=-1, LOOKUP(A1205,characters!A:A,characters!B:B)+0.1&gt;=B1205),1,0)</f>
        <v/>
      </c>
    </row>
    <row r="1207" spans="1:13">
      <c r="A1207" s="3" t="s">
        <v>49</v>
      </c>
      <c r="B1207" s="3" t="s">
        <v>9</v>
      </c>
      <c r="C1207" s="3" t="s">
        <v>17</v>
      </c>
      <c r="D1207" s="3" t="s">
        <v>50</v>
      </c>
      <c r="E1207" s="3" t="s">
        <v>16</v>
      </c>
      <c r="F1207" s="3" t="s">
        <v>21</v>
      </c>
      <c r="G1207" s="3" t="s">
        <v>19</v>
      </c>
    </row>
    <row r="1208" spans="1:13">
      <c r="A1208" s="4" t="s">
        <v>22</v>
      </c>
      <c r="B1208" s="5" t="s">
        <v>23</v>
      </c>
      <c r="C1208" s="6">
        <f>IF(SUM(H1209:H1215)=0,0,SUM(C1209:C1215)/SUM(H1209:H1215))</f>
        <v/>
      </c>
      <c r="D1208" s="6">
        <f>IF(SUM(H1209:H1215)=0,0,SUM(D1209:D1215)/SUM(H1209:H1215))</f>
        <v/>
      </c>
      <c r="E1208" s="6">
        <f>IF(SUM(H1209:H1215)=0,0,SUM(E1209:E1215)/SUM(H1209:H1215))</f>
        <v/>
      </c>
      <c r="F1208" s="6">
        <f>IF(SUM(H1209:H1215)=0,0,SUM(F1209:F1215)/SUM(H1209:H1215))</f>
        <v/>
      </c>
      <c r="G1208" s="6">
        <f>IF(SUM(H1209:H1215)=0,0,SUM(G1209:G1215)/SUM(H1209:H1215))</f>
        <v/>
      </c>
    </row>
    <row r="1209" spans="1:13">
      <c r="A1209" s="4" t="s">
        <v>94</v>
      </c>
      <c r="B1209" s="7">
        <v>0</v>
      </c>
      <c r="C1209" s="5" t="s">
        <v>23</v>
      </c>
      <c r="D1209" s="5" t="s">
        <v>23</v>
      </c>
      <c r="E1209" s="5" t="s">
        <v>23</v>
      </c>
      <c r="F1209" s="5" t="s">
        <v>23</v>
      </c>
      <c r="G1209" s="5" t="s">
        <v>23</v>
      </c>
      <c r="H1209" s="8">
        <f>IF(OR(LOOKUP(A1209,characters!A:A,characters!B:B)=-1, LOOKUP(A1209,characters!A:A,characters!B:B)+0.1&gt;=B1209),1,0)</f>
        <v/>
      </c>
    </row>
    <row r="1210" spans="1:13">
      <c r="A1210" s="4" t="s">
        <v>119</v>
      </c>
      <c r="B1210" s="7">
        <v>0</v>
      </c>
      <c r="C1210" s="6">
        <f>IF(H1210=1,1.0,0)</f>
        <v/>
      </c>
      <c r="D1210" s="5" t="s">
        <v>23</v>
      </c>
      <c r="E1210" s="5" t="s">
        <v>23</v>
      </c>
      <c r="F1210" s="5" t="s">
        <v>23</v>
      </c>
      <c r="G1210" s="5" t="s">
        <v>23</v>
      </c>
      <c r="H1210" s="8">
        <f>IF(OR(LOOKUP(A1210,characters!A:A,characters!B:B)=-1, LOOKUP(A1210,characters!A:A,characters!B:B)+0.1&gt;=B1210),1,0)</f>
        <v/>
      </c>
    </row>
    <row r="1211" spans="1:13">
      <c r="A1211" s="4" t="s">
        <v>29</v>
      </c>
      <c r="B1211" s="7">
        <v>0</v>
      </c>
      <c r="C1211" s="5" t="s">
        <v>23</v>
      </c>
      <c r="D1211" s="6">
        <f>IF(H1211=1,1.0,0)</f>
        <v/>
      </c>
      <c r="E1211" s="5" t="s">
        <v>23</v>
      </c>
      <c r="F1211" s="5" t="s">
        <v>23</v>
      </c>
      <c r="G1211" s="5" t="s">
        <v>23</v>
      </c>
      <c r="H1211" s="8">
        <f>IF(OR(LOOKUP(A1211,characters!A:A,characters!B:B)=-1, LOOKUP(A1211,characters!A:A,characters!B:B)+0.1&gt;=B1211),1,0)</f>
        <v/>
      </c>
    </row>
    <row r="1212" spans="1:13">
      <c r="A1212" s="4" t="s">
        <v>31</v>
      </c>
      <c r="B1212" s="7">
        <v>1</v>
      </c>
      <c r="C1212" s="6">
        <f>IF(H1212=1,1.0,0)</f>
        <v/>
      </c>
      <c r="D1212" s="5" t="s">
        <v>23</v>
      </c>
      <c r="E1212" s="6">
        <f>IF(H1212=1,0.9,0)</f>
        <v/>
      </c>
      <c r="F1212" s="5" t="s">
        <v>23</v>
      </c>
      <c r="G1212" s="5" t="s">
        <v>23</v>
      </c>
      <c r="H1212" s="8">
        <f>IF(OR(LOOKUP(A1212,characters!A:A,characters!B:B)=-1, LOOKUP(A1212,characters!A:A,characters!B:B)+0.1&gt;=B1212),1,0)</f>
        <v/>
      </c>
    </row>
    <row r="1213" spans="1:13">
      <c r="A1213" s="4" t="s">
        <v>35</v>
      </c>
      <c r="B1213" s="7">
        <v>0</v>
      </c>
      <c r="C1213" s="5" t="s">
        <v>23</v>
      </c>
      <c r="D1213" s="6">
        <f>IF(H1213=1,1.0,0)</f>
        <v/>
      </c>
      <c r="E1213" s="5" t="s">
        <v>23</v>
      </c>
      <c r="F1213" s="5" t="s">
        <v>23</v>
      </c>
      <c r="G1213" s="5" t="s">
        <v>23</v>
      </c>
      <c r="H1213" s="8">
        <f>IF(OR(LOOKUP(A1213,characters!A:A,characters!B:B)=-1, LOOKUP(A1213,characters!A:A,characters!B:B)+0.1&gt;=B1213),1,0)</f>
        <v/>
      </c>
    </row>
    <row r="1214" spans="1:13">
      <c r="A1214" s="4" t="s">
        <v>110</v>
      </c>
      <c r="B1214" s="7">
        <v>0</v>
      </c>
      <c r="C1214" s="5" t="s">
        <v>23</v>
      </c>
      <c r="D1214" s="5" t="s">
        <v>23</v>
      </c>
      <c r="E1214" s="5" t="s">
        <v>23</v>
      </c>
      <c r="F1214" s="6">
        <f>IF(H1214=1,1.0,0)</f>
        <v/>
      </c>
      <c r="G1214" s="6">
        <f>IF(H1214=1,0.99,0)</f>
        <v/>
      </c>
      <c r="H1214" s="8">
        <f>IF(OR(LOOKUP(A1214,characters!A:A,characters!B:B)=-1, LOOKUP(A1214,characters!A:A,characters!B:B)+0.1&gt;=B1214),1,0)</f>
        <v/>
      </c>
    </row>
    <row r="1215" spans="1:13">
      <c r="A1215" s="4" t="s">
        <v>95</v>
      </c>
      <c r="B1215" s="7">
        <v>0</v>
      </c>
      <c r="C1215" s="6">
        <f>IF(H1215=1,1.0,0)</f>
        <v/>
      </c>
      <c r="D1215" s="5" t="s">
        <v>23</v>
      </c>
      <c r="E1215" s="5" t="s">
        <v>23</v>
      </c>
      <c r="F1215" s="5" t="s">
        <v>23</v>
      </c>
      <c r="G1215" s="5" t="s">
        <v>23</v>
      </c>
      <c r="H1215" s="8">
        <f>IF(OR(LOOKUP(A1215,characters!A:A,characters!B:B)=-1, LOOKUP(A1215,characters!A:A,characters!B:B)+0.1&gt;=B1215),1,0)</f>
        <v/>
      </c>
    </row>
    <row r="1217" spans="1:5">
      <c r="A1217" s="3" t="s">
        <v>52</v>
      </c>
      <c r="B1217" s="3" t="s">
        <v>9</v>
      </c>
      <c r="C1217" s="3" t="s">
        <v>10</v>
      </c>
      <c r="D1217" s="3" t="s">
        <v>17</v>
      </c>
    </row>
    <row r="1218" spans="1:5">
      <c r="A1218" s="4" t="s">
        <v>22</v>
      </c>
      <c r="B1218" s="5" t="s">
        <v>23</v>
      </c>
      <c r="C1218" s="6">
        <f>IF(SUM(E1219:E1225)=0,0,SUM(C1219:C1225)/SUM(E1219:E1225))</f>
        <v/>
      </c>
      <c r="D1218" s="6">
        <f>IF(SUM(E1219:E1225)=0,0,SUM(D1219:D1225)/SUM(E1219:E1225))</f>
        <v/>
      </c>
    </row>
    <row r="1219" spans="1:5">
      <c r="A1219" s="4" t="s">
        <v>94</v>
      </c>
      <c r="B1219" s="7">
        <v>0</v>
      </c>
      <c r="C1219" s="6">
        <f>IF(E1219=1,1.0,0)</f>
        <v/>
      </c>
      <c r="D1219" s="5" t="s">
        <v>23</v>
      </c>
      <c r="E1219" s="8">
        <f>IF(OR(LOOKUP(A1219,characters!A:A,characters!B:B)=-1, LOOKUP(A1219,characters!A:A,characters!B:B)+0.1&gt;=B1219),1,0)</f>
        <v/>
      </c>
    </row>
    <row r="1220" spans="1:5">
      <c r="A1220" s="4" t="s">
        <v>119</v>
      </c>
      <c r="B1220" s="7">
        <v>0</v>
      </c>
      <c r="C1220" s="6">
        <f>IF(E1220=1,1.0,0)</f>
        <v/>
      </c>
      <c r="D1220" s="5" t="s">
        <v>23</v>
      </c>
      <c r="E1220" s="8">
        <f>IF(OR(LOOKUP(A1220,characters!A:A,characters!B:B)=-1, LOOKUP(A1220,characters!A:A,characters!B:B)+0.1&gt;=B1220),1,0)</f>
        <v/>
      </c>
    </row>
    <row r="1221" spans="1:5">
      <c r="A1221" s="4" t="s">
        <v>29</v>
      </c>
      <c r="B1221" s="7">
        <v>0</v>
      </c>
      <c r="C1221" s="6">
        <f>IF(E1221=1,1.0,0)</f>
        <v/>
      </c>
      <c r="D1221" s="5" t="s">
        <v>23</v>
      </c>
      <c r="E1221" s="8">
        <f>IF(OR(LOOKUP(A1221,characters!A:A,characters!B:B)=-1, LOOKUP(A1221,characters!A:A,characters!B:B)+0.1&gt;=B1221),1,0)</f>
        <v/>
      </c>
    </row>
    <row r="1222" spans="1:5">
      <c r="A1222" s="4" t="s">
        <v>31</v>
      </c>
      <c r="B1222" s="7">
        <v>1</v>
      </c>
      <c r="C1222" s="6">
        <f>IF(E1222=1,1.0,0)</f>
        <v/>
      </c>
      <c r="D1222" s="5" t="s">
        <v>23</v>
      </c>
      <c r="E1222" s="8">
        <f>IF(OR(LOOKUP(A1222,characters!A:A,characters!B:B)=-1, LOOKUP(A1222,characters!A:A,characters!B:B)+0.1&gt;=B1222),1,0)</f>
        <v/>
      </c>
    </row>
    <row r="1223" spans="1:5">
      <c r="A1223" s="4" t="s">
        <v>35</v>
      </c>
      <c r="B1223" s="7">
        <v>0</v>
      </c>
      <c r="C1223" s="6">
        <f>IF(E1223=1,1.0,0)</f>
        <v/>
      </c>
      <c r="D1223" s="5" t="s">
        <v>23</v>
      </c>
      <c r="E1223" s="8">
        <f>IF(OR(LOOKUP(A1223,characters!A:A,characters!B:B)=-1, LOOKUP(A1223,characters!A:A,characters!B:B)+0.1&gt;=B1223),1,0)</f>
        <v/>
      </c>
    </row>
    <row r="1224" spans="1:5">
      <c r="A1224" s="4" t="s">
        <v>110</v>
      </c>
      <c r="B1224" s="7">
        <v>0</v>
      </c>
      <c r="C1224" s="6">
        <f>IF(E1224=1,1.0,0)</f>
        <v/>
      </c>
      <c r="D1224" s="6">
        <f>IF(E1224=1,0.99,0)</f>
        <v/>
      </c>
      <c r="E1224" s="8">
        <f>IF(OR(LOOKUP(A1224,characters!A:A,characters!B:B)=-1, LOOKUP(A1224,characters!A:A,characters!B:B)+0.1&gt;=B1224),1,0)</f>
        <v/>
      </c>
    </row>
    <row r="1225" spans="1:5">
      <c r="A1225" s="4" t="s">
        <v>95</v>
      </c>
      <c r="B1225" s="7">
        <v>0</v>
      </c>
      <c r="C1225" s="6">
        <f>IF(E1225=1,1.0,0)</f>
        <v/>
      </c>
      <c r="D1225" s="5" t="s">
        <v>23</v>
      </c>
      <c r="E1225" s="8">
        <f>IF(OR(LOOKUP(A1225,characters!A:A,characters!B:B)=-1, LOOKUP(A1225,characters!A:A,characters!B:B)+0.1&gt;=B1225),1,0)</f>
        <v/>
      </c>
    </row>
    <row r="1232" spans="1:5">
      <c r="A1232" s="3" t="s">
        <v>128</v>
      </c>
    </row>
    <row r="1233" spans="1:11">
      <c r="A1233" s="3" t="s">
        <v>8</v>
      </c>
      <c r="B1233" s="3" t="s">
        <v>9</v>
      </c>
      <c r="C1233" s="3" t="s">
        <v>10</v>
      </c>
      <c r="D1233" s="3" t="s">
        <v>21</v>
      </c>
      <c r="E1233" s="3" t="s">
        <v>19</v>
      </c>
      <c r="F1233" s="3" t="s">
        <v>17</v>
      </c>
      <c r="G1233" s="3" t="s">
        <v>13</v>
      </c>
    </row>
    <row r="1234" spans="1:11">
      <c r="A1234" s="4" t="s">
        <v>22</v>
      </c>
      <c r="B1234" s="5" t="s">
        <v>23</v>
      </c>
      <c r="C1234" s="6">
        <f>IF(SUM(H1235:H1244)=0,0,SUM(C1235:C1244)/SUM(H1235:H1244))</f>
        <v/>
      </c>
      <c r="D1234" s="6">
        <f>IF(SUM(H1235:H1244)=0,0,SUM(D1235:D1244)/SUM(H1235:H1244))</f>
        <v/>
      </c>
      <c r="E1234" s="6">
        <f>IF(SUM(H1235:H1244)=0,0,SUM(E1235:E1244)/SUM(H1235:H1244))</f>
        <v/>
      </c>
      <c r="F1234" s="6">
        <f>IF(SUM(H1235:H1244)=0,0,SUM(F1235:F1244)/SUM(H1235:H1244))</f>
        <v/>
      </c>
      <c r="G1234" s="6">
        <f>IF(SUM(H1235:H1244)=0,0,SUM(G1235:G1244)/SUM(H1235:H1244))</f>
        <v/>
      </c>
    </row>
    <row r="1235" spans="1:11">
      <c r="A1235" s="4" t="s">
        <v>61</v>
      </c>
      <c r="B1235" s="7">
        <v>0</v>
      </c>
      <c r="C1235" s="6">
        <f>IF(H1235=1,1.0,0)</f>
        <v/>
      </c>
      <c r="D1235" s="6">
        <f>IF(H1235=1,0.9,0)</f>
        <v/>
      </c>
      <c r="E1235" s="6">
        <f>IF(H1235=1,0.9,0)</f>
        <v/>
      </c>
      <c r="F1235" s="6">
        <f>IF(H1235=1,0.8,0)</f>
        <v/>
      </c>
      <c r="G1235" s="5" t="s">
        <v>23</v>
      </c>
      <c r="H1235" s="8">
        <f>IF(OR(LOOKUP(A1235,characters!A:A,characters!B:B)=-1, LOOKUP(A1235,characters!A:A,characters!B:B)+0.1&gt;=B1235),1,0)</f>
        <v/>
      </c>
    </row>
    <row r="1236" spans="1:11">
      <c r="A1236" s="4" t="s">
        <v>86</v>
      </c>
      <c r="B1236" s="7">
        <v>0</v>
      </c>
      <c r="C1236" s="6">
        <f>IF(H1236=1,0.79,0)</f>
        <v/>
      </c>
      <c r="D1236" s="6">
        <f>IF(H1236=1,1.0,0)</f>
        <v/>
      </c>
      <c r="E1236" s="6">
        <f>IF(H1236=1,0.99,0)</f>
        <v/>
      </c>
      <c r="F1236" s="6">
        <f>IF(H1236=1,0.89,0)</f>
        <v/>
      </c>
      <c r="G1236" s="5" t="s">
        <v>23</v>
      </c>
      <c r="H1236" s="8">
        <f>IF(OR(LOOKUP(A1236,characters!A:A,characters!B:B)=-1, LOOKUP(A1236,characters!A:A,characters!B:B)+0.1&gt;=B1236),1,0)</f>
        <v/>
      </c>
    </row>
    <row r="1237" spans="1:11">
      <c r="A1237" s="4" t="s">
        <v>81</v>
      </c>
      <c r="B1237" s="7">
        <v>1</v>
      </c>
      <c r="C1237" s="6">
        <f>IF(H1237=1,1.0,0)</f>
        <v/>
      </c>
      <c r="D1237" s="6">
        <f>IF(H1237=1,0.9,0)</f>
        <v/>
      </c>
      <c r="E1237" s="6">
        <f>IF(H1237=1,0.9,0)</f>
        <v/>
      </c>
      <c r="F1237" s="6">
        <f>IF(H1237=1,0.8,0)</f>
        <v/>
      </c>
      <c r="G1237" s="5" t="s">
        <v>23</v>
      </c>
      <c r="H1237" s="8">
        <f>IF(OR(LOOKUP(A1237,characters!A:A,characters!B:B)=-1, LOOKUP(A1237,characters!A:A,characters!B:B)+0.1&gt;=B1237),1,0)</f>
        <v/>
      </c>
    </row>
    <row r="1238" spans="1:11">
      <c r="A1238" s="4" t="s">
        <v>82</v>
      </c>
      <c r="B1238" s="7">
        <v>1</v>
      </c>
      <c r="C1238" s="6">
        <f>IF(H1238=1,1.0,0)</f>
        <v/>
      </c>
      <c r="D1238" s="6">
        <f>IF(H1238=1,1.0,0)</f>
        <v/>
      </c>
      <c r="E1238" s="6">
        <f>IF(H1238=1,1.0,0)</f>
        <v/>
      </c>
      <c r="F1238" s="6">
        <f>IF(H1238=1,0.9,0)</f>
        <v/>
      </c>
      <c r="G1238" s="5" t="s">
        <v>23</v>
      </c>
      <c r="H1238" s="8">
        <f>IF(OR(LOOKUP(A1238,characters!A:A,characters!B:B)=-1, LOOKUP(A1238,characters!A:A,characters!B:B)+0.1&gt;=B1238),1,0)</f>
        <v/>
      </c>
    </row>
    <row r="1239" spans="1:11">
      <c r="A1239" s="4" t="s">
        <v>110</v>
      </c>
      <c r="B1239" s="7">
        <v>1</v>
      </c>
      <c r="C1239" s="6">
        <f>IF(H1239=1,1.0,0)</f>
        <v/>
      </c>
      <c r="D1239" s="6">
        <f>IF(H1239=1,0.9,0)</f>
        <v/>
      </c>
      <c r="E1239" s="6">
        <f>IF(H1239=1,0.9,0)</f>
        <v/>
      </c>
      <c r="F1239" s="6">
        <f>IF(H1239=1,0.8,0)</f>
        <v/>
      </c>
      <c r="G1239" s="5" t="s">
        <v>23</v>
      </c>
      <c r="H1239" s="8">
        <f>IF(OR(LOOKUP(A1239,characters!A:A,characters!B:B)=-1, LOOKUP(A1239,characters!A:A,characters!B:B)+0.1&gt;=B1239),1,0)</f>
        <v/>
      </c>
    </row>
    <row r="1240" spans="1:11">
      <c r="A1240" s="4" t="s">
        <v>83</v>
      </c>
      <c r="B1240" s="7">
        <v>1</v>
      </c>
      <c r="C1240" s="6">
        <f>IF(H1240=1,1.0,0)</f>
        <v/>
      </c>
      <c r="D1240" s="6">
        <f>IF(H1240=1,1.0,0)</f>
        <v/>
      </c>
      <c r="E1240" s="6">
        <f>IF(H1240=1,0.99,0)</f>
        <v/>
      </c>
      <c r="F1240" s="6">
        <f>IF(H1240=1,0.89,0)</f>
        <v/>
      </c>
      <c r="G1240" s="5" t="s">
        <v>23</v>
      </c>
      <c r="H1240" s="8">
        <f>IF(OR(LOOKUP(A1240,characters!A:A,characters!B:B)=-1, LOOKUP(A1240,characters!A:A,characters!B:B)+0.1&gt;=B1240),1,0)</f>
        <v/>
      </c>
    </row>
    <row r="1241" spans="1:11">
      <c r="A1241" s="4" t="s">
        <v>125</v>
      </c>
      <c r="B1241" s="7">
        <v>2</v>
      </c>
      <c r="C1241" s="6">
        <f>IF(H1241=1,1.0,0)</f>
        <v/>
      </c>
      <c r="D1241" s="6">
        <f>IF(H1241=1,0.9,0)</f>
        <v/>
      </c>
      <c r="E1241" s="6">
        <f>IF(H1241=1,0.9,0)</f>
        <v/>
      </c>
      <c r="F1241" s="5" t="s">
        <v>23</v>
      </c>
      <c r="G1241" s="6">
        <f>IF(H1241=1,0.8,0)</f>
        <v/>
      </c>
      <c r="H1241" s="8">
        <f>IF(OR(LOOKUP(A1241,characters!A:A,characters!B:B)=-1, LOOKUP(A1241,characters!A:A,characters!B:B)+0.1&gt;=B1241),1,0)</f>
        <v/>
      </c>
    </row>
    <row r="1242" spans="1:11">
      <c r="A1242" s="4" t="s">
        <v>112</v>
      </c>
      <c r="B1242" s="7">
        <v>2</v>
      </c>
      <c r="C1242" s="6">
        <f>IF(H1242=1,1.0,0)</f>
        <v/>
      </c>
      <c r="D1242" s="6">
        <f>IF(H1242=1,1.0,0)</f>
        <v/>
      </c>
      <c r="E1242" s="6">
        <f>IF(H1242=1,1.0,0)</f>
        <v/>
      </c>
      <c r="F1242" s="6">
        <f>IF(H1242=1,0.9,0)</f>
        <v/>
      </c>
      <c r="G1242" s="5" t="s">
        <v>23</v>
      </c>
      <c r="H1242" s="8">
        <f>IF(OR(LOOKUP(A1242,characters!A:A,characters!B:B)=-1, LOOKUP(A1242,characters!A:A,characters!B:B)+0.1&gt;=B1242),1,0)</f>
        <v/>
      </c>
    </row>
    <row r="1243" spans="1:11">
      <c r="A1243" s="4" t="s">
        <v>100</v>
      </c>
      <c r="B1243" s="7">
        <v>2</v>
      </c>
      <c r="C1243" s="6">
        <f>IF(H1243=1,1.0,0)</f>
        <v/>
      </c>
      <c r="D1243" s="6">
        <f>IF(H1243=1,1.0,0)</f>
        <v/>
      </c>
      <c r="E1243" s="6">
        <f>IF(H1243=1,1.0,0)</f>
        <v/>
      </c>
      <c r="F1243" s="6">
        <f>IF(H1243=1,0.9,0)</f>
        <v/>
      </c>
      <c r="G1243" s="5" t="s">
        <v>23</v>
      </c>
      <c r="H1243" s="8">
        <f>IF(OR(LOOKUP(A1243,characters!A:A,characters!B:B)=-1, LOOKUP(A1243,characters!A:A,characters!B:B)+0.1&gt;=B1243),1,0)</f>
        <v/>
      </c>
    </row>
    <row r="1244" spans="1:11">
      <c r="A1244" s="4" t="s">
        <v>84</v>
      </c>
      <c r="B1244" s="7">
        <v>2</v>
      </c>
      <c r="C1244" s="6">
        <f>IF(H1244=1,1.0,0)</f>
        <v/>
      </c>
      <c r="D1244" s="6">
        <f>IF(H1244=1,0.9,0)</f>
        <v/>
      </c>
      <c r="E1244" s="6">
        <f>IF(H1244=1,0.9,0)</f>
        <v/>
      </c>
      <c r="F1244" s="6">
        <f>IF(H1244=1,0.8,0)</f>
        <v/>
      </c>
      <c r="G1244" s="5" t="s">
        <v>23</v>
      </c>
      <c r="H1244" s="8">
        <f>IF(OR(LOOKUP(A1244,characters!A:A,characters!B:B)=-1, LOOKUP(A1244,characters!A:A,characters!B:B)+0.1&gt;=B1244),1,0)</f>
        <v/>
      </c>
    </row>
    <row r="1246" spans="1:11">
      <c r="A1246" s="3" t="s">
        <v>64</v>
      </c>
      <c r="B1246" s="3" t="s">
        <v>9</v>
      </c>
      <c r="C1246" s="3" t="s">
        <v>17</v>
      </c>
      <c r="D1246" s="3" t="s">
        <v>89</v>
      </c>
      <c r="E1246" s="3" t="s">
        <v>88</v>
      </c>
      <c r="F1246" s="3" t="s">
        <v>13</v>
      </c>
      <c r="G1246" s="3" t="s">
        <v>68</v>
      </c>
      <c r="H1246" s="3" t="s">
        <v>114</v>
      </c>
      <c r="I1246" s="3" t="s">
        <v>90</v>
      </c>
      <c r="J1246" s="3" t="s">
        <v>69</v>
      </c>
    </row>
    <row r="1247" spans="1:11">
      <c r="A1247" s="4" t="s">
        <v>22</v>
      </c>
      <c r="B1247" s="5" t="s">
        <v>23</v>
      </c>
      <c r="C1247" s="6">
        <f>IF(SUM(K1248:K1257)=0,0,SUM(C1248:C1257)/SUM(K1248:K1257))</f>
        <v/>
      </c>
      <c r="D1247" s="6">
        <f>IF(SUM(K1248:K1257)=0,0,SUM(D1248:D1257)/SUM(K1248:K1257))</f>
        <v/>
      </c>
      <c r="E1247" s="6">
        <f>IF(SUM(K1248:K1257)=0,0,SUM(E1248:E1257)/SUM(K1248:K1257))</f>
        <v/>
      </c>
      <c r="F1247" s="6">
        <f>IF(SUM(K1248:K1257)=0,0,SUM(F1248:F1257)/SUM(K1248:K1257))</f>
        <v/>
      </c>
      <c r="G1247" s="6">
        <f>IF(SUM(K1248:K1257)=0,0,SUM(G1248:G1257)/SUM(K1248:K1257))</f>
        <v/>
      </c>
      <c r="H1247" s="6">
        <f>IF(SUM(K1248:K1257)=0,0,SUM(H1248:H1257)/SUM(K1248:K1257))</f>
        <v/>
      </c>
      <c r="I1247" s="6">
        <f>IF(SUM(K1248:K1257)=0,0,SUM(I1248:I1257)/SUM(K1248:K1257))</f>
        <v/>
      </c>
      <c r="J1247" s="6">
        <f>IF(SUM(K1248:K1257)=0,0,SUM(J1248:J1257)/SUM(K1248:K1257))</f>
        <v/>
      </c>
    </row>
    <row r="1248" spans="1:11">
      <c r="A1248" s="4" t="s">
        <v>61</v>
      </c>
      <c r="B1248" s="7">
        <v>0</v>
      </c>
      <c r="C1248" s="6">
        <f>IF(K1248=1,1.0,0)</f>
        <v/>
      </c>
      <c r="D1248" s="6">
        <f>IF(K1248=1,0.9,0)</f>
        <v/>
      </c>
      <c r="E1248" s="5" t="s">
        <v>23</v>
      </c>
      <c r="F1248" s="5" t="s">
        <v>23</v>
      </c>
      <c r="G1248" s="5" t="s">
        <v>23</v>
      </c>
      <c r="H1248" s="5" t="s">
        <v>23</v>
      </c>
      <c r="I1248" s="5" t="s">
        <v>23</v>
      </c>
      <c r="J1248" s="5" t="s">
        <v>23</v>
      </c>
      <c r="K1248" s="8">
        <f>IF(OR(LOOKUP(A1248,characters!A:A,characters!B:B)=-1, LOOKUP(A1248,characters!A:A,characters!B:B)+0.1&gt;=B1248),1,0)</f>
        <v/>
      </c>
    </row>
    <row r="1249" spans="1:11">
      <c r="A1249" s="4" t="s">
        <v>125</v>
      </c>
      <c r="B1249" s="7">
        <v>2</v>
      </c>
      <c r="C1249" s="5" t="s">
        <v>23</v>
      </c>
      <c r="D1249" s="5" t="s">
        <v>23</v>
      </c>
      <c r="E1249" s="6">
        <f>IF(K1249=1,1.0,0)</f>
        <v/>
      </c>
      <c r="F1249" s="6">
        <f>IF(K1249=1,0.99,0)</f>
        <v/>
      </c>
      <c r="G1249" s="5" t="s">
        <v>23</v>
      </c>
      <c r="H1249" s="5" t="s">
        <v>23</v>
      </c>
      <c r="I1249" s="5" t="s">
        <v>23</v>
      </c>
      <c r="J1249" s="5" t="s">
        <v>23</v>
      </c>
      <c r="K1249" s="8">
        <f>IF(OR(LOOKUP(A1249,characters!A:A,characters!B:B)=-1, LOOKUP(A1249,characters!A:A,characters!B:B)+0.1&gt;=B1249),1,0)</f>
        <v/>
      </c>
    </row>
    <row r="1250" spans="1:11">
      <c r="A1250" s="4" t="s">
        <v>81</v>
      </c>
      <c r="B1250" s="7">
        <v>1</v>
      </c>
      <c r="C1250" s="6">
        <f>IF(K1250=1,0.99,0)</f>
        <v/>
      </c>
      <c r="D1250" s="5" t="s">
        <v>23</v>
      </c>
      <c r="E1250" s="5" t="s">
        <v>23</v>
      </c>
      <c r="F1250" s="5" t="s">
        <v>23</v>
      </c>
      <c r="G1250" s="6">
        <f>IF(K1250=1,1.0,0)</f>
        <v/>
      </c>
      <c r="H1250" s="5" t="s">
        <v>23</v>
      </c>
      <c r="I1250" s="5" t="s">
        <v>23</v>
      </c>
      <c r="J1250" s="5" t="s">
        <v>23</v>
      </c>
      <c r="K1250" s="8">
        <f>IF(OR(LOOKUP(A1250,characters!A:A,characters!B:B)=-1, LOOKUP(A1250,characters!A:A,characters!B:B)+0.1&gt;=B1250),1,0)</f>
        <v/>
      </c>
    </row>
    <row r="1251" spans="1:11">
      <c r="A1251" s="4" t="s">
        <v>82</v>
      </c>
      <c r="B1251" s="7">
        <v>1</v>
      </c>
      <c r="C1251" s="6">
        <f>IF(K1251=1,0.9,0)</f>
        <v/>
      </c>
      <c r="D1251" s="5" t="s">
        <v>23</v>
      </c>
      <c r="E1251" s="6">
        <f>IF(K1251=1,1.0,0)</f>
        <v/>
      </c>
      <c r="F1251" s="5" t="s">
        <v>23</v>
      </c>
      <c r="G1251" s="5" t="s">
        <v>23</v>
      </c>
      <c r="H1251" s="5" t="s">
        <v>23</v>
      </c>
      <c r="I1251" s="5" t="s">
        <v>23</v>
      </c>
      <c r="J1251" s="5" t="s">
        <v>23</v>
      </c>
      <c r="K1251" s="8">
        <f>IF(OR(LOOKUP(A1251,characters!A:A,characters!B:B)=-1, LOOKUP(A1251,characters!A:A,characters!B:B)+0.1&gt;=B1251),1,0)</f>
        <v/>
      </c>
    </row>
    <row r="1252" spans="1:11">
      <c r="A1252" s="4" t="s">
        <v>112</v>
      </c>
      <c r="B1252" s="7">
        <v>2</v>
      </c>
      <c r="C1252" s="6">
        <f>IF(K1252=1,0.9,0)</f>
        <v/>
      </c>
      <c r="D1252" s="5" t="s">
        <v>23</v>
      </c>
      <c r="E1252" s="5" t="s">
        <v>23</v>
      </c>
      <c r="F1252" s="5" t="s">
        <v>23</v>
      </c>
      <c r="G1252" s="5" t="s">
        <v>23</v>
      </c>
      <c r="H1252" s="6">
        <f>IF(K1252=1,1.0,0)</f>
        <v/>
      </c>
      <c r="I1252" s="5" t="s">
        <v>23</v>
      </c>
      <c r="J1252" s="5" t="s">
        <v>23</v>
      </c>
      <c r="K1252" s="8">
        <f>IF(OR(LOOKUP(A1252,characters!A:A,characters!B:B)=-1, LOOKUP(A1252,characters!A:A,characters!B:B)+0.1&gt;=B1252),1,0)</f>
        <v/>
      </c>
    </row>
    <row r="1253" spans="1:11">
      <c r="A1253" s="4" t="s">
        <v>100</v>
      </c>
      <c r="B1253" s="7">
        <v>2</v>
      </c>
      <c r="C1253" s="6">
        <f>IF(K1253=1,0.9,0)</f>
        <v/>
      </c>
      <c r="D1253" s="5" t="s">
        <v>23</v>
      </c>
      <c r="E1253" s="5" t="s">
        <v>23</v>
      </c>
      <c r="F1253" s="5" t="s">
        <v>23</v>
      </c>
      <c r="G1253" s="5" t="s">
        <v>23</v>
      </c>
      <c r="H1253" s="5" t="s">
        <v>23</v>
      </c>
      <c r="I1253" s="6">
        <f>IF(K1253=1,1.0,0)</f>
        <v/>
      </c>
      <c r="J1253" s="5" t="s">
        <v>23</v>
      </c>
      <c r="K1253" s="8">
        <f>IF(OR(LOOKUP(A1253,characters!A:A,characters!B:B)=-1, LOOKUP(A1253,characters!A:A,characters!B:B)+0.1&gt;=B1253),1,0)</f>
        <v/>
      </c>
    </row>
    <row r="1254" spans="1:11">
      <c r="A1254" s="4" t="s">
        <v>86</v>
      </c>
      <c r="B1254" s="7">
        <v>0</v>
      </c>
      <c r="C1254" s="5" t="s">
        <v>23</v>
      </c>
      <c r="D1254" s="5" t="s">
        <v>23</v>
      </c>
      <c r="E1254" s="5" t="s">
        <v>23</v>
      </c>
      <c r="F1254" s="5" t="s">
        <v>23</v>
      </c>
      <c r="G1254" s="5" t="s">
        <v>23</v>
      </c>
      <c r="H1254" s="5" t="s">
        <v>23</v>
      </c>
      <c r="I1254" s="5" t="s">
        <v>23</v>
      </c>
      <c r="J1254" s="6">
        <f>IF(K1254=1,1.0,0)</f>
        <v/>
      </c>
      <c r="K1254" s="8">
        <f>IF(OR(LOOKUP(A1254,characters!A:A,characters!B:B)=-1, LOOKUP(A1254,characters!A:A,characters!B:B)+0.1&gt;=B1254),1,0)</f>
        <v/>
      </c>
    </row>
    <row r="1255" spans="1:11">
      <c r="A1255" s="4" t="s">
        <v>110</v>
      </c>
      <c r="B1255" s="7">
        <v>1</v>
      </c>
      <c r="C1255" s="6">
        <f>IF(K1255=1,0.99,0)</f>
        <v/>
      </c>
      <c r="D1255" s="5" t="s">
        <v>23</v>
      </c>
      <c r="E1255" s="5" t="s">
        <v>23</v>
      </c>
      <c r="F1255" s="5" t="s">
        <v>23</v>
      </c>
      <c r="G1255" s="6">
        <f>IF(K1255=1,1.0,0)</f>
        <v/>
      </c>
      <c r="H1255" s="5" t="s">
        <v>23</v>
      </c>
      <c r="I1255" s="5" t="s">
        <v>23</v>
      </c>
      <c r="J1255" s="5" t="s">
        <v>23</v>
      </c>
      <c r="K1255" s="8">
        <f>IF(OR(LOOKUP(A1255,characters!A:A,characters!B:B)=-1, LOOKUP(A1255,characters!A:A,characters!B:B)+0.1&gt;=B1255),1,0)</f>
        <v/>
      </c>
    </row>
    <row r="1256" spans="1:11">
      <c r="A1256" s="4" t="s">
        <v>83</v>
      </c>
      <c r="B1256" s="7">
        <v>1</v>
      </c>
      <c r="C1256" s="5" t="s">
        <v>23</v>
      </c>
      <c r="D1256" s="6">
        <f>IF(K1256=1,1.0,0)</f>
        <v/>
      </c>
      <c r="E1256" s="5" t="s">
        <v>23</v>
      </c>
      <c r="F1256" s="5" t="s">
        <v>23</v>
      </c>
      <c r="G1256" s="5" t="s">
        <v>23</v>
      </c>
      <c r="H1256" s="5" t="s">
        <v>23</v>
      </c>
      <c r="I1256" s="5" t="s">
        <v>23</v>
      </c>
      <c r="J1256" s="5" t="s">
        <v>23</v>
      </c>
      <c r="K1256" s="8">
        <f>IF(OR(LOOKUP(A1256,characters!A:A,characters!B:B)=-1, LOOKUP(A1256,characters!A:A,characters!B:B)+0.1&gt;=B1256),1,0)</f>
        <v/>
      </c>
    </row>
    <row r="1257" spans="1:11">
      <c r="A1257" s="4" t="s">
        <v>84</v>
      </c>
      <c r="B1257" s="7">
        <v>2</v>
      </c>
      <c r="C1257" s="6">
        <f>IF(K1257=1,0.9,0)</f>
        <v/>
      </c>
      <c r="D1257" s="5" t="s">
        <v>23</v>
      </c>
      <c r="E1257" s="5" t="s">
        <v>23</v>
      </c>
      <c r="F1257" s="5" t="s">
        <v>23</v>
      </c>
      <c r="G1257" s="5" t="s">
        <v>23</v>
      </c>
      <c r="H1257" s="5" t="s">
        <v>23</v>
      </c>
      <c r="I1257" s="6">
        <f>IF(K1257=1,1.0,0)</f>
        <v/>
      </c>
      <c r="J1257" s="5" t="s">
        <v>23</v>
      </c>
      <c r="K1257" s="8">
        <f>IF(OR(LOOKUP(A1257,characters!A:A,characters!B:B)=-1, LOOKUP(A1257,characters!A:A,characters!B:B)+0.1&gt;=B1257),1,0)</f>
        <v/>
      </c>
    </row>
    <row r="1259" spans="1:11">
      <c r="A1259" s="3" t="s">
        <v>65</v>
      </c>
      <c r="B1259" s="3" t="s">
        <v>9</v>
      </c>
      <c r="C1259" s="3" t="s">
        <v>17</v>
      </c>
      <c r="D1259" s="3" t="s">
        <v>13</v>
      </c>
      <c r="E1259" s="3" t="s">
        <v>51</v>
      </c>
    </row>
    <row r="1260" spans="1:11">
      <c r="A1260" s="4" t="s">
        <v>22</v>
      </c>
      <c r="B1260" s="5" t="s">
        <v>23</v>
      </c>
      <c r="C1260" s="6">
        <f>IF(SUM(F1261:F1270)=0,0,SUM(C1261:C1270)/SUM(F1261:F1270))</f>
        <v/>
      </c>
      <c r="D1260" s="6">
        <f>IF(SUM(F1261:F1270)=0,0,SUM(D1261:D1270)/SUM(F1261:F1270))</f>
        <v/>
      </c>
      <c r="E1260" s="6">
        <f>IF(SUM(F1261:F1270)=0,0,SUM(E1261:E1270)/SUM(F1261:F1270))</f>
        <v/>
      </c>
    </row>
    <row r="1261" spans="1:11">
      <c r="A1261" s="4" t="s">
        <v>61</v>
      </c>
      <c r="B1261" s="7">
        <v>0</v>
      </c>
      <c r="C1261" s="6">
        <f>IF(F1261=1,1.0,0)</f>
        <v/>
      </c>
      <c r="D1261" s="5" t="s">
        <v>23</v>
      </c>
      <c r="E1261" s="5" t="s">
        <v>23</v>
      </c>
      <c r="F1261" s="8">
        <f>IF(OR(LOOKUP(A1261,characters!A:A,characters!B:B)=-1, LOOKUP(A1261,characters!A:A,characters!B:B)+0.1&gt;=B1261),1,0)</f>
        <v/>
      </c>
    </row>
    <row r="1262" spans="1:11">
      <c r="A1262" s="4" t="s">
        <v>125</v>
      </c>
      <c r="B1262" s="7">
        <v>2</v>
      </c>
      <c r="C1262" s="5" t="s">
        <v>23</v>
      </c>
      <c r="D1262" s="6">
        <f>IF(F1262=1,1.0,0)</f>
        <v/>
      </c>
      <c r="E1262" s="5" t="s">
        <v>23</v>
      </c>
      <c r="F1262" s="8">
        <f>IF(OR(LOOKUP(A1262,characters!A:A,characters!B:B)=-1, LOOKUP(A1262,characters!A:A,characters!B:B)+0.1&gt;=B1262),1,0)</f>
        <v/>
      </c>
    </row>
    <row r="1263" spans="1:11">
      <c r="A1263" s="4" t="s">
        <v>81</v>
      </c>
      <c r="B1263" s="7">
        <v>1</v>
      </c>
      <c r="C1263" s="6">
        <f>IF(F1263=1,1.0,0)</f>
        <v/>
      </c>
      <c r="D1263" s="5" t="s">
        <v>23</v>
      </c>
      <c r="E1263" s="5" t="s">
        <v>23</v>
      </c>
      <c r="F1263" s="8">
        <f>IF(OR(LOOKUP(A1263,characters!A:A,characters!B:B)=-1, LOOKUP(A1263,characters!A:A,characters!B:B)+0.1&gt;=B1263),1,0)</f>
        <v/>
      </c>
    </row>
    <row r="1264" spans="1:11">
      <c r="A1264" s="4" t="s">
        <v>82</v>
      </c>
      <c r="B1264" s="7">
        <v>1</v>
      </c>
      <c r="C1264" s="6">
        <f>IF(F1264=1,1.0,0)</f>
        <v/>
      </c>
      <c r="D1264" s="5" t="s">
        <v>23</v>
      </c>
      <c r="E1264" s="5" t="s">
        <v>23</v>
      </c>
      <c r="F1264" s="8">
        <f>IF(OR(LOOKUP(A1264,characters!A:A,characters!B:B)=-1, LOOKUP(A1264,characters!A:A,characters!B:B)+0.1&gt;=B1264),1,0)</f>
        <v/>
      </c>
    </row>
    <row r="1265" spans="1:10">
      <c r="A1265" s="4" t="s">
        <v>112</v>
      </c>
      <c r="B1265" s="7">
        <v>2</v>
      </c>
      <c r="C1265" s="6">
        <f>IF(F1265=1,1.0,0)</f>
        <v/>
      </c>
      <c r="D1265" s="5" t="s">
        <v>23</v>
      </c>
      <c r="E1265" s="5" t="s">
        <v>23</v>
      </c>
      <c r="F1265" s="8">
        <f>IF(OR(LOOKUP(A1265,characters!A:A,characters!B:B)=-1, LOOKUP(A1265,characters!A:A,characters!B:B)+0.1&gt;=B1265),1,0)</f>
        <v/>
      </c>
    </row>
    <row r="1266" spans="1:10">
      <c r="A1266" s="4" t="s">
        <v>100</v>
      </c>
      <c r="B1266" s="7">
        <v>2</v>
      </c>
      <c r="C1266" s="6">
        <f>IF(F1266=1,1.0,0)</f>
        <v/>
      </c>
      <c r="D1266" s="5" t="s">
        <v>23</v>
      </c>
      <c r="E1266" s="5" t="s">
        <v>23</v>
      </c>
      <c r="F1266" s="8">
        <f>IF(OR(LOOKUP(A1266,characters!A:A,characters!B:B)=-1, LOOKUP(A1266,characters!A:A,characters!B:B)+0.1&gt;=B1266),1,0)</f>
        <v/>
      </c>
    </row>
    <row r="1267" spans="1:10">
      <c r="A1267" s="4" t="s">
        <v>86</v>
      </c>
      <c r="B1267" s="7">
        <v>0</v>
      </c>
      <c r="C1267" s="6">
        <f>IF(F1267=1,1.0,0)</f>
        <v/>
      </c>
      <c r="D1267" s="5" t="s">
        <v>23</v>
      </c>
      <c r="E1267" s="5" t="s">
        <v>23</v>
      </c>
      <c r="F1267" s="8">
        <f>IF(OR(LOOKUP(A1267,characters!A:A,characters!B:B)=-1, LOOKUP(A1267,characters!A:A,characters!B:B)+0.1&gt;=B1267),1,0)</f>
        <v/>
      </c>
    </row>
    <row r="1268" spans="1:10">
      <c r="A1268" s="4" t="s">
        <v>110</v>
      </c>
      <c r="B1268" s="7">
        <v>1</v>
      </c>
      <c r="C1268" s="6">
        <f>IF(F1268=1,1.0,0)</f>
        <v/>
      </c>
      <c r="D1268" s="5" t="s">
        <v>23</v>
      </c>
      <c r="E1268" s="5" t="s">
        <v>23</v>
      </c>
      <c r="F1268" s="8">
        <f>IF(OR(LOOKUP(A1268,characters!A:A,characters!B:B)=-1, LOOKUP(A1268,characters!A:A,characters!B:B)+0.1&gt;=B1268),1,0)</f>
        <v/>
      </c>
    </row>
    <row r="1269" spans="1:10">
      <c r="A1269" s="4" t="s">
        <v>83</v>
      </c>
      <c r="B1269" s="7">
        <v>1</v>
      </c>
      <c r="C1269" s="5" t="s">
        <v>23</v>
      </c>
      <c r="D1269" s="5" t="s">
        <v>23</v>
      </c>
      <c r="E1269" s="6">
        <f>IF(F1269=1,1.0,0)</f>
        <v/>
      </c>
      <c r="F1269" s="8">
        <f>IF(OR(LOOKUP(A1269,characters!A:A,characters!B:B)=-1, LOOKUP(A1269,characters!A:A,characters!B:B)+0.1&gt;=B1269),1,0)</f>
        <v/>
      </c>
    </row>
    <row r="1270" spans="1:10">
      <c r="A1270" s="4" t="s">
        <v>84</v>
      </c>
      <c r="B1270" s="7">
        <v>2</v>
      </c>
      <c r="C1270" s="6">
        <f>IF(F1270=1,1.0,0)</f>
        <v/>
      </c>
      <c r="D1270" s="5" t="s">
        <v>23</v>
      </c>
      <c r="E1270" s="5" t="s">
        <v>23</v>
      </c>
      <c r="F1270" s="8">
        <f>IF(OR(LOOKUP(A1270,characters!A:A,characters!B:B)=-1, LOOKUP(A1270,characters!A:A,characters!B:B)+0.1&gt;=B1270),1,0)</f>
        <v/>
      </c>
    </row>
    <row r="1277" spans="1:10">
      <c r="A1277" s="3" t="s">
        <v>129</v>
      </c>
    </row>
    <row r="1278" spans="1:10">
      <c r="A1278" s="3" t="s">
        <v>8</v>
      </c>
      <c r="B1278" s="3" t="s">
        <v>9</v>
      </c>
      <c r="C1278" s="3" t="s">
        <v>10</v>
      </c>
      <c r="D1278" s="3" t="s">
        <v>12</v>
      </c>
      <c r="E1278" s="3" t="s">
        <v>11</v>
      </c>
      <c r="F1278" s="3" t="s">
        <v>13</v>
      </c>
      <c r="G1278" s="3" t="s">
        <v>16</v>
      </c>
      <c r="H1278" s="3" t="s">
        <v>19</v>
      </c>
      <c r="I1278" s="3" t="s">
        <v>21</v>
      </c>
    </row>
    <row r="1279" spans="1:10">
      <c r="A1279" s="4" t="s">
        <v>22</v>
      </c>
      <c r="B1279" s="5" t="s">
        <v>23</v>
      </c>
      <c r="C1279" s="6">
        <f>IF(SUM(J1280:J1283)=0,0,SUM(C1280:C1283)/SUM(J1280:J1283))</f>
        <v/>
      </c>
      <c r="D1279" s="6">
        <f>IF(SUM(J1280:J1283)=0,0,SUM(D1280:D1283)/SUM(J1280:J1283))</f>
        <v/>
      </c>
      <c r="E1279" s="6">
        <f>IF(SUM(J1280:J1283)=0,0,SUM(E1280:E1283)/SUM(J1280:J1283))</f>
        <v/>
      </c>
      <c r="F1279" s="6">
        <f>IF(SUM(J1280:J1283)=0,0,SUM(F1280:F1283)/SUM(J1280:J1283))</f>
        <v/>
      </c>
      <c r="G1279" s="6">
        <f>IF(SUM(J1280:J1283)=0,0,SUM(G1280:G1283)/SUM(J1280:J1283))</f>
        <v/>
      </c>
      <c r="H1279" s="6">
        <f>IF(SUM(J1280:J1283)=0,0,SUM(H1280:H1283)/SUM(J1280:J1283))</f>
        <v/>
      </c>
      <c r="I1279" s="6">
        <f>IF(SUM(J1280:J1283)=0,0,SUM(I1280:I1283)/SUM(J1280:J1283))</f>
        <v/>
      </c>
    </row>
    <row r="1280" spans="1:10">
      <c r="A1280" s="4" t="s">
        <v>25</v>
      </c>
      <c r="B1280" s="7">
        <v>0</v>
      </c>
      <c r="C1280" s="6">
        <f>IF(J1280=1,0.99,0)</f>
        <v/>
      </c>
      <c r="D1280" s="6">
        <f>IF(J1280=1,1.0,0)</f>
        <v/>
      </c>
      <c r="E1280" s="6">
        <f>IF(J1280=1,0.69,0)</f>
        <v/>
      </c>
      <c r="F1280" s="5" t="s">
        <v>23</v>
      </c>
      <c r="G1280" s="5" t="s">
        <v>23</v>
      </c>
      <c r="H1280" s="6">
        <f>IF(J1280=1,0.89,0)</f>
        <v/>
      </c>
      <c r="I1280" s="6">
        <f>IF(J1280=1,0.79,0)</f>
        <v/>
      </c>
      <c r="J1280" s="8">
        <f>IF(OR(LOOKUP(A1280,characters!A:A,characters!B:B)=-1, LOOKUP(A1280,characters!A:A,characters!B:B)+0.1&gt;=B1280),1,0)</f>
        <v/>
      </c>
    </row>
    <row r="1281" spans="1:10">
      <c r="A1281" s="4" t="s">
        <v>30</v>
      </c>
      <c r="B1281" s="7">
        <v>0</v>
      </c>
      <c r="C1281" s="6">
        <f>IF(J1281=1,1.0,0)</f>
        <v/>
      </c>
      <c r="D1281" s="6">
        <f>IF(J1281=1,1.0,0)</f>
        <v/>
      </c>
      <c r="E1281" s="6">
        <f>IF(J1281=1,0.9,0)</f>
        <v/>
      </c>
      <c r="F1281" s="6">
        <f>IF(J1281=1,0.9,0)</f>
        <v/>
      </c>
      <c r="G1281" s="5" t="s">
        <v>23</v>
      </c>
      <c r="H1281" s="5" t="s">
        <v>23</v>
      </c>
      <c r="I1281" s="5" t="s">
        <v>23</v>
      </c>
      <c r="J1281" s="8">
        <f>IF(OR(LOOKUP(A1281,characters!A:A,characters!B:B)=-1, LOOKUP(A1281,characters!A:A,characters!B:B)+0.1&gt;=B1281),1,0)</f>
        <v/>
      </c>
    </row>
    <row r="1282" spans="1:10">
      <c r="A1282" s="4" t="s">
        <v>38</v>
      </c>
      <c r="B1282" s="7">
        <v>0</v>
      </c>
      <c r="C1282" s="6">
        <f>IF(J1282=1,1.0,0)</f>
        <v/>
      </c>
      <c r="D1282" s="6">
        <f>IF(J1282=1,0.9,0)</f>
        <v/>
      </c>
      <c r="E1282" s="6">
        <f>IF(J1282=1,0.8,0)</f>
        <v/>
      </c>
      <c r="F1282" s="6">
        <f>IF(J1282=1,0.8,0)</f>
        <v/>
      </c>
      <c r="G1282" s="6">
        <f>IF(J1282=1,1.0,0)</f>
        <v/>
      </c>
      <c r="H1282" s="5" t="s">
        <v>23</v>
      </c>
      <c r="I1282" s="5" t="s">
        <v>23</v>
      </c>
      <c r="J1282" s="8">
        <f>IF(OR(LOOKUP(A1282,characters!A:A,characters!B:B)=-1, LOOKUP(A1282,characters!A:A,characters!B:B)+0.1&gt;=B1282),1,0)</f>
        <v/>
      </c>
    </row>
    <row r="1283" spans="1:10">
      <c r="A1283" s="4" t="s">
        <v>47</v>
      </c>
      <c r="B1283" s="7">
        <v>0</v>
      </c>
      <c r="C1283" s="6">
        <f>IF(J1283=1,0.9,0)</f>
        <v/>
      </c>
      <c r="D1283" s="6">
        <f>IF(J1283=1,0.8,0)</f>
        <v/>
      </c>
      <c r="E1283" s="6">
        <f>IF(J1283=1,1.0,0)</f>
        <v/>
      </c>
      <c r="F1283" s="6">
        <f>IF(J1283=1,0.7,0)</f>
        <v/>
      </c>
      <c r="G1283" s="6">
        <f>IF(J1283=1,0.6,0)</f>
        <v/>
      </c>
      <c r="H1283" s="5" t="s">
        <v>23</v>
      </c>
      <c r="I1283" s="5" t="s">
        <v>23</v>
      </c>
      <c r="J1283" s="8">
        <f>IF(OR(LOOKUP(A1283,characters!A:A,characters!B:B)=-1, LOOKUP(A1283,characters!A:A,characters!B:B)+0.1&gt;=B1283),1,0)</f>
        <v/>
      </c>
    </row>
    <row r="1285" spans="1:10">
      <c r="A1285" s="3" t="s">
        <v>49</v>
      </c>
      <c r="B1285" s="3" t="s">
        <v>9</v>
      </c>
      <c r="C1285" s="3" t="s">
        <v>12</v>
      </c>
      <c r="D1285" s="3" t="s">
        <v>19</v>
      </c>
      <c r="E1285" s="3" t="s">
        <v>16</v>
      </c>
    </row>
    <row r="1286" spans="1:10">
      <c r="A1286" s="4" t="s">
        <v>22</v>
      </c>
      <c r="B1286" s="5" t="s">
        <v>23</v>
      </c>
      <c r="C1286" s="6">
        <f>IF(SUM(F1287:F1290)=0,0,SUM(C1287:C1290)/SUM(F1287:F1290))</f>
        <v/>
      </c>
      <c r="D1286" s="6">
        <f>IF(SUM(F1287:F1290)=0,0,SUM(D1287:D1290)/SUM(F1287:F1290))</f>
        <v/>
      </c>
      <c r="E1286" s="6">
        <f>IF(SUM(F1287:F1290)=0,0,SUM(E1287:E1290)/SUM(F1287:F1290))</f>
        <v/>
      </c>
    </row>
    <row r="1287" spans="1:10">
      <c r="A1287" s="4" t="s">
        <v>25</v>
      </c>
      <c r="B1287" s="7">
        <v>0</v>
      </c>
      <c r="C1287" s="6">
        <f>IF(F1287=1,1.0,0)</f>
        <v/>
      </c>
      <c r="D1287" s="6">
        <f>IF(F1287=1,1.0,0)</f>
        <v/>
      </c>
      <c r="E1287" s="5" t="s">
        <v>23</v>
      </c>
      <c r="F1287" s="8">
        <f>IF(OR(LOOKUP(A1287,characters!A:A,characters!B:B)=-1, LOOKUP(A1287,characters!A:A,characters!B:B)+0.1&gt;=B1287),1,0)</f>
        <v/>
      </c>
    </row>
    <row r="1288" spans="1:10">
      <c r="A1288" s="4" t="s">
        <v>30</v>
      </c>
      <c r="B1288" s="7">
        <v>0</v>
      </c>
      <c r="C1288" s="6">
        <f>IF(F1288=1,1.0,0)</f>
        <v/>
      </c>
      <c r="D1288" s="5" t="s">
        <v>23</v>
      </c>
      <c r="E1288" s="5" t="s">
        <v>23</v>
      </c>
      <c r="F1288" s="8">
        <f>IF(OR(LOOKUP(A1288,characters!A:A,characters!B:B)=-1, LOOKUP(A1288,characters!A:A,characters!B:B)+0.1&gt;=B1288),1,0)</f>
        <v/>
      </c>
    </row>
    <row r="1289" spans="1:10">
      <c r="A1289" s="4" t="s">
        <v>38</v>
      </c>
      <c r="B1289" s="7">
        <v>0</v>
      </c>
      <c r="C1289" s="6">
        <f>IF(F1289=1,0.99,0)</f>
        <v/>
      </c>
      <c r="D1289" s="5" t="s">
        <v>23</v>
      </c>
      <c r="E1289" s="6">
        <f>IF(F1289=1,1.0,0)</f>
        <v/>
      </c>
      <c r="F1289" s="8">
        <f>IF(OR(LOOKUP(A1289,characters!A:A,characters!B:B)=-1, LOOKUP(A1289,characters!A:A,characters!B:B)+0.1&gt;=B1289),1,0)</f>
        <v/>
      </c>
    </row>
    <row r="1290" spans="1:10">
      <c r="A1290" s="4" t="s">
        <v>47</v>
      </c>
      <c r="B1290" s="7">
        <v>0</v>
      </c>
      <c r="C1290" s="6">
        <f>IF(F1290=1,1.0,0)</f>
        <v/>
      </c>
      <c r="D1290" s="5" t="s">
        <v>23</v>
      </c>
      <c r="E1290" s="5" t="s">
        <v>23</v>
      </c>
      <c r="F1290" s="8">
        <f>IF(OR(LOOKUP(A1290,characters!A:A,characters!B:B)=-1, LOOKUP(A1290,characters!A:A,characters!B:B)+0.1&gt;=B1290),1,0)</f>
        <v/>
      </c>
    </row>
    <row r="1292" spans="1:10">
      <c r="A1292" s="3" t="s">
        <v>52</v>
      </c>
      <c r="B1292" s="3" t="s">
        <v>9</v>
      </c>
      <c r="C1292" s="3" t="s">
        <v>10</v>
      </c>
      <c r="D1292" s="3" t="s">
        <v>12</v>
      </c>
    </row>
    <row r="1293" spans="1:10">
      <c r="A1293" s="4" t="s">
        <v>22</v>
      </c>
      <c r="B1293" s="5" t="s">
        <v>23</v>
      </c>
      <c r="C1293" s="6">
        <f>IF(SUM(E1294:E1297)=0,0,SUM(C1294:C1297)/SUM(E1294:E1297))</f>
        <v/>
      </c>
      <c r="D1293" s="6">
        <f>IF(SUM(E1294:E1297)=0,0,SUM(D1294:D1297)/SUM(E1294:E1297))</f>
        <v/>
      </c>
    </row>
    <row r="1294" spans="1:10">
      <c r="A1294" s="4" t="s">
        <v>25</v>
      </c>
      <c r="B1294" s="7">
        <v>0</v>
      </c>
      <c r="C1294" s="6">
        <f>IF(E1294=1,1.0,0)</f>
        <v/>
      </c>
      <c r="D1294" s="6">
        <f>IF(E1294=1,0.99,0)</f>
        <v/>
      </c>
      <c r="E1294" s="8">
        <f>IF(OR(LOOKUP(A1294,characters!A:A,characters!B:B)=-1, LOOKUP(A1294,characters!A:A,characters!B:B)+0.1&gt;=B1294),1,0)</f>
        <v/>
      </c>
    </row>
    <row r="1295" spans="1:10">
      <c r="A1295" s="4" t="s">
        <v>30</v>
      </c>
      <c r="B1295" s="7">
        <v>0</v>
      </c>
      <c r="C1295" s="6">
        <f>IF(E1295=1,1.0,0)</f>
        <v/>
      </c>
      <c r="D1295" s="5" t="s">
        <v>23</v>
      </c>
      <c r="E1295" s="8">
        <f>IF(OR(LOOKUP(A1295,characters!A:A,characters!B:B)=-1, LOOKUP(A1295,characters!A:A,characters!B:B)+0.1&gt;=B1295),1,0)</f>
        <v/>
      </c>
    </row>
    <row r="1296" spans="1:10">
      <c r="A1296" s="4" t="s">
        <v>38</v>
      </c>
      <c r="B1296" s="7">
        <v>0</v>
      </c>
      <c r="C1296" s="6">
        <f>IF(E1296=1,1.0,0)</f>
        <v/>
      </c>
      <c r="D1296" s="5" t="s">
        <v>23</v>
      </c>
      <c r="E1296" s="8">
        <f>IF(OR(LOOKUP(A1296,characters!A:A,characters!B:B)=-1, LOOKUP(A1296,characters!A:A,characters!B:B)+0.1&gt;=B1296),1,0)</f>
        <v/>
      </c>
    </row>
    <row r="1297" spans="1:10">
      <c r="A1297" s="4" t="s">
        <v>47</v>
      </c>
      <c r="B1297" s="7">
        <v>0</v>
      </c>
      <c r="C1297" s="6">
        <f>IF(E1297=1,1.0,0)</f>
        <v/>
      </c>
      <c r="D1297" s="6">
        <f>IF(E1297=1,0.99,0)</f>
        <v/>
      </c>
      <c r="E1297" s="8">
        <f>IF(OR(LOOKUP(A1297,characters!A:A,characters!B:B)=-1, LOOKUP(A1297,characters!A:A,characters!B:B)+0.1&gt;=B1297),1,0)</f>
        <v/>
      </c>
    </row>
    <row r="1304" spans="1:10">
      <c r="A1304" s="3" t="s">
        <v>130</v>
      </c>
    </row>
    <row r="1305" spans="1:10">
      <c r="A1305" s="3" t="s">
        <v>8</v>
      </c>
      <c r="B1305" s="3" t="s">
        <v>9</v>
      </c>
      <c r="C1305" s="3" t="s">
        <v>10</v>
      </c>
      <c r="D1305" s="3" t="s">
        <v>12</v>
      </c>
      <c r="E1305" s="3" t="s">
        <v>11</v>
      </c>
      <c r="F1305" s="3" t="s">
        <v>13</v>
      </c>
      <c r="G1305" s="3" t="s">
        <v>16</v>
      </c>
      <c r="H1305" s="3" t="s">
        <v>19</v>
      </c>
      <c r="I1305" s="3" t="s">
        <v>21</v>
      </c>
    </row>
    <row r="1306" spans="1:10">
      <c r="A1306" s="4" t="s">
        <v>22</v>
      </c>
      <c r="B1306" s="5" t="s">
        <v>23</v>
      </c>
      <c r="C1306" s="6">
        <f>IF(SUM(J1307:J1311)=0,0,SUM(C1307:C1311)/SUM(J1307:J1311))</f>
        <v/>
      </c>
      <c r="D1306" s="6">
        <f>IF(SUM(J1307:J1311)=0,0,SUM(D1307:D1311)/SUM(J1307:J1311))</f>
        <v/>
      </c>
      <c r="E1306" s="6">
        <f>IF(SUM(J1307:J1311)=0,0,SUM(E1307:E1311)/SUM(J1307:J1311))</f>
        <v/>
      </c>
      <c r="F1306" s="6">
        <f>IF(SUM(J1307:J1311)=0,0,SUM(F1307:F1311)/SUM(J1307:J1311))</f>
        <v/>
      </c>
      <c r="G1306" s="6">
        <f>IF(SUM(J1307:J1311)=0,0,SUM(G1307:G1311)/SUM(J1307:J1311))</f>
        <v/>
      </c>
      <c r="H1306" s="6">
        <f>IF(SUM(J1307:J1311)=0,0,SUM(H1307:H1311)/SUM(J1307:J1311))</f>
        <v/>
      </c>
      <c r="I1306" s="6">
        <f>IF(SUM(J1307:J1311)=0,0,SUM(I1307:I1311)/SUM(J1307:J1311))</f>
        <v/>
      </c>
    </row>
    <row r="1307" spans="1:10">
      <c r="A1307" s="4" t="s">
        <v>25</v>
      </c>
      <c r="B1307" s="7">
        <v>1</v>
      </c>
      <c r="C1307" s="6">
        <f>IF(J1307=1,0.99,0)</f>
        <v/>
      </c>
      <c r="D1307" s="6">
        <f>IF(J1307=1,1.0,0)</f>
        <v/>
      </c>
      <c r="E1307" s="6">
        <f>IF(J1307=1,0.69,0)</f>
        <v/>
      </c>
      <c r="F1307" s="5" t="s">
        <v>23</v>
      </c>
      <c r="G1307" s="5" t="s">
        <v>23</v>
      </c>
      <c r="H1307" s="6">
        <f>IF(J1307=1,0.89,0)</f>
        <v/>
      </c>
      <c r="I1307" s="6">
        <f>IF(J1307=1,0.79,0)</f>
        <v/>
      </c>
      <c r="J1307" s="8">
        <f>IF(OR(LOOKUP(A1307,characters!A:A,characters!B:B)=-1, LOOKUP(A1307,characters!A:A,characters!B:B)+0.1&gt;=B1307),1,0)</f>
        <v/>
      </c>
    </row>
    <row r="1308" spans="1:10">
      <c r="A1308" s="4" t="s">
        <v>38</v>
      </c>
      <c r="B1308" s="7">
        <v>1</v>
      </c>
      <c r="C1308" s="6">
        <f>IF(J1308=1,1.0,0)</f>
        <v/>
      </c>
      <c r="D1308" s="6">
        <f>IF(J1308=1,0.9,0)</f>
        <v/>
      </c>
      <c r="E1308" s="6">
        <f>IF(J1308=1,0.8,0)</f>
        <v/>
      </c>
      <c r="F1308" s="6">
        <f>IF(J1308=1,0.8,0)</f>
        <v/>
      </c>
      <c r="G1308" s="6">
        <f>IF(J1308=1,1.0,0)</f>
        <v/>
      </c>
      <c r="H1308" s="5" t="s">
        <v>23</v>
      </c>
      <c r="I1308" s="5" t="s">
        <v>23</v>
      </c>
      <c r="J1308" s="8">
        <f>IF(OR(LOOKUP(A1308,characters!A:A,characters!B:B)=-1, LOOKUP(A1308,characters!A:A,characters!B:B)+0.1&gt;=B1308),1,0)</f>
        <v/>
      </c>
    </row>
    <row r="1309" spans="1:10">
      <c r="A1309" s="4" t="s">
        <v>47</v>
      </c>
      <c r="B1309" s="7">
        <v>1</v>
      </c>
      <c r="C1309" s="6">
        <f>IF(J1309=1,0.9,0)</f>
        <v/>
      </c>
      <c r="D1309" s="6">
        <f>IF(J1309=1,0.8,0)</f>
        <v/>
      </c>
      <c r="E1309" s="6">
        <f>IF(J1309=1,1.0,0)</f>
        <v/>
      </c>
      <c r="F1309" s="6">
        <f>IF(J1309=1,0.7,0)</f>
        <v/>
      </c>
      <c r="G1309" s="6">
        <f>IF(J1309=1,0.6,0)</f>
        <v/>
      </c>
      <c r="H1309" s="5" t="s">
        <v>23</v>
      </c>
      <c r="I1309" s="5" t="s">
        <v>23</v>
      </c>
      <c r="J1309" s="8">
        <f>IF(OR(LOOKUP(A1309,characters!A:A,characters!B:B)=-1, LOOKUP(A1309,characters!A:A,characters!B:B)+0.1&gt;=B1309),1,0)</f>
        <v/>
      </c>
    </row>
    <row r="1310" spans="1:10">
      <c r="A1310" s="4" t="s">
        <v>30</v>
      </c>
      <c r="B1310" s="7">
        <v>2</v>
      </c>
      <c r="C1310" s="6">
        <f>IF(J1310=1,1.0,0)</f>
        <v/>
      </c>
      <c r="D1310" s="6">
        <f>IF(J1310=1,1.0,0)</f>
        <v/>
      </c>
      <c r="E1310" s="6">
        <f>IF(J1310=1,0.9,0)</f>
        <v/>
      </c>
      <c r="F1310" s="6">
        <f>IF(J1310=1,0.9,0)</f>
        <v/>
      </c>
      <c r="G1310" s="5" t="s">
        <v>23</v>
      </c>
      <c r="H1310" s="5" t="s">
        <v>23</v>
      </c>
      <c r="I1310" s="5" t="s">
        <v>23</v>
      </c>
      <c r="J1310" s="8">
        <f>IF(OR(LOOKUP(A1310,characters!A:A,characters!B:B)=-1, LOOKUP(A1310,characters!A:A,characters!B:B)+0.1&gt;=B1310),1,0)</f>
        <v/>
      </c>
    </row>
    <row r="1311" spans="1:10">
      <c r="A1311" s="4" t="s">
        <v>28</v>
      </c>
      <c r="B1311" s="7">
        <v>4</v>
      </c>
      <c r="C1311" s="6">
        <f>IF(J1311=1,1.0,0)</f>
        <v/>
      </c>
      <c r="D1311" s="6">
        <f>IF(J1311=1,0.99,0)</f>
        <v/>
      </c>
      <c r="E1311" s="6">
        <f>IF(J1311=1,0.89,0)</f>
        <v/>
      </c>
      <c r="F1311" s="6">
        <f>IF(J1311=1,1.0,0)</f>
        <v/>
      </c>
      <c r="G1311" s="5" t="s">
        <v>23</v>
      </c>
      <c r="H1311" s="5" t="s">
        <v>23</v>
      </c>
      <c r="I1311" s="5" t="s">
        <v>23</v>
      </c>
      <c r="J1311" s="8">
        <f>IF(OR(LOOKUP(A1311,characters!A:A,characters!B:B)=-1, LOOKUP(A1311,characters!A:A,characters!B:B)+0.1&gt;=B1311),1,0)</f>
        <v/>
      </c>
    </row>
    <row r="1313" spans="1:7">
      <c r="A1313" s="3" t="s">
        <v>49</v>
      </c>
      <c r="B1313" s="3" t="s">
        <v>9</v>
      </c>
      <c r="C1313" s="3" t="s">
        <v>12</v>
      </c>
      <c r="D1313" s="3" t="s">
        <v>19</v>
      </c>
      <c r="E1313" s="3" t="s">
        <v>13</v>
      </c>
      <c r="F1313" s="3" t="s">
        <v>16</v>
      </c>
    </row>
    <row r="1314" spans="1:7">
      <c r="A1314" s="4" t="s">
        <v>22</v>
      </c>
      <c r="B1314" s="5" t="s">
        <v>23</v>
      </c>
      <c r="C1314" s="6">
        <f>IF(SUM(G1315:G1319)=0,0,SUM(C1315:C1319)/SUM(G1315:G1319))</f>
        <v/>
      </c>
      <c r="D1314" s="6">
        <f>IF(SUM(G1315:G1319)=0,0,SUM(D1315:D1319)/SUM(G1315:G1319))</f>
        <v/>
      </c>
      <c r="E1314" s="6">
        <f>IF(SUM(G1315:G1319)=0,0,SUM(E1315:E1319)/SUM(G1315:G1319))</f>
        <v/>
      </c>
      <c r="F1314" s="6">
        <f>IF(SUM(G1315:G1319)=0,0,SUM(F1315:F1319)/SUM(G1315:G1319))</f>
        <v/>
      </c>
    </row>
    <row r="1315" spans="1:7">
      <c r="A1315" s="4" t="s">
        <v>25</v>
      </c>
      <c r="B1315" s="7">
        <v>1</v>
      </c>
      <c r="C1315" s="6">
        <f>IF(G1315=1,1.0,0)</f>
        <v/>
      </c>
      <c r="D1315" s="6">
        <f>IF(G1315=1,1.0,0)</f>
        <v/>
      </c>
      <c r="E1315" s="5" t="s">
        <v>23</v>
      </c>
      <c r="F1315" s="5" t="s">
        <v>23</v>
      </c>
      <c r="G1315" s="8">
        <f>IF(OR(LOOKUP(A1315,characters!A:A,characters!B:B)=-1, LOOKUP(A1315,characters!A:A,characters!B:B)+0.1&gt;=B1315),1,0)</f>
        <v/>
      </c>
    </row>
    <row r="1316" spans="1:7">
      <c r="A1316" s="4" t="s">
        <v>28</v>
      </c>
      <c r="B1316" s="7">
        <v>4</v>
      </c>
      <c r="C1316" s="6">
        <f>IF(G1316=1,0.9,0)</f>
        <v/>
      </c>
      <c r="D1316" s="5" t="s">
        <v>23</v>
      </c>
      <c r="E1316" s="6">
        <f>IF(G1316=1,1.0,0)</f>
        <v/>
      </c>
      <c r="F1316" s="5" t="s">
        <v>23</v>
      </c>
      <c r="G1316" s="8">
        <f>IF(OR(LOOKUP(A1316,characters!A:A,characters!B:B)=-1, LOOKUP(A1316,characters!A:A,characters!B:B)+0.1&gt;=B1316),1,0)</f>
        <v/>
      </c>
    </row>
    <row r="1317" spans="1:7">
      <c r="A1317" s="4" t="s">
        <v>30</v>
      </c>
      <c r="B1317" s="7">
        <v>2</v>
      </c>
      <c r="C1317" s="6">
        <f>IF(G1317=1,1.0,0)</f>
        <v/>
      </c>
      <c r="D1317" s="5" t="s">
        <v>23</v>
      </c>
      <c r="E1317" s="5" t="s">
        <v>23</v>
      </c>
      <c r="F1317" s="5" t="s">
        <v>23</v>
      </c>
      <c r="G1317" s="8">
        <f>IF(OR(LOOKUP(A1317,characters!A:A,characters!B:B)=-1, LOOKUP(A1317,characters!A:A,characters!B:B)+0.1&gt;=B1317),1,0)</f>
        <v/>
      </c>
    </row>
    <row r="1318" spans="1:7">
      <c r="A1318" s="4" t="s">
        <v>38</v>
      </c>
      <c r="B1318" s="7">
        <v>1</v>
      </c>
      <c r="C1318" s="6">
        <f>IF(G1318=1,0.99,0)</f>
        <v/>
      </c>
      <c r="D1318" s="5" t="s">
        <v>23</v>
      </c>
      <c r="E1318" s="5" t="s">
        <v>23</v>
      </c>
      <c r="F1318" s="6">
        <f>IF(G1318=1,1.0,0)</f>
        <v/>
      </c>
      <c r="G1318" s="8">
        <f>IF(OR(LOOKUP(A1318,characters!A:A,characters!B:B)=-1, LOOKUP(A1318,characters!A:A,characters!B:B)+0.1&gt;=B1318),1,0)</f>
        <v/>
      </c>
    </row>
    <row r="1319" spans="1:7">
      <c r="A1319" s="4" t="s">
        <v>47</v>
      </c>
      <c r="B1319" s="7">
        <v>1</v>
      </c>
      <c r="C1319" s="6">
        <f>IF(G1319=1,1.0,0)</f>
        <v/>
      </c>
      <c r="D1319" s="5" t="s">
        <v>23</v>
      </c>
      <c r="E1319" s="5" t="s">
        <v>23</v>
      </c>
      <c r="F1319" s="5" t="s">
        <v>23</v>
      </c>
      <c r="G1319" s="8">
        <f>IF(OR(LOOKUP(A1319,characters!A:A,characters!B:B)=-1, LOOKUP(A1319,characters!A:A,characters!B:B)+0.1&gt;=B1319),1,0)</f>
        <v/>
      </c>
    </row>
    <row r="1321" spans="1:7">
      <c r="A1321" s="3" t="s">
        <v>52</v>
      </c>
      <c r="B1321" s="3" t="s">
        <v>9</v>
      </c>
      <c r="C1321" s="3" t="s">
        <v>10</v>
      </c>
      <c r="D1321" s="3" t="s">
        <v>12</v>
      </c>
      <c r="E1321" s="3" t="s">
        <v>13</v>
      </c>
    </row>
    <row r="1322" spans="1:7">
      <c r="A1322" s="4" t="s">
        <v>22</v>
      </c>
      <c r="B1322" s="5" t="s">
        <v>23</v>
      </c>
      <c r="C1322" s="6">
        <f>IF(SUM(F1323:F1327)=0,0,SUM(C1323:C1327)/SUM(F1323:F1327))</f>
        <v/>
      </c>
      <c r="D1322" s="6">
        <f>IF(SUM(F1323:F1327)=0,0,SUM(D1323:D1327)/SUM(F1323:F1327))</f>
        <v/>
      </c>
      <c r="E1322" s="6">
        <f>IF(SUM(F1323:F1327)=0,0,SUM(E1323:E1327)/SUM(F1323:F1327))</f>
        <v/>
      </c>
    </row>
    <row r="1323" spans="1:7">
      <c r="A1323" s="4" t="s">
        <v>25</v>
      </c>
      <c r="B1323" s="7">
        <v>1</v>
      </c>
      <c r="C1323" s="6">
        <f>IF(F1323=1,1.0,0)</f>
        <v/>
      </c>
      <c r="D1323" s="6">
        <f>IF(F1323=1,0.99,0)</f>
        <v/>
      </c>
      <c r="E1323" s="5" t="s">
        <v>23</v>
      </c>
      <c r="F1323" s="8">
        <f>IF(OR(LOOKUP(A1323,characters!A:A,characters!B:B)=-1, LOOKUP(A1323,characters!A:A,characters!B:B)+0.1&gt;=B1323),1,0)</f>
        <v/>
      </c>
    </row>
    <row r="1324" spans="1:7">
      <c r="A1324" s="4" t="s">
        <v>28</v>
      </c>
      <c r="B1324" s="7">
        <v>4</v>
      </c>
      <c r="C1324" s="6">
        <f>IF(F1324=1,1.0,0)</f>
        <v/>
      </c>
      <c r="D1324" s="5" t="s">
        <v>23</v>
      </c>
      <c r="E1324" s="6">
        <f>IF(F1324=1,0.9,0)</f>
        <v/>
      </c>
      <c r="F1324" s="8">
        <f>IF(OR(LOOKUP(A1324,characters!A:A,characters!B:B)=-1, LOOKUP(A1324,characters!A:A,characters!B:B)+0.1&gt;=B1324),1,0)</f>
        <v/>
      </c>
    </row>
    <row r="1325" spans="1:7">
      <c r="A1325" s="4" t="s">
        <v>30</v>
      </c>
      <c r="B1325" s="7">
        <v>2</v>
      </c>
      <c r="C1325" s="6">
        <f>IF(F1325=1,1.0,0)</f>
        <v/>
      </c>
      <c r="D1325" s="5" t="s">
        <v>23</v>
      </c>
      <c r="E1325" s="5" t="s">
        <v>23</v>
      </c>
      <c r="F1325" s="8">
        <f>IF(OR(LOOKUP(A1325,characters!A:A,characters!B:B)=-1, LOOKUP(A1325,characters!A:A,characters!B:B)+0.1&gt;=B1325),1,0)</f>
        <v/>
      </c>
    </row>
    <row r="1326" spans="1:7">
      <c r="A1326" s="4" t="s">
        <v>38</v>
      </c>
      <c r="B1326" s="7">
        <v>1</v>
      </c>
      <c r="C1326" s="6">
        <f>IF(F1326=1,1.0,0)</f>
        <v/>
      </c>
      <c r="D1326" s="5" t="s">
        <v>23</v>
      </c>
      <c r="E1326" s="5" t="s">
        <v>23</v>
      </c>
      <c r="F1326" s="8">
        <f>IF(OR(LOOKUP(A1326,characters!A:A,characters!B:B)=-1, LOOKUP(A1326,characters!A:A,characters!B:B)+0.1&gt;=B1326),1,0)</f>
        <v/>
      </c>
    </row>
    <row r="1327" spans="1:7">
      <c r="A1327" s="4" t="s">
        <v>47</v>
      </c>
      <c r="B1327" s="7">
        <v>1</v>
      </c>
      <c r="C1327" s="6">
        <f>IF(F1327=1,1.0,0)</f>
        <v/>
      </c>
      <c r="D1327" s="6">
        <f>IF(F1327=1,0.99,0)</f>
        <v/>
      </c>
      <c r="E1327" s="5" t="s">
        <v>23</v>
      </c>
      <c r="F1327" s="8">
        <f>IF(OR(LOOKUP(A1327,characters!A:A,characters!B:B)=-1, LOOKUP(A1327,characters!A:A,characters!B:B)+0.1&gt;=B1327),1,0)</f>
        <v/>
      </c>
    </row>
    <row r="1334" spans="1:10">
      <c r="A1334" s="3" t="s">
        <v>131</v>
      </c>
    </row>
    <row r="1335" spans="1:10">
      <c r="A1335" s="3" t="s">
        <v>8</v>
      </c>
      <c r="B1335" s="3" t="s">
        <v>9</v>
      </c>
      <c r="C1335" s="3" t="s">
        <v>10</v>
      </c>
      <c r="D1335" s="3" t="s">
        <v>21</v>
      </c>
      <c r="E1335" s="3" t="s">
        <v>19</v>
      </c>
      <c r="F1335" s="3" t="s">
        <v>13</v>
      </c>
      <c r="G1335" s="3" t="s">
        <v>17</v>
      </c>
      <c r="H1335" s="3" t="s">
        <v>12</v>
      </c>
      <c r="I1335" s="3" t="s">
        <v>11</v>
      </c>
    </row>
    <row r="1336" spans="1:10">
      <c r="A1336" s="4" t="s">
        <v>22</v>
      </c>
      <c r="B1336" s="5" t="s">
        <v>23</v>
      </c>
      <c r="C1336" s="6">
        <f>IF(SUM(J1337:J1340)=0,0,SUM(C1337:C1340)/SUM(J1337:J1340))</f>
        <v/>
      </c>
      <c r="D1336" s="6">
        <f>IF(SUM(J1337:J1340)=0,0,SUM(D1337:D1340)/SUM(J1337:J1340))</f>
        <v/>
      </c>
      <c r="E1336" s="6">
        <f>IF(SUM(J1337:J1340)=0,0,SUM(E1337:E1340)/SUM(J1337:J1340))</f>
        <v/>
      </c>
      <c r="F1336" s="6">
        <f>IF(SUM(J1337:J1340)=0,0,SUM(F1337:F1340)/SUM(J1337:J1340))</f>
        <v/>
      </c>
      <c r="G1336" s="6">
        <f>IF(SUM(J1337:J1340)=0,0,SUM(G1337:G1340)/SUM(J1337:J1340))</f>
        <v/>
      </c>
      <c r="H1336" s="6">
        <f>IF(SUM(J1337:J1340)=0,0,SUM(H1337:H1340)/SUM(J1337:J1340))</f>
        <v/>
      </c>
      <c r="I1336" s="6">
        <f>IF(SUM(J1337:J1340)=0,0,SUM(I1337:I1340)/SUM(J1337:J1340))</f>
        <v/>
      </c>
    </row>
    <row r="1337" spans="1:10">
      <c r="A1337" s="4" t="s">
        <v>125</v>
      </c>
      <c r="B1337" s="7">
        <v>0</v>
      </c>
      <c r="C1337" s="6">
        <f>IF(J1337=1,1.0,0)</f>
        <v/>
      </c>
      <c r="D1337" s="6">
        <f>IF(J1337=1,0.9,0)</f>
        <v/>
      </c>
      <c r="E1337" s="6">
        <f>IF(J1337=1,0.9,0)</f>
        <v/>
      </c>
      <c r="F1337" s="6">
        <f>IF(J1337=1,0.8,0)</f>
        <v/>
      </c>
      <c r="G1337" s="5" t="s">
        <v>23</v>
      </c>
      <c r="H1337" s="5" t="s">
        <v>23</v>
      </c>
      <c r="I1337" s="5" t="s">
        <v>23</v>
      </c>
      <c r="J1337" s="8">
        <f>IF(OR(LOOKUP(A1337,characters!A:A,characters!B:B)=-1, LOOKUP(A1337,characters!A:A,characters!B:B)+0.1&gt;=B1337),1,0)</f>
        <v/>
      </c>
    </row>
    <row r="1338" spans="1:10">
      <c r="A1338" s="4" t="s">
        <v>28</v>
      </c>
      <c r="B1338" s="7">
        <v>0</v>
      </c>
      <c r="C1338" s="6">
        <f>IF(J1338=1,1.0,0)</f>
        <v/>
      </c>
      <c r="D1338" s="5" t="s">
        <v>23</v>
      </c>
      <c r="E1338" s="5" t="s">
        <v>23</v>
      </c>
      <c r="F1338" s="6">
        <f>IF(J1338=1,1.0,0)</f>
        <v/>
      </c>
      <c r="G1338" s="5" t="s">
        <v>23</v>
      </c>
      <c r="H1338" s="6">
        <f>IF(J1338=1,0.99,0)</f>
        <v/>
      </c>
      <c r="I1338" s="6">
        <f>IF(J1338=1,0.89,0)</f>
        <v/>
      </c>
      <c r="J1338" s="8">
        <f>IF(OR(LOOKUP(A1338,characters!A:A,characters!B:B)=-1, LOOKUP(A1338,characters!A:A,characters!B:B)+0.1&gt;=B1338),1,0)</f>
        <v/>
      </c>
    </row>
    <row r="1339" spans="1:10">
      <c r="A1339" s="4" t="s">
        <v>72</v>
      </c>
      <c r="B1339" s="7">
        <v>1</v>
      </c>
      <c r="C1339" s="6">
        <f>IF(J1339=1,1.0,0)</f>
        <v/>
      </c>
      <c r="D1339" s="6">
        <f>IF(J1339=1,1.0,0)</f>
        <v/>
      </c>
      <c r="E1339" s="6">
        <f>IF(J1339=1,1.0,0)</f>
        <v/>
      </c>
      <c r="F1339" s="5" t="s">
        <v>23</v>
      </c>
      <c r="G1339" s="6">
        <f>IF(J1339=1,0.9,0)</f>
        <v/>
      </c>
      <c r="H1339" s="5" t="s">
        <v>23</v>
      </c>
      <c r="I1339" s="5" t="s">
        <v>23</v>
      </c>
      <c r="J1339" s="8">
        <f>IF(OR(LOOKUP(A1339,characters!A:A,characters!B:B)=-1, LOOKUP(A1339,characters!A:A,characters!B:B)+0.1&gt;=B1339),1,0)</f>
        <v/>
      </c>
    </row>
    <row r="1340" spans="1:10">
      <c r="A1340" s="4" t="s">
        <v>57</v>
      </c>
      <c r="B1340" s="7">
        <v>2</v>
      </c>
      <c r="C1340" s="6">
        <f>IF(J1340=1,1.0,0)</f>
        <v/>
      </c>
      <c r="D1340" s="6">
        <f>IF(J1340=1,0.9,0)</f>
        <v/>
      </c>
      <c r="E1340" s="6">
        <f>IF(J1340=1,0.9,0)</f>
        <v/>
      </c>
      <c r="F1340" s="5" t="s">
        <v>23</v>
      </c>
      <c r="G1340" s="6">
        <f>IF(J1340=1,0.8,0)</f>
        <v/>
      </c>
      <c r="H1340" s="5" t="s">
        <v>23</v>
      </c>
      <c r="I1340" s="5" t="s">
        <v>23</v>
      </c>
      <c r="J1340" s="8">
        <f>IF(OR(LOOKUP(A1340,characters!A:A,characters!B:B)=-1, LOOKUP(A1340,characters!A:A,characters!B:B)+0.1&gt;=B1340),1,0)</f>
        <v/>
      </c>
    </row>
    <row r="1342" spans="1:10">
      <c r="A1342" s="3" t="s">
        <v>49</v>
      </c>
      <c r="B1342" s="3" t="s">
        <v>9</v>
      </c>
      <c r="C1342" s="3" t="s">
        <v>21</v>
      </c>
      <c r="D1342" s="3" t="s">
        <v>19</v>
      </c>
      <c r="E1342" s="3" t="s">
        <v>13</v>
      </c>
      <c r="F1342" s="3" t="s">
        <v>12</v>
      </c>
    </row>
    <row r="1343" spans="1:10">
      <c r="A1343" s="4" t="s">
        <v>22</v>
      </c>
      <c r="B1343" s="5" t="s">
        <v>23</v>
      </c>
      <c r="C1343" s="6">
        <f>IF(SUM(G1344:G1347)=0,0,SUM(C1344:C1347)/SUM(G1344:G1347))</f>
        <v/>
      </c>
      <c r="D1343" s="6">
        <f>IF(SUM(G1344:G1347)=0,0,SUM(D1344:D1347)/SUM(G1344:G1347))</f>
        <v/>
      </c>
      <c r="E1343" s="6">
        <f>IF(SUM(G1344:G1347)=0,0,SUM(E1344:E1347)/SUM(G1344:G1347))</f>
        <v/>
      </c>
      <c r="F1343" s="6">
        <f>IF(SUM(G1344:G1347)=0,0,SUM(F1344:F1347)/SUM(G1344:G1347))</f>
        <v/>
      </c>
    </row>
    <row r="1344" spans="1:10">
      <c r="A1344" s="4" t="s">
        <v>57</v>
      </c>
      <c r="B1344" s="7">
        <v>2</v>
      </c>
      <c r="C1344" s="6">
        <f>IF(G1344=1,1.0,0)</f>
        <v/>
      </c>
      <c r="D1344" s="6">
        <f>IF(G1344=1,0.99,0)</f>
        <v/>
      </c>
      <c r="E1344" s="5" t="s">
        <v>23</v>
      </c>
      <c r="F1344" s="5" t="s">
        <v>23</v>
      </c>
      <c r="G1344" s="8">
        <f>IF(OR(LOOKUP(A1344,characters!A:A,characters!B:B)=-1, LOOKUP(A1344,characters!A:A,characters!B:B)+0.1&gt;=B1344),1,0)</f>
        <v/>
      </c>
    </row>
    <row r="1345" spans="1:7">
      <c r="A1345" s="4" t="s">
        <v>125</v>
      </c>
      <c r="B1345" s="7">
        <v>0</v>
      </c>
      <c r="C1345" s="6">
        <f>IF(G1345=1,0.9,0)</f>
        <v/>
      </c>
      <c r="D1345" s="6">
        <f>IF(G1345=1,1.0,0)</f>
        <v/>
      </c>
      <c r="E1345" s="5" t="s">
        <v>23</v>
      </c>
      <c r="F1345" s="5" t="s">
        <v>23</v>
      </c>
      <c r="G1345" s="8">
        <f>IF(OR(LOOKUP(A1345,characters!A:A,characters!B:B)=-1, LOOKUP(A1345,characters!A:A,characters!B:B)+0.1&gt;=B1345),1,0)</f>
        <v/>
      </c>
    </row>
    <row r="1346" spans="1:7">
      <c r="A1346" s="4" t="s">
        <v>72</v>
      </c>
      <c r="B1346" s="7">
        <v>1</v>
      </c>
      <c r="C1346" s="6">
        <f>IF(G1346=1,1.0,0)</f>
        <v/>
      </c>
      <c r="D1346" s="6">
        <f>IF(G1346=1,0.99,0)</f>
        <v/>
      </c>
      <c r="E1346" s="5" t="s">
        <v>23</v>
      </c>
      <c r="F1346" s="5" t="s">
        <v>23</v>
      </c>
      <c r="G1346" s="8">
        <f>IF(OR(LOOKUP(A1346,characters!A:A,characters!B:B)=-1, LOOKUP(A1346,characters!A:A,characters!B:B)+0.1&gt;=B1346),1,0)</f>
        <v/>
      </c>
    </row>
    <row r="1347" spans="1:7">
      <c r="A1347" s="4" t="s">
        <v>28</v>
      </c>
      <c r="B1347" s="7">
        <v>0</v>
      </c>
      <c r="C1347" s="5" t="s">
        <v>23</v>
      </c>
      <c r="D1347" s="5" t="s">
        <v>23</v>
      </c>
      <c r="E1347" s="6">
        <f>IF(G1347=1,1.0,0)</f>
        <v/>
      </c>
      <c r="F1347" s="6">
        <f>IF(G1347=1,0.9,0)</f>
        <v/>
      </c>
      <c r="G1347" s="8">
        <f>IF(OR(LOOKUP(A1347,characters!A:A,characters!B:B)=-1, LOOKUP(A1347,characters!A:A,characters!B:B)+0.1&gt;=B1347),1,0)</f>
        <v/>
      </c>
    </row>
    <row r="1349" spans="1:7">
      <c r="A1349" s="3" t="s">
        <v>52</v>
      </c>
      <c r="B1349" s="3" t="s">
        <v>9</v>
      </c>
      <c r="C1349" s="3" t="s">
        <v>10</v>
      </c>
      <c r="D1349" s="3" t="s">
        <v>17</v>
      </c>
      <c r="E1349" s="3" t="s">
        <v>13</v>
      </c>
    </row>
    <row r="1350" spans="1:7">
      <c r="A1350" s="4" t="s">
        <v>22</v>
      </c>
      <c r="B1350" s="5" t="s">
        <v>23</v>
      </c>
      <c r="C1350" s="6">
        <f>IF(SUM(F1351:F1354)=0,0,SUM(C1351:C1354)/SUM(F1351:F1354))</f>
        <v/>
      </c>
      <c r="D1350" s="6">
        <f>IF(SUM(F1351:F1354)=0,0,SUM(D1351:D1354)/SUM(F1351:F1354))</f>
        <v/>
      </c>
      <c r="E1350" s="6">
        <f>IF(SUM(F1351:F1354)=0,0,SUM(E1351:E1354)/SUM(F1351:F1354))</f>
        <v/>
      </c>
    </row>
    <row r="1351" spans="1:7">
      <c r="A1351" s="4" t="s">
        <v>57</v>
      </c>
      <c r="B1351" s="7">
        <v>2</v>
      </c>
      <c r="C1351" s="6">
        <f>IF(F1351=1,1.0,0)</f>
        <v/>
      </c>
      <c r="D1351" s="6">
        <f>IF(F1351=1,0.99,0)</f>
        <v/>
      </c>
      <c r="E1351" s="5" t="s">
        <v>23</v>
      </c>
      <c r="F1351" s="8">
        <f>IF(OR(LOOKUP(A1351,characters!A:A,characters!B:B)=-1, LOOKUP(A1351,characters!A:A,characters!B:B)+0.1&gt;=B1351),1,0)</f>
        <v/>
      </c>
    </row>
    <row r="1352" spans="1:7">
      <c r="A1352" s="4" t="s">
        <v>125</v>
      </c>
      <c r="B1352" s="7">
        <v>0</v>
      </c>
      <c r="C1352" s="6">
        <f>IF(F1352=1,1.0,0)</f>
        <v/>
      </c>
      <c r="D1352" s="5" t="s">
        <v>23</v>
      </c>
      <c r="E1352" s="6">
        <f>IF(F1352=1,0.99,0)</f>
        <v/>
      </c>
      <c r="F1352" s="8">
        <f>IF(OR(LOOKUP(A1352,characters!A:A,characters!B:B)=-1, LOOKUP(A1352,characters!A:A,characters!B:B)+0.1&gt;=B1352),1,0)</f>
        <v/>
      </c>
    </row>
    <row r="1353" spans="1:7">
      <c r="A1353" s="4" t="s">
        <v>72</v>
      </c>
      <c r="B1353" s="7">
        <v>1</v>
      </c>
      <c r="C1353" s="5" t="s">
        <v>23</v>
      </c>
      <c r="D1353" s="6">
        <f>IF(F1353=1,1.0,0)</f>
        <v/>
      </c>
      <c r="E1353" s="5" t="s">
        <v>23</v>
      </c>
      <c r="F1353" s="8">
        <f>IF(OR(LOOKUP(A1353,characters!A:A,characters!B:B)=-1, LOOKUP(A1353,characters!A:A,characters!B:B)+0.1&gt;=B1353),1,0)</f>
        <v/>
      </c>
    </row>
    <row r="1354" spans="1:7">
      <c r="A1354" s="4" t="s">
        <v>28</v>
      </c>
      <c r="B1354" s="7">
        <v>0</v>
      </c>
      <c r="C1354" s="6">
        <f>IF(F1354=1,1.0,0)</f>
        <v/>
      </c>
      <c r="D1354" s="5" t="s">
        <v>23</v>
      </c>
      <c r="E1354" s="6">
        <f>IF(F1354=1,0.9,0)</f>
        <v/>
      </c>
      <c r="F1354" s="8">
        <f>IF(OR(LOOKUP(A1354,characters!A:A,characters!B:B)=-1, LOOKUP(A1354,characters!A:A,characters!B:B)+0.1&gt;=B1354),1,0)</f>
        <v/>
      </c>
    </row>
    <row r="1361" spans="1:10">
      <c r="A1361" s="3" t="s">
        <v>132</v>
      </c>
    </row>
    <row r="1362" spans="1:10">
      <c r="A1362" s="3" t="s">
        <v>8</v>
      </c>
      <c r="B1362" s="3" t="s">
        <v>9</v>
      </c>
      <c r="C1362" s="3" t="s">
        <v>10</v>
      </c>
      <c r="D1362" s="3" t="s">
        <v>18</v>
      </c>
      <c r="E1362" s="3" t="s">
        <v>13</v>
      </c>
      <c r="F1362" s="3" t="s">
        <v>12</v>
      </c>
      <c r="G1362" s="3" t="s">
        <v>11</v>
      </c>
      <c r="H1362" s="3" t="s">
        <v>14</v>
      </c>
      <c r="I1362" s="3" t="s">
        <v>15</v>
      </c>
    </row>
    <row r="1363" spans="1:10">
      <c r="A1363" s="4" t="s">
        <v>22</v>
      </c>
      <c r="B1363" s="5" t="s">
        <v>23</v>
      </c>
      <c r="C1363" s="6">
        <f>IF(SUM(J1364:J1366)=0,0,SUM(C1364:C1366)/SUM(J1364:J1366))</f>
        <v/>
      </c>
      <c r="D1363" s="6">
        <f>IF(SUM(J1364:J1366)=0,0,SUM(D1364:D1366)/SUM(J1364:J1366))</f>
        <v/>
      </c>
      <c r="E1363" s="6">
        <f>IF(SUM(J1364:J1366)=0,0,SUM(E1364:E1366)/SUM(J1364:J1366))</f>
        <v/>
      </c>
      <c r="F1363" s="6">
        <f>IF(SUM(J1364:J1366)=0,0,SUM(F1364:F1366)/SUM(J1364:J1366))</f>
        <v/>
      </c>
      <c r="G1363" s="6">
        <f>IF(SUM(J1364:J1366)=0,0,SUM(G1364:G1366)/SUM(J1364:J1366))</f>
        <v/>
      </c>
      <c r="H1363" s="6">
        <f>IF(SUM(J1364:J1366)=0,0,SUM(H1364:H1366)/SUM(J1364:J1366))</f>
        <v/>
      </c>
      <c r="I1363" s="6">
        <f>IF(SUM(J1364:J1366)=0,0,SUM(I1364:I1366)/SUM(J1364:J1366))</f>
        <v/>
      </c>
    </row>
    <row r="1364" spans="1:10">
      <c r="A1364" s="4" t="s">
        <v>48</v>
      </c>
      <c r="B1364" s="7">
        <v>0</v>
      </c>
      <c r="C1364" s="6">
        <f>IF(J1364=1,1.0,0)</f>
        <v/>
      </c>
      <c r="D1364" s="5" t="s">
        <v>23</v>
      </c>
      <c r="E1364" s="5" t="s">
        <v>23</v>
      </c>
      <c r="F1364" s="5" t="s">
        <v>23</v>
      </c>
      <c r="G1364" s="6">
        <f>IF(J1364=1,0.8,0)</f>
        <v/>
      </c>
      <c r="H1364" s="6">
        <f>IF(J1364=1,0.9,0)</f>
        <v/>
      </c>
      <c r="I1364" s="6">
        <f>IF(J1364=1,0.9,0)</f>
        <v/>
      </c>
      <c r="J1364" s="8">
        <f>IF(OR(LOOKUP(A1364,characters!A:A,characters!B:B)=-1, LOOKUP(A1364,characters!A:A,characters!B:B)+0.1&gt;=B1364),1,0)</f>
        <v/>
      </c>
    </row>
    <row r="1365" spans="1:10">
      <c r="A1365" s="4" t="s">
        <v>42</v>
      </c>
      <c r="B1365" s="7">
        <v>1</v>
      </c>
      <c r="C1365" s="6">
        <f>IF(J1365=1,0.9,0)</f>
        <v/>
      </c>
      <c r="D1365" s="6">
        <f>IF(J1365=1,1.0,0)</f>
        <v/>
      </c>
      <c r="E1365" s="6">
        <f>IF(J1365=1,0.8,0)</f>
        <v/>
      </c>
      <c r="F1365" s="6">
        <f>IF(J1365=1,0.8,0)</f>
        <v/>
      </c>
      <c r="G1365" s="6">
        <f>IF(J1365=1,0.7,0)</f>
        <v/>
      </c>
      <c r="H1365" s="5" t="s">
        <v>23</v>
      </c>
      <c r="I1365" s="5" t="s">
        <v>23</v>
      </c>
      <c r="J1365" s="8">
        <f>IF(OR(LOOKUP(A1365,characters!A:A,characters!B:B)=-1, LOOKUP(A1365,characters!A:A,characters!B:B)+0.1&gt;=B1365),1,0)</f>
        <v/>
      </c>
    </row>
    <row r="1366" spans="1:10">
      <c r="A1366" s="4" t="s">
        <v>46</v>
      </c>
      <c r="B1366" s="7">
        <v>1</v>
      </c>
      <c r="C1366" s="6">
        <f>IF(J1366=1,1.0,0)</f>
        <v/>
      </c>
      <c r="D1366" s="6">
        <f>IF(J1366=1,1.0,0)</f>
        <v/>
      </c>
      <c r="E1366" s="6">
        <f>IF(J1366=1,0.9,0)</f>
        <v/>
      </c>
      <c r="F1366" s="6">
        <f>IF(J1366=1,0.9,0)</f>
        <v/>
      </c>
      <c r="G1366" s="5" t="s">
        <v>23</v>
      </c>
      <c r="H1366" s="5" t="s">
        <v>23</v>
      </c>
      <c r="I1366" s="5" t="s">
        <v>23</v>
      </c>
      <c r="J1366" s="8">
        <f>IF(OR(LOOKUP(A1366,characters!A:A,characters!B:B)=-1, LOOKUP(A1366,characters!A:A,characters!B:B)+0.1&gt;=B1366),1,0)</f>
        <v/>
      </c>
    </row>
    <row r="1368" spans="1:10">
      <c r="A1368" s="3" t="s">
        <v>49</v>
      </c>
      <c r="B1368" s="3" t="s">
        <v>9</v>
      </c>
      <c r="C1368" s="3" t="s">
        <v>13</v>
      </c>
      <c r="D1368" s="3" t="s">
        <v>12</v>
      </c>
      <c r="E1368" s="3" t="s">
        <v>21</v>
      </c>
      <c r="F1368" s="3" t="s">
        <v>19</v>
      </c>
    </row>
    <row r="1369" spans="1:10">
      <c r="A1369" s="4" t="s">
        <v>22</v>
      </c>
      <c r="B1369" s="5" t="s">
        <v>23</v>
      </c>
      <c r="C1369" s="6">
        <f>IF(SUM(G1370:G1372)=0,0,SUM(C1370:C1372)/SUM(G1370:G1372))</f>
        <v/>
      </c>
      <c r="D1369" s="6">
        <f>IF(SUM(G1370:G1372)=0,0,SUM(D1370:D1372)/SUM(G1370:G1372))</f>
        <v/>
      </c>
      <c r="E1369" s="6">
        <f>IF(SUM(G1370:G1372)=0,0,SUM(E1370:E1372)/SUM(G1370:G1372))</f>
        <v/>
      </c>
      <c r="F1369" s="6">
        <f>IF(SUM(G1370:G1372)=0,0,SUM(F1370:F1372)/SUM(G1370:G1372))</f>
        <v/>
      </c>
    </row>
    <row r="1370" spans="1:10">
      <c r="A1370" s="4" t="s">
        <v>42</v>
      </c>
      <c r="B1370" s="7">
        <v>1</v>
      </c>
      <c r="C1370" s="6">
        <f>IF(G1370=1,1.0,0)</f>
        <v/>
      </c>
      <c r="D1370" s="6">
        <f>IF(G1370=1,0.9,0)</f>
        <v/>
      </c>
      <c r="E1370" s="5" t="s">
        <v>23</v>
      </c>
      <c r="F1370" s="5" t="s">
        <v>23</v>
      </c>
      <c r="G1370" s="8">
        <f>IF(OR(LOOKUP(A1370,characters!A:A,characters!B:B)=-1, LOOKUP(A1370,characters!A:A,characters!B:B)+0.1&gt;=B1370),1,0)</f>
        <v/>
      </c>
    </row>
    <row r="1371" spans="1:10">
      <c r="A1371" s="4" t="s">
        <v>46</v>
      </c>
      <c r="B1371" s="7">
        <v>1</v>
      </c>
      <c r="C1371" s="6">
        <f>IF(G1371=1,1.0,0)</f>
        <v/>
      </c>
      <c r="D1371" s="6">
        <f>IF(G1371=1,0.9,0)</f>
        <v/>
      </c>
      <c r="E1371" s="5" t="s">
        <v>23</v>
      </c>
      <c r="F1371" s="5" t="s">
        <v>23</v>
      </c>
      <c r="G1371" s="8">
        <f>IF(OR(LOOKUP(A1371,characters!A:A,characters!B:B)=-1, LOOKUP(A1371,characters!A:A,characters!B:B)+0.1&gt;=B1371),1,0)</f>
        <v/>
      </c>
    </row>
    <row r="1372" spans="1:10">
      <c r="A1372" s="4" t="s">
        <v>48</v>
      </c>
      <c r="B1372" s="7">
        <v>0</v>
      </c>
      <c r="C1372" s="5" t="s">
        <v>23</v>
      </c>
      <c r="D1372" s="5" t="s">
        <v>23</v>
      </c>
      <c r="E1372" s="6">
        <f>IF(G1372=1,1.0,0)</f>
        <v/>
      </c>
      <c r="F1372" s="6">
        <f>IF(G1372=1,0.99,0)</f>
        <v/>
      </c>
      <c r="G1372" s="8">
        <f>IF(OR(LOOKUP(A1372,characters!A:A,characters!B:B)=-1, LOOKUP(A1372,characters!A:A,characters!B:B)+0.1&gt;=B1372),1,0)</f>
        <v/>
      </c>
    </row>
    <row r="1374" spans="1:10">
      <c r="A1374" s="3" t="s">
        <v>52</v>
      </c>
      <c r="B1374" s="3" t="s">
        <v>9</v>
      </c>
      <c r="C1374" s="3" t="s">
        <v>10</v>
      </c>
      <c r="D1374" s="3" t="s">
        <v>17</v>
      </c>
    </row>
    <row r="1375" spans="1:10">
      <c r="A1375" s="4" t="s">
        <v>22</v>
      </c>
      <c r="B1375" s="5" t="s">
        <v>23</v>
      </c>
      <c r="C1375" s="6">
        <f>IF(SUM(E1376:E1378)=0,0,SUM(C1376:C1378)/SUM(E1376:E1378))</f>
        <v/>
      </c>
      <c r="D1375" s="6">
        <f>IF(SUM(E1376:E1378)=0,0,SUM(D1376:D1378)/SUM(E1376:E1378))</f>
        <v/>
      </c>
    </row>
    <row r="1376" spans="1:10">
      <c r="A1376" s="4" t="s">
        <v>42</v>
      </c>
      <c r="B1376" s="7">
        <v>1</v>
      </c>
      <c r="C1376" s="6">
        <f>IF(E1376=1,1.0,0)</f>
        <v/>
      </c>
      <c r="D1376" s="5" t="s">
        <v>23</v>
      </c>
      <c r="E1376" s="8">
        <f>IF(OR(LOOKUP(A1376,characters!A:A,characters!B:B)=-1, LOOKUP(A1376,characters!A:A,characters!B:B)+0.1&gt;=B1376),1,0)</f>
        <v/>
      </c>
    </row>
    <row r="1377" spans="1:11">
      <c r="A1377" s="4" t="s">
        <v>46</v>
      </c>
      <c r="B1377" s="7">
        <v>1</v>
      </c>
      <c r="C1377" s="6">
        <f>IF(E1377=1,1.0,0)</f>
        <v/>
      </c>
      <c r="D1377" s="5" t="s">
        <v>23</v>
      </c>
      <c r="E1377" s="8">
        <f>IF(OR(LOOKUP(A1377,characters!A:A,characters!B:B)=-1, LOOKUP(A1377,characters!A:A,characters!B:B)+0.1&gt;=B1377),1,0)</f>
        <v/>
      </c>
    </row>
    <row r="1378" spans="1:11">
      <c r="A1378" s="4" t="s">
        <v>48</v>
      </c>
      <c r="B1378" s="7">
        <v>0</v>
      </c>
      <c r="C1378" s="6">
        <f>IF(E1378=1,1.0,0)</f>
        <v/>
      </c>
      <c r="D1378" s="6">
        <f>IF(E1378=1,0.99,0)</f>
        <v/>
      </c>
      <c r="E1378" s="8">
        <f>IF(OR(LOOKUP(A1378,characters!A:A,characters!B:B)=-1, LOOKUP(A1378,characters!A:A,characters!B:B)+0.1&gt;=B1378),1,0)</f>
        <v/>
      </c>
    </row>
    <row r="1385" spans="1:11">
      <c r="A1385" s="3" t="s">
        <v>133</v>
      </c>
    </row>
    <row r="1386" spans="1:11">
      <c r="A1386" s="3" t="s">
        <v>8</v>
      </c>
      <c r="B1386" s="3" t="s">
        <v>9</v>
      </c>
      <c r="C1386" s="3" t="s">
        <v>10</v>
      </c>
      <c r="D1386" s="3" t="s">
        <v>11</v>
      </c>
      <c r="E1386" s="3" t="s">
        <v>14</v>
      </c>
      <c r="F1386" s="3" t="s">
        <v>15</v>
      </c>
      <c r="G1386" s="3" t="s">
        <v>18</v>
      </c>
      <c r="H1386" s="3" t="s">
        <v>13</v>
      </c>
      <c r="I1386" s="3" t="s">
        <v>12</v>
      </c>
      <c r="J1386" s="3" t="s">
        <v>17</v>
      </c>
    </row>
    <row r="1387" spans="1:11">
      <c r="A1387" s="4" t="s">
        <v>22</v>
      </c>
      <c r="B1387" s="5" t="s">
        <v>23</v>
      </c>
      <c r="C1387" s="6">
        <f>IF(SUM(K1388:K1394)=0,0,SUM(C1388:C1394)/SUM(K1388:K1394))</f>
        <v/>
      </c>
      <c r="D1387" s="6">
        <f>IF(SUM(K1388:K1394)=0,0,SUM(D1388:D1394)/SUM(K1388:K1394))</f>
        <v/>
      </c>
      <c r="E1387" s="6">
        <f>IF(SUM(K1388:K1394)=0,0,SUM(E1388:E1394)/SUM(K1388:K1394))</f>
        <v/>
      </c>
      <c r="F1387" s="6">
        <f>IF(SUM(K1388:K1394)=0,0,SUM(F1388:F1394)/SUM(K1388:K1394))</f>
        <v/>
      </c>
      <c r="G1387" s="6">
        <f>IF(SUM(K1388:K1394)=0,0,SUM(G1388:G1394)/SUM(K1388:K1394))</f>
        <v/>
      </c>
      <c r="H1387" s="6">
        <f>IF(SUM(K1388:K1394)=0,0,SUM(H1388:H1394)/SUM(K1388:K1394))</f>
        <v/>
      </c>
      <c r="I1387" s="6">
        <f>IF(SUM(K1388:K1394)=0,0,SUM(I1388:I1394)/SUM(K1388:K1394))</f>
        <v/>
      </c>
      <c r="J1387" s="6">
        <f>IF(SUM(K1388:K1394)=0,0,SUM(J1388:J1394)/SUM(K1388:K1394))</f>
        <v/>
      </c>
    </row>
    <row r="1388" spans="1:11">
      <c r="A1388" s="4" t="s">
        <v>41</v>
      </c>
      <c r="B1388" s="7">
        <v>0</v>
      </c>
      <c r="C1388" s="6">
        <f>IF(K1388=1,0.99,0)</f>
        <v/>
      </c>
      <c r="D1388" s="5" t="s">
        <v>23</v>
      </c>
      <c r="E1388" s="5" t="s">
        <v>23</v>
      </c>
      <c r="F1388" s="5" t="s">
        <v>23</v>
      </c>
      <c r="G1388" s="5" t="s">
        <v>23</v>
      </c>
      <c r="H1388" s="6">
        <f>IF(K1388=1,0.89,0)</f>
        <v/>
      </c>
      <c r="I1388" s="6">
        <f>IF(K1388=1,0.89,0)</f>
        <v/>
      </c>
      <c r="J1388" s="6">
        <f>IF(K1388=1,1.0,0)</f>
        <v/>
      </c>
      <c r="K1388" s="8">
        <f>IF(OR(LOOKUP(A1388,characters!A:A,characters!B:B)=-1, LOOKUP(A1388,characters!A:A,characters!B:B)+0.1&gt;=B1388),1,0)</f>
        <v/>
      </c>
    </row>
    <row r="1389" spans="1:11">
      <c r="A1389" s="4" t="s">
        <v>24</v>
      </c>
      <c r="B1389" s="7">
        <v>1</v>
      </c>
      <c r="C1389" s="6">
        <f>IF(K1389=1,1.0,0)</f>
        <v/>
      </c>
      <c r="D1389" s="6">
        <f>IF(K1389=1,0.8,0)</f>
        <v/>
      </c>
      <c r="E1389" s="6">
        <f>IF(K1389=1,0.9,0)</f>
        <v/>
      </c>
      <c r="F1389" s="6">
        <f>IF(K1389=1,0.9,0)</f>
        <v/>
      </c>
      <c r="G1389" s="5" t="s">
        <v>23</v>
      </c>
      <c r="H1389" s="5" t="s">
        <v>23</v>
      </c>
      <c r="I1389" s="5" t="s">
        <v>23</v>
      </c>
      <c r="J1389" s="5" t="s">
        <v>23</v>
      </c>
      <c r="K1389" s="8">
        <f>IF(OR(LOOKUP(A1389,characters!A:A,characters!B:B)=-1, LOOKUP(A1389,characters!A:A,characters!B:B)+0.1&gt;=B1389),1,0)</f>
        <v/>
      </c>
    </row>
    <row r="1390" spans="1:11">
      <c r="A1390" s="4" t="s">
        <v>32</v>
      </c>
      <c r="B1390" s="7">
        <v>1</v>
      </c>
      <c r="C1390" s="6">
        <f>IF(K1390=1,1.0,0)</f>
        <v/>
      </c>
      <c r="D1390" s="6">
        <f>IF(K1390=1,0.8,0)</f>
        <v/>
      </c>
      <c r="E1390" s="6">
        <f>IF(K1390=1,0.9,0)</f>
        <v/>
      </c>
      <c r="F1390" s="6">
        <f>IF(K1390=1,0.9,0)</f>
        <v/>
      </c>
      <c r="G1390" s="6">
        <f>IF(K1390=1,0.8,0)</f>
        <v/>
      </c>
      <c r="H1390" s="5" t="s">
        <v>23</v>
      </c>
      <c r="I1390" s="5" t="s">
        <v>23</v>
      </c>
      <c r="J1390" s="5" t="s">
        <v>23</v>
      </c>
      <c r="K1390" s="8">
        <f>IF(OR(LOOKUP(A1390,characters!A:A,characters!B:B)=-1, LOOKUP(A1390,characters!A:A,characters!B:B)+0.1&gt;=B1390),1,0)</f>
        <v/>
      </c>
    </row>
    <row r="1391" spans="1:11">
      <c r="A1391" s="4" t="s">
        <v>45</v>
      </c>
      <c r="B1391" s="7">
        <v>1</v>
      </c>
      <c r="C1391" s="6">
        <f>IF(K1391=1,1.0,0)</f>
        <v/>
      </c>
      <c r="D1391" s="6">
        <f>IF(K1391=1,0.8,0)</f>
        <v/>
      </c>
      <c r="E1391" s="6">
        <f>IF(K1391=1,0.9,0)</f>
        <v/>
      </c>
      <c r="F1391" s="6">
        <f>IF(K1391=1,0.9,0)</f>
        <v/>
      </c>
      <c r="G1391" s="5" t="s">
        <v>23</v>
      </c>
      <c r="H1391" s="5" t="s">
        <v>23</v>
      </c>
      <c r="I1391" s="5" t="s">
        <v>23</v>
      </c>
      <c r="J1391" s="6">
        <f>IF(K1391=1,1.0,0)</f>
        <v/>
      </c>
      <c r="K1391" s="8">
        <f>IF(OR(LOOKUP(A1391,characters!A:A,characters!B:B)=-1, LOOKUP(A1391,characters!A:A,characters!B:B)+0.1&gt;=B1391),1,0)</f>
        <v/>
      </c>
    </row>
    <row r="1392" spans="1:11">
      <c r="A1392" s="4" t="s">
        <v>42</v>
      </c>
      <c r="B1392" s="7">
        <v>2</v>
      </c>
      <c r="C1392" s="6">
        <f>IF(K1392=1,0.9,0)</f>
        <v/>
      </c>
      <c r="D1392" s="6">
        <f>IF(K1392=1,0.7,0)</f>
        <v/>
      </c>
      <c r="E1392" s="5" t="s">
        <v>23</v>
      </c>
      <c r="F1392" s="5" t="s">
        <v>23</v>
      </c>
      <c r="G1392" s="6">
        <f>IF(K1392=1,1.0,0)</f>
        <v/>
      </c>
      <c r="H1392" s="6">
        <f>IF(K1392=1,0.8,0)</f>
        <v/>
      </c>
      <c r="I1392" s="6">
        <f>IF(K1392=1,0.8,0)</f>
        <v/>
      </c>
      <c r="J1392" s="5" t="s">
        <v>23</v>
      </c>
      <c r="K1392" s="8">
        <f>IF(OR(LOOKUP(A1392,characters!A:A,characters!B:B)=-1, LOOKUP(A1392,characters!A:A,characters!B:B)+0.1&gt;=B1392),1,0)</f>
        <v/>
      </c>
    </row>
    <row r="1393" spans="1:11">
      <c r="A1393" s="4" t="s">
        <v>46</v>
      </c>
      <c r="B1393" s="7">
        <v>2</v>
      </c>
      <c r="C1393" s="6">
        <f>IF(K1393=1,1.0,0)</f>
        <v/>
      </c>
      <c r="D1393" s="5" t="s">
        <v>23</v>
      </c>
      <c r="E1393" s="5" t="s">
        <v>23</v>
      </c>
      <c r="F1393" s="5" t="s">
        <v>23</v>
      </c>
      <c r="G1393" s="6">
        <f>IF(K1393=1,1.0,0)</f>
        <v/>
      </c>
      <c r="H1393" s="6">
        <f>IF(K1393=1,0.9,0)</f>
        <v/>
      </c>
      <c r="I1393" s="6">
        <f>IF(K1393=1,0.9,0)</f>
        <v/>
      </c>
      <c r="J1393" s="5" t="s">
        <v>23</v>
      </c>
      <c r="K1393" s="8">
        <f>IF(OR(LOOKUP(A1393,characters!A:A,characters!B:B)=-1, LOOKUP(A1393,characters!A:A,characters!B:B)+0.1&gt;=B1393),1,0)</f>
        <v/>
      </c>
    </row>
    <row r="1394" spans="1:11">
      <c r="A1394" s="4" t="s">
        <v>48</v>
      </c>
      <c r="B1394" s="7">
        <v>2</v>
      </c>
      <c r="C1394" s="6">
        <f>IF(K1394=1,1.0,0)</f>
        <v/>
      </c>
      <c r="D1394" s="6">
        <f>IF(K1394=1,0.8,0)</f>
        <v/>
      </c>
      <c r="E1394" s="6">
        <f>IF(K1394=1,0.9,0)</f>
        <v/>
      </c>
      <c r="F1394" s="6">
        <f>IF(K1394=1,0.9,0)</f>
        <v/>
      </c>
      <c r="G1394" s="5" t="s">
        <v>23</v>
      </c>
      <c r="H1394" s="5" t="s">
        <v>23</v>
      </c>
      <c r="I1394" s="5" t="s">
        <v>23</v>
      </c>
      <c r="J1394" s="5" t="s">
        <v>23</v>
      </c>
      <c r="K1394" s="8">
        <f>IF(OR(LOOKUP(A1394,characters!A:A,characters!B:B)=-1, LOOKUP(A1394,characters!A:A,characters!B:B)+0.1&gt;=B1394),1,0)</f>
        <v/>
      </c>
    </row>
    <row r="1396" spans="1:11">
      <c r="A1396" s="3" t="s">
        <v>49</v>
      </c>
      <c r="B1396" s="3" t="s">
        <v>9</v>
      </c>
      <c r="C1396" s="3" t="s">
        <v>13</v>
      </c>
      <c r="D1396" s="3" t="s">
        <v>12</v>
      </c>
      <c r="E1396" s="3" t="s">
        <v>51</v>
      </c>
      <c r="F1396" s="3" t="s">
        <v>17</v>
      </c>
      <c r="G1396" s="3" t="s">
        <v>21</v>
      </c>
      <c r="H1396" s="3" t="s">
        <v>19</v>
      </c>
    </row>
    <row r="1397" spans="1:11">
      <c r="A1397" s="4" t="s">
        <v>22</v>
      </c>
      <c r="B1397" s="5" t="s">
        <v>23</v>
      </c>
      <c r="C1397" s="6">
        <f>IF(SUM(I1398:I1404)=0,0,SUM(C1398:C1404)/SUM(I1398:I1404))</f>
        <v/>
      </c>
      <c r="D1397" s="6">
        <f>IF(SUM(I1398:I1404)=0,0,SUM(D1398:D1404)/SUM(I1398:I1404))</f>
        <v/>
      </c>
      <c r="E1397" s="6">
        <f>IF(SUM(I1398:I1404)=0,0,SUM(E1398:E1404)/SUM(I1398:I1404))</f>
        <v/>
      </c>
      <c r="F1397" s="6">
        <f>IF(SUM(I1398:I1404)=0,0,SUM(F1398:F1404)/SUM(I1398:I1404))</f>
        <v/>
      </c>
      <c r="G1397" s="6">
        <f>IF(SUM(I1398:I1404)=0,0,SUM(G1398:G1404)/SUM(I1398:I1404))</f>
        <v/>
      </c>
      <c r="H1397" s="6">
        <f>IF(SUM(I1398:I1404)=0,0,SUM(H1398:H1404)/SUM(I1398:I1404))</f>
        <v/>
      </c>
    </row>
    <row r="1398" spans="1:11">
      <c r="A1398" s="4" t="s">
        <v>24</v>
      </c>
      <c r="B1398" s="7">
        <v>1</v>
      </c>
      <c r="C1398" s="6">
        <f>IF(I1398=1,1.0,0)</f>
        <v/>
      </c>
      <c r="D1398" s="6">
        <f>IF(I1398=1,0.9,0)</f>
        <v/>
      </c>
      <c r="E1398" s="5" t="s">
        <v>23</v>
      </c>
      <c r="F1398" s="5" t="s">
        <v>23</v>
      </c>
      <c r="G1398" s="5" t="s">
        <v>23</v>
      </c>
      <c r="H1398" s="5" t="s">
        <v>23</v>
      </c>
      <c r="I1398" s="8">
        <f>IF(OR(LOOKUP(A1398,characters!A:A,characters!B:B)=-1, LOOKUP(A1398,characters!A:A,characters!B:B)+0.1&gt;=B1398),1,0)</f>
        <v/>
      </c>
    </row>
    <row r="1399" spans="1:11">
      <c r="A1399" s="4" t="s">
        <v>32</v>
      </c>
      <c r="B1399" s="7">
        <v>1</v>
      </c>
      <c r="C1399" s="6">
        <f>IF(I1399=1,1.0,0)</f>
        <v/>
      </c>
      <c r="D1399" s="6">
        <f>IF(I1399=1,0.9,0)</f>
        <v/>
      </c>
      <c r="E1399" s="5" t="s">
        <v>23</v>
      </c>
      <c r="F1399" s="5" t="s">
        <v>23</v>
      </c>
      <c r="G1399" s="5" t="s">
        <v>23</v>
      </c>
      <c r="H1399" s="5" t="s">
        <v>23</v>
      </c>
      <c r="I1399" s="8">
        <f>IF(OR(LOOKUP(A1399,characters!A:A,characters!B:B)=-1, LOOKUP(A1399,characters!A:A,characters!B:B)+0.1&gt;=B1399),1,0)</f>
        <v/>
      </c>
    </row>
    <row r="1400" spans="1:11">
      <c r="A1400" s="4" t="s">
        <v>41</v>
      </c>
      <c r="B1400" s="7">
        <v>0</v>
      </c>
      <c r="C1400" s="5" t="s">
        <v>23</v>
      </c>
      <c r="D1400" s="5" t="s">
        <v>23</v>
      </c>
      <c r="E1400" s="6">
        <f>IF(I1400=1,1.0,0)</f>
        <v/>
      </c>
      <c r="F1400" s="5" t="s">
        <v>23</v>
      </c>
      <c r="G1400" s="5" t="s">
        <v>23</v>
      </c>
      <c r="H1400" s="5" t="s">
        <v>23</v>
      </c>
      <c r="I1400" s="8">
        <f>IF(OR(LOOKUP(A1400,characters!A:A,characters!B:B)=-1, LOOKUP(A1400,characters!A:A,characters!B:B)+0.1&gt;=B1400),1,0)</f>
        <v/>
      </c>
    </row>
    <row r="1401" spans="1:11">
      <c r="A1401" s="4" t="s">
        <v>42</v>
      </c>
      <c r="B1401" s="7">
        <v>2</v>
      </c>
      <c r="C1401" s="6">
        <f>IF(I1401=1,1.0,0)</f>
        <v/>
      </c>
      <c r="D1401" s="6">
        <f>IF(I1401=1,0.9,0)</f>
        <v/>
      </c>
      <c r="E1401" s="5" t="s">
        <v>23</v>
      </c>
      <c r="F1401" s="5" t="s">
        <v>23</v>
      </c>
      <c r="G1401" s="5" t="s">
        <v>23</v>
      </c>
      <c r="H1401" s="5" t="s">
        <v>23</v>
      </c>
      <c r="I1401" s="8">
        <f>IF(OR(LOOKUP(A1401,characters!A:A,characters!B:B)=-1, LOOKUP(A1401,characters!A:A,characters!B:B)+0.1&gt;=B1401),1,0)</f>
        <v/>
      </c>
    </row>
    <row r="1402" spans="1:11">
      <c r="A1402" s="4" t="s">
        <v>45</v>
      </c>
      <c r="B1402" s="7">
        <v>1</v>
      </c>
      <c r="C1402" s="6">
        <f>IF(I1402=1,0.9,0)</f>
        <v/>
      </c>
      <c r="D1402" s="5" t="s">
        <v>23</v>
      </c>
      <c r="E1402" s="5" t="s">
        <v>23</v>
      </c>
      <c r="F1402" s="6">
        <f>IF(I1402=1,1.0,0)</f>
        <v/>
      </c>
      <c r="G1402" s="5" t="s">
        <v>23</v>
      </c>
      <c r="H1402" s="5" t="s">
        <v>23</v>
      </c>
      <c r="I1402" s="8">
        <f>IF(OR(LOOKUP(A1402,characters!A:A,characters!B:B)=-1, LOOKUP(A1402,characters!A:A,characters!B:B)+0.1&gt;=B1402),1,0)</f>
        <v/>
      </c>
    </row>
    <row r="1403" spans="1:11">
      <c r="A1403" s="4" t="s">
        <v>46</v>
      </c>
      <c r="B1403" s="7">
        <v>2</v>
      </c>
      <c r="C1403" s="6">
        <f>IF(I1403=1,1.0,0)</f>
        <v/>
      </c>
      <c r="D1403" s="6">
        <f>IF(I1403=1,0.9,0)</f>
        <v/>
      </c>
      <c r="E1403" s="5" t="s">
        <v>23</v>
      </c>
      <c r="F1403" s="5" t="s">
        <v>23</v>
      </c>
      <c r="G1403" s="5" t="s">
        <v>23</v>
      </c>
      <c r="H1403" s="5" t="s">
        <v>23</v>
      </c>
      <c r="I1403" s="8">
        <f>IF(OR(LOOKUP(A1403,characters!A:A,characters!B:B)=-1, LOOKUP(A1403,characters!A:A,characters!B:B)+0.1&gt;=B1403),1,0)</f>
        <v/>
      </c>
    </row>
    <row r="1404" spans="1:11">
      <c r="A1404" s="4" t="s">
        <v>48</v>
      </c>
      <c r="B1404" s="7">
        <v>2</v>
      </c>
      <c r="C1404" s="5" t="s">
        <v>23</v>
      </c>
      <c r="D1404" s="5" t="s">
        <v>23</v>
      </c>
      <c r="E1404" s="5" t="s">
        <v>23</v>
      </c>
      <c r="F1404" s="5" t="s">
        <v>23</v>
      </c>
      <c r="G1404" s="6">
        <f>IF(I1404=1,1.0,0)</f>
        <v/>
      </c>
      <c r="H1404" s="6">
        <f>IF(I1404=1,0.99,0)</f>
        <v/>
      </c>
      <c r="I1404" s="8">
        <f>IF(OR(LOOKUP(A1404,characters!A:A,characters!B:B)=-1, LOOKUP(A1404,characters!A:A,characters!B:B)+0.1&gt;=B1404),1,0)</f>
        <v/>
      </c>
    </row>
    <row r="1406" spans="1:11">
      <c r="A1406" s="3" t="s">
        <v>52</v>
      </c>
      <c r="B1406" s="3" t="s">
        <v>9</v>
      </c>
      <c r="C1406" s="3" t="s">
        <v>10</v>
      </c>
      <c r="D1406" s="3" t="s">
        <v>17</v>
      </c>
    </row>
    <row r="1407" spans="1:11">
      <c r="A1407" s="4" t="s">
        <v>22</v>
      </c>
      <c r="B1407" s="5" t="s">
        <v>23</v>
      </c>
      <c r="C1407" s="6">
        <f>IF(SUM(E1408:E1414)=0,0,SUM(C1408:C1414)/SUM(E1408:E1414))</f>
        <v/>
      </c>
      <c r="D1407" s="6">
        <f>IF(SUM(E1408:E1414)=0,0,SUM(D1408:D1414)/SUM(E1408:E1414))</f>
        <v/>
      </c>
    </row>
    <row r="1408" spans="1:11">
      <c r="A1408" s="4" t="s">
        <v>24</v>
      </c>
      <c r="B1408" s="7">
        <v>1</v>
      </c>
      <c r="C1408" s="6">
        <f>IF(E1408=1,1.0,0)</f>
        <v/>
      </c>
      <c r="D1408" s="5" t="s">
        <v>23</v>
      </c>
      <c r="E1408" s="8">
        <f>IF(OR(LOOKUP(A1408,characters!A:A,characters!B:B)=-1, LOOKUP(A1408,characters!A:A,characters!B:B)+0.1&gt;=B1408),1,0)</f>
        <v/>
      </c>
    </row>
    <row r="1409" spans="1:14">
      <c r="A1409" s="4" t="s">
        <v>32</v>
      </c>
      <c r="B1409" s="7">
        <v>1</v>
      </c>
      <c r="C1409" s="6">
        <f>IF(E1409=1,1.0,0)</f>
        <v/>
      </c>
      <c r="D1409" s="5" t="s">
        <v>23</v>
      </c>
      <c r="E1409" s="8">
        <f>IF(OR(LOOKUP(A1409,characters!A:A,characters!B:B)=-1, LOOKUP(A1409,characters!A:A,characters!B:B)+0.1&gt;=B1409),1,0)</f>
        <v/>
      </c>
    </row>
    <row r="1410" spans="1:14">
      <c r="A1410" s="4" t="s">
        <v>41</v>
      </c>
      <c r="B1410" s="7">
        <v>0</v>
      </c>
      <c r="C1410" s="5" t="s">
        <v>23</v>
      </c>
      <c r="D1410" s="6">
        <f>IF(E1410=1,1.0,0)</f>
        <v/>
      </c>
      <c r="E1410" s="8">
        <f>IF(OR(LOOKUP(A1410,characters!A:A,characters!B:B)=-1, LOOKUP(A1410,characters!A:A,characters!B:B)+0.1&gt;=B1410),1,0)</f>
        <v/>
      </c>
    </row>
    <row r="1411" spans="1:14">
      <c r="A1411" s="4" t="s">
        <v>42</v>
      </c>
      <c r="B1411" s="7">
        <v>2</v>
      </c>
      <c r="C1411" s="6">
        <f>IF(E1411=1,1.0,0)</f>
        <v/>
      </c>
      <c r="D1411" s="5" t="s">
        <v>23</v>
      </c>
      <c r="E1411" s="8">
        <f>IF(OR(LOOKUP(A1411,characters!A:A,characters!B:B)=-1, LOOKUP(A1411,characters!A:A,characters!B:B)+0.1&gt;=B1411),1,0)</f>
        <v/>
      </c>
    </row>
    <row r="1412" spans="1:14">
      <c r="A1412" s="4" t="s">
        <v>45</v>
      </c>
      <c r="B1412" s="7">
        <v>1</v>
      </c>
      <c r="C1412" s="6">
        <f>IF(E1412=1,1.0,0)</f>
        <v/>
      </c>
      <c r="D1412" s="5" t="s">
        <v>23</v>
      </c>
      <c r="E1412" s="8">
        <f>IF(OR(LOOKUP(A1412,characters!A:A,characters!B:B)=-1, LOOKUP(A1412,characters!A:A,characters!B:B)+0.1&gt;=B1412),1,0)</f>
        <v/>
      </c>
    </row>
    <row r="1413" spans="1:14">
      <c r="A1413" s="4" t="s">
        <v>46</v>
      </c>
      <c r="B1413" s="7">
        <v>2</v>
      </c>
      <c r="C1413" s="6">
        <f>IF(E1413=1,1.0,0)</f>
        <v/>
      </c>
      <c r="D1413" s="5" t="s">
        <v>23</v>
      </c>
      <c r="E1413" s="8">
        <f>IF(OR(LOOKUP(A1413,characters!A:A,characters!B:B)=-1, LOOKUP(A1413,characters!A:A,characters!B:B)+0.1&gt;=B1413),1,0)</f>
        <v/>
      </c>
    </row>
    <row r="1414" spans="1:14">
      <c r="A1414" s="4" t="s">
        <v>48</v>
      </c>
      <c r="B1414" s="7">
        <v>2</v>
      </c>
      <c r="C1414" s="6">
        <f>IF(E1414=1,1.0,0)</f>
        <v/>
      </c>
      <c r="D1414" s="6">
        <f>IF(E1414=1,0.99,0)</f>
        <v/>
      </c>
      <c r="E1414" s="8">
        <f>IF(OR(LOOKUP(A1414,characters!A:A,characters!B:B)=-1, LOOKUP(A1414,characters!A:A,characters!B:B)+0.1&gt;=B1414),1,0)</f>
        <v/>
      </c>
    </row>
    <row r="1421" spans="1:14">
      <c r="A1421" s="3" t="s">
        <v>134</v>
      </c>
    </row>
    <row r="1422" spans="1:14">
      <c r="A1422" s="3" t="s">
        <v>8</v>
      </c>
      <c r="B1422" s="3" t="s">
        <v>9</v>
      </c>
      <c r="C1422" s="3" t="s">
        <v>10</v>
      </c>
      <c r="D1422" s="3" t="s">
        <v>11</v>
      </c>
      <c r="E1422" s="3" t="s">
        <v>14</v>
      </c>
      <c r="F1422" s="3" t="s">
        <v>15</v>
      </c>
      <c r="G1422" s="3" t="s">
        <v>13</v>
      </c>
      <c r="H1422" s="3" t="s">
        <v>12</v>
      </c>
      <c r="I1422" s="3" t="s">
        <v>18</v>
      </c>
      <c r="J1422" s="3" t="s">
        <v>17</v>
      </c>
      <c r="K1422" s="3" t="s">
        <v>16</v>
      </c>
      <c r="L1422" s="3" t="s">
        <v>19</v>
      </c>
      <c r="M1422" s="3" t="s">
        <v>21</v>
      </c>
    </row>
    <row r="1423" spans="1:14">
      <c r="A1423" s="4" t="s">
        <v>22</v>
      </c>
      <c r="B1423" s="5" t="s">
        <v>23</v>
      </c>
      <c r="C1423" s="6">
        <f>IF(SUM(N1424:N1441)=0,0,SUM(C1424:C1441)/SUM(N1424:N1441))</f>
        <v/>
      </c>
      <c r="D1423" s="6">
        <f>IF(SUM(N1424:N1441)=0,0,SUM(D1424:D1441)/SUM(N1424:N1441))</f>
        <v/>
      </c>
      <c r="E1423" s="6">
        <f>IF(SUM(N1424:N1441)=0,0,SUM(E1424:E1441)/SUM(N1424:N1441))</f>
        <v/>
      </c>
      <c r="F1423" s="6">
        <f>IF(SUM(N1424:N1441)=0,0,SUM(F1424:F1441)/SUM(N1424:N1441))</f>
        <v/>
      </c>
      <c r="G1423" s="6">
        <f>IF(SUM(N1424:N1441)=0,0,SUM(G1424:G1441)/SUM(N1424:N1441))</f>
        <v/>
      </c>
      <c r="H1423" s="6">
        <f>IF(SUM(N1424:N1441)=0,0,SUM(H1424:H1441)/SUM(N1424:N1441))</f>
        <v/>
      </c>
      <c r="I1423" s="6">
        <f>IF(SUM(N1424:N1441)=0,0,SUM(I1424:I1441)/SUM(N1424:N1441))</f>
        <v/>
      </c>
      <c r="J1423" s="6">
        <f>IF(SUM(N1424:N1441)=0,0,SUM(J1424:J1441)/SUM(N1424:N1441))</f>
        <v/>
      </c>
      <c r="K1423" s="6">
        <f>IF(SUM(N1424:N1441)=0,0,SUM(K1424:K1441)/SUM(N1424:N1441))</f>
        <v/>
      </c>
      <c r="L1423" s="6">
        <f>IF(SUM(N1424:N1441)=0,0,SUM(L1424:L1441)/SUM(N1424:N1441))</f>
        <v/>
      </c>
      <c r="M1423" s="6">
        <f>IF(SUM(N1424:N1441)=0,0,SUM(M1424:M1441)/SUM(N1424:N1441))</f>
        <v/>
      </c>
    </row>
    <row r="1424" spans="1:14">
      <c r="A1424" s="4" t="s">
        <v>24</v>
      </c>
      <c r="B1424" s="7">
        <v>0</v>
      </c>
      <c r="C1424" s="6">
        <f>IF(N1424=1,1.0,0)</f>
        <v/>
      </c>
      <c r="D1424" s="6">
        <f>IF(N1424=1,0.8,0)</f>
        <v/>
      </c>
      <c r="E1424" s="6">
        <f>IF(N1424=1,0.9,0)</f>
        <v/>
      </c>
      <c r="F1424" s="6">
        <f>IF(N1424=1,0.9,0)</f>
        <v/>
      </c>
      <c r="G1424" s="5" t="s">
        <v>23</v>
      </c>
      <c r="H1424" s="5" t="s">
        <v>23</v>
      </c>
      <c r="I1424" s="5" t="s">
        <v>23</v>
      </c>
      <c r="J1424" s="5" t="s">
        <v>23</v>
      </c>
      <c r="K1424" s="5" t="s">
        <v>23</v>
      </c>
      <c r="L1424" s="5" t="s">
        <v>23</v>
      </c>
      <c r="M1424" s="5" t="s">
        <v>23</v>
      </c>
      <c r="N1424" s="8">
        <f>IF(OR(LOOKUP(A1424,characters!A:A,characters!B:B)=-1, LOOKUP(A1424,characters!A:A,characters!B:B)+0.1&gt;=B1424),1,0)</f>
        <v/>
      </c>
    </row>
    <row r="1425" spans="1:14">
      <c r="A1425" s="4" t="s">
        <v>26</v>
      </c>
      <c r="B1425" s="7">
        <v>0</v>
      </c>
      <c r="C1425" s="6">
        <f>IF(N1425=1,1.0,0)</f>
        <v/>
      </c>
      <c r="D1425" s="6">
        <f>IF(N1425=1,0.8,0)</f>
        <v/>
      </c>
      <c r="E1425" s="5" t="s">
        <v>23</v>
      </c>
      <c r="F1425" s="5" t="s">
        <v>23</v>
      </c>
      <c r="G1425" s="6">
        <f>IF(N1425=1,0.9,0)</f>
        <v/>
      </c>
      <c r="H1425" s="6">
        <f>IF(N1425=1,0.8,0)</f>
        <v/>
      </c>
      <c r="I1425" s="5" t="s">
        <v>23</v>
      </c>
      <c r="J1425" s="5" t="s">
        <v>23</v>
      </c>
      <c r="K1425" s="5" t="s">
        <v>23</v>
      </c>
      <c r="L1425" s="5" t="s">
        <v>23</v>
      </c>
      <c r="M1425" s="5" t="s">
        <v>23</v>
      </c>
      <c r="N1425" s="8">
        <f>IF(OR(LOOKUP(A1425,characters!A:A,characters!B:B)=-1, LOOKUP(A1425,characters!A:A,characters!B:B)+0.1&gt;=B1425),1,0)</f>
        <v/>
      </c>
    </row>
    <row r="1426" spans="1:14">
      <c r="A1426" s="4" t="s">
        <v>29</v>
      </c>
      <c r="B1426" s="7">
        <v>0</v>
      </c>
      <c r="C1426" s="6">
        <f>IF(N1426=1,1.0,0)</f>
        <v/>
      </c>
      <c r="D1426" s="6">
        <f>IF(N1426=1,0.8,0)</f>
        <v/>
      </c>
      <c r="E1426" s="5" t="s">
        <v>23</v>
      </c>
      <c r="F1426" s="5" t="s">
        <v>23</v>
      </c>
      <c r="G1426" s="6">
        <f>IF(N1426=1,0.7,0)</f>
        <v/>
      </c>
      <c r="H1426" s="6">
        <f>IF(N1426=1,0.7,0)</f>
        <v/>
      </c>
      <c r="I1426" s="6">
        <f>IF(N1426=1,0.9,0)</f>
        <v/>
      </c>
      <c r="J1426" s="5" t="s">
        <v>23</v>
      </c>
      <c r="K1426" s="5" t="s">
        <v>23</v>
      </c>
      <c r="L1426" s="5" t="s">
        <v>23</v>
      </c>
      <c r="M1426" s="5" t="s">
        <v>23</v>
      </c>
      <c r="N1426" s="8">
        <f>IF(OR(LOOKUP(A1426,characters!A:A,characters!B:B)=-1, LOOKUP(A1426,characters!A:A,characters!B:B)+0.1&gt;=B1426),1,0)</f>
        <v/>
      </c>
    </row>
    <row r="1427" spans="1:14">
      <c r="A1427" s="4" t="s">
        <v>31</v>
      </c>
      <c r="B1427" s="7">
        <v>0</v>
      </c>
      <c r="C1427" s="6">
        <f>IF(N1427=1,0.9,0)</f>
        <v/>
      </c>
      <c r="D1427" s="5" t="s">
        <v>23</v>
      </c>
      <c r="E1427" s="5" t="s">
        <v>23</v>
      </c>
      <c r="F1427" s="5" t="s">
        <v>23</v>
      </c>
      <c r="G1427" s="6">
        <f>IF(N1427=1,0.7,0)</f>
        <v/>
      </c>
      <c r="H1427" s="6">
        <f>IF(N1427=1,0.7,0)</f>
        <v/>
      </c>
      <c r="I1427" s="6">
        <f>IF(N1427=1,0.7,0)</f>
        <v/>
      </c>
      <c r="J1427" s="6">
        <f>IF(N1427=1,0.8,0)</f>
        <v/>
      </c>
      <c r="K1427" s="6">
        <f>IF(N1427=1,1.0,0)</f>
        <v/>
      </c>
      <c r="L1427" s="5" t="s">
        <v>23</v>
      </c>
      <c r="M1427" s="5" t="s">
        <v>23</v>
      </c>
      <c r="N1427" s="8">
        <f>IF(OR(LOOKUP(A1427,characters!A:A,characters!B:B)=-1, LOOKUP(A1427,characters!A:A,characters!B:B)+0.1&gt;=B1427),1,0)</f>
        <v/>
      </c>
    </row>
    <row r="1428" spans="1:14">
      <c r="A1428" s="4" t="s">
        <v>32</v>
      </c>
      <c r="B1428" s="7">
        <v>0</v>
      </c>
      <c r="C1428" s="6">
        <f>IF(N1428=1,1.0,0)</f>
        <v/>
      </c>
      <c r="D1428" s="6">
        <f>IF(N1428=1,0.8,0)</f>
        <v/>
      </c>
      <c r="E1428" s="6">
        <f>IF(N1428=1,0.9,0)</f>
        <v/>
      </c>
      <c r="F1428" s="6">
        <f>IF(N1428=1,0.9,0)</f>
        <v/>
      </c>
      <c r="G1428" s="5" t="s">
        <v>23</v>
      </c>
      <c r="H1428" s="5" t="s">
        <v>23</v>
      </c>
      <c r="I1428" s="6">
        <f>IF(N1428=1,0.8,0)</f>
        <v/>
      </c>
      <c r="J1428" s="5" t="s">
        <v>23</v>
      </c>
      <c r="K1428" s="5" t="s">
        <v>23</v>
      </c>
      <c r="L1428" s="5" t="s">
        <v>23</v>
      </c>
      <c r="M1428" s="5" t="s">
        <v>23</v>
      </c>
      <c r="N1428" s="8">
        <f>IF(OR(LOOKUP(A1428,characters!A:A,characters!B:B)=-1, LOOKUP(A1428,characters!A:A,characters!B:B)+0.1&gt;=B1428),1,0)</f>
        <v/>
      </c>
    </row>
    <row r="1429" spans="1:14">
      <c r="A1429" s="4" t="s">
        <v>36</v>
      </c>
      <c r="B1429" s="7">
        <v>0</v>
      </c>
      <c r="C1429" s="6">
        <f>IF(N1429=1,1.0,0)</f>
        <v/>
      </c>
      <c r="D1429" s="6">
        <f>IF(N1429=1,0.7,0)</f>
        <v/>
      </c>
      <c r="E1429" s="5" t="s">
        <v>23</v>
      </c>
      <c r="F1429" s="5" t="s">
        <v>23</v>
      </c>
      <c r="G1429" s="6">
        <f>IF(N1429=1,0.8,0)</f>
        <v/>
      </c>
      <c r="H1429" s="6">
        <f>IF(N1429=1,0.8,0)</f>
        <v/>
      </c>
      <c r="I1429" s="5" t="s">
        <v>23</v>
      </c>
      <c r="J1429" s="6">
        <f>IF(N1429=1,0.9,0)</f>
        <v/>
      </c>
      <c r="K1429" s="5" t="s">
        <v>23</v>
      </c>
      <c r="L1429" s="5" t="s">
        <v>23</v>
      </c>
      <c r="M1429" s="5" t="s">
        <v>23</v>
      </c>
      <c r="N1429" s="8">
        <f>IF(OR(LOOKUP(A1429,characters!A:A,characters!B:B)=-1, LOOKUP(A1429,characters!A:A,characters!B:B)+0.1&gt;=B1429),1,0)</f>
        <v/>
      </c>
    </row>
    <row r="1430" spans="1:14">
      <c r="A1430" s="4" t="s">
        <v>37</v>
      </c>
      <c r="B1430" s="7">
        <v>0</v>
      </c>
      <c r="C1430" s="6">
        <f>IF(N1430=1,1.0,0)</f>
        <v/>
      </c>
      <c r="D1430" s="6">
        <f>IF(N1430=1,0.8,0)</f>
        <v/>
      </c>
      <c r="E1430" s="5" t="s">
        <v>23</v>
      </c>
      <c r="F1430" s="5" t="s">
        <v>23</v>
      </c>
      <c r="G1430" s="6">
        <f>IF(N1430=1,0.9,0)</f>
        <v/>
      </c>
      <c r="H1430" s="6">
        <f>IF(N1430=1,0.7,0)</f>
        <v/>
      </c>
      <c r="I1430" s="5" t="s">
        <v>23</v>
      </c>
      <c r="J1430" s="5" t="s">
        <v>23</v>
      </c>
      <c r="K1430" s="5" t="s">
        <v>23</v>
      </c>
      <c r="L1430" s="5" t="s">
        <v>23</v>
      </c>
      <c r="M1430" s="5" t="s">
        <v>23</v>
      </c>
      <c r="N1430" s="8">
        <f>IF(OR(LOOKUP(A1430,characters!A:A,characters!B:B)=-1, LOOKUP(A1430,characters!A:A,characters!B:B)+0.1&gt;=B1430),1,0)</f>
        <v/>
      </c>
    </row>
    <row r="1431" spans="1:14">
      <c r="A1431" s="4" t="s">
        <v>39</v>
      </c>
      <c r="B1431" s="7">
        <v>0</v>
      </c>
      <c r="C1431" s="6">
        <f>IF(N1431=1,1.0,0)</f>
        <v/>
      </c>
      <c r="D1431" s="6">
        <f>IF(N1431=1,0.8,0)</f>
        <v/>
      </c>
      <c r="E1431" s="5" t="s">
        <v>23</v>
      </c>
      <c r="F1431" s="5" t="s">
        <v>23</v>
      </c>
      <c r="G1431" s="6">
        <f>IF(N1431=1,0.9,0)</f>
        <v/>
      </c>
      <c r="H1431" s="6">
        <f>IF(N1431=1,0.8,0)</f>
        <v/>
      </c>
      <c r="I1431" s="5" t="s">
        <v>23</v>
      </c>
      <c r="J1431" s="5" t="s">
        <v>23</v>
      </c>
      <c r="K1431" s="5" t="s">
        <v>23</v>
      </c>
      <c r="L1431" s="5" t="s">
        <v>23</v>
      </c>
      <c r="M1431" s="5" t="s">
        <v>23</v>
      </c>
      <c r="N1431" s="8">
        <f>IF(OR(LOOKUP(A1431,characters!A:A,characters!B:B)=-1, LOOKUP(A1431,characters!A:A,characters!B:B)+0.1&gt;=B1431),1,0)</f>
        <v/>
      </c>
    </row>
    <row r="1432" spans="1:14">
      <c r="A1432" s="4" t="s">
        <v>43</v>
      </c>
      <c r="B1432" s="7">
        <v>0</v>
      </c>
      <c r="C1432" s="6">
        <f>IF(N1432=1,1.0,0)</f>
        <v/>
      </c>
      <c r="D1432" s="6">
        <f>IF(N1432=1,0.8,0)</f>
        <v/>
      </c>
      <c r="E1432" s="6">
        <f>IF(N1432=1,0.9,0)</f>
        <v/>
      </c>
      <c r="F1432" s="6">
        <f>IF(N1432=1,0.9,0)</f>
        <v/>
      </c>
      <c r="G1432" s="5" t="s">
        <v>23</v>
      </c>
      <c r="H1432" s="5" t="s">
        <v>23</v>
      </c>
      <c r="I1432" s="6">
        <f>IF(N1432=1,0.9,0)</f>
        <v/>
      </c>
      <c r="J1432" s="5" t="s">
        <v>23</v>
      </c>
      <c r="K1432" s="6">
        <f>IF(N1432=1,1.0,0)</f>
        <v/>
      </c>
      <c r="L1432" s="5" t="s">
        <v>23</v>
      </c>
      <c r="M1432" s="5" t="s">
        <v>23</v>
      </c>
      <c r="N1432" s="8">
        <f>IF(OR(LOOKUP(A1432,characters!A:A,characters!B:B)=-1, LOOKUP(A1432,characters!A:A,characters!B:B)+0.1&gt;=B1432),1,0)</f>
        <v/>
      </c>
    </row>
    <row r="1433" spans="1:14">
      <c r="A1433" s="4" t="s">
        <v>48</v>
      </c>
      <c r="B1433" s="7">
        <v>0</v>
      </c>
      <c r="C1433" s="6">
        <f>IF(N1433=1,1.0,0)</f>
        <v/>
      </c>
      <c r="D1433" s="6">
        <f>IF(N1433=1,0.8,0)</f>
        <v/>
      </c>
      <c r="E1433" s="6">
        <f>IF(N1433=1,0.9,0)</f>
        <v/>
      </c>
      <c r="F1433" s="6">
        <f>IF(N1433=1,0.9,0)</f>
        <v/>
      </c>
      <c r="G1433" s="5" t="s">
        <v>23</v>
      </c>
      <c r="H1433" s="5" t="s">
        <v>23</v>
      </c>
      <c r="I1433" s="5" t="s">
        <v>23</v>
      </c>
      <c r="J1433" s="5" t="s">
        <v>23</v>
      </c>
      <c r="K1433" s="5" t="s">
        <v>23</v>
      </c>
      <c r="L1433" s="5" t="s">
        <v>23</v>
      </c>
      <c r="M1433" s="5" t="s">
        <v>23</v>
      </c>
      <c r="N1433" s="8">
        <f>IF(OR(LOOKUP(A1433,characters!A:A,characters!B:B)=-1, LOOKUP(A1433,characters!A:A,characters!B:B)+0.1&gt;=B1433),1,0)</f>
        <v/>
      </c>
    </row>
    <row r="1434" spans="1:14">
      <c r="A1434" s="4" t="s">
        <v>27</v>
      </c>
      <c r="B1434" s="7">
        <v>1</v>
      </c>
      <c r="C1434" s="6">
        <f>IF(N1434=1,1.0,0)</f>
        <v/>
      </c>
      <c r="D1434" s="6">
        <f>IF(N1434=1,0.7,0)</f>
        <v/>
      </c>
      <c r="E1434" s="6">
        <f>IF(N1434=1,0.8,0)</f>
        <v/>
      </c>
      <c r="F1434" s="6">
        <f>IF(N1434=1,0.8,0)</f>
        <v/>
      </c>
      <c r="G1434" s="5" t="s">
        <v>23</v>
      </c>
      <c r="H1434" s="5" t="s">
        <v>23</v>
      </c>
      <c r="I1434" s="5" t="s">
        <v>23</v>
      </c>
      <c r="J1434" s="5" t="s">
        <v>23</v>
      </c>
      <c r="K1434" s="5" t="s">
        <v>23</v>
      </c>
      <c r="L1434" s="6">
        <f>IF(N1434=1,0.9,0)</f>
        <v/>
      </c>
      <c r="M1434" s="5" t="s">
        <v>23</v>
      </c>
      <c r="N1434" s="8">
        <f>IF(OR(LOOKUP(A1434,characters!A:A,characters!B:B)=-1, LOOKUP(A1434,characters!A:A,characters!B:B)+0.1&gt;=B1434),1,0)</f>
        <v/>
      </c>
    </row>
    <row r="1435" spans="1:14">
      <c r="A1435" s="4" t="s">
        <v>33</v>
      </c>
      <c r="B1435" s="7">
        <v>1</v>
      </c>
      <c r="C1435" s="6">
        <f>IF(N1435=1,1.0,0)</f>
        <v/>
      </c>
      <c r="D1435" s="6">
        <f>IF(N1435=1,0.8,0)</f>
        <v/>
      </c>
      <c r="E1435" s="5" t="s">
        <v>23</v>
      </c>
      <c r="F1435" s="5" t="s">
        <v>23</v>
      </c>
      <c r="G1435" s="6">
        <f>IF(N1435=1,0.9,0)</f>
        <v/>
      </c>
      <c r="H1435" s="6">
        <f>IF(N1435=1,0.8,0)</f>
        <v/>
      </c>
      <c r="I1435" s="5" t="s">
        <v>23</v>
      </c>
      <c r="J1435" s="5" t="s">
        <v>23</v>
      </c>
      <c r="K1435" s="5" t="s">
        <v>23</v>
      </c>
      <c r="L1435" s="5" t="s">
        <v>23</v>
      </c>
      <c r="M1435" s="5" t="s">
        <v>23</v>
      </c>
      <c r="N1435" s="8">
        <f>IF(OR(LOOKUP(A1435,characters!A:A,characters!B:B)=-1, LOOKUP(A1435,characters!A:A,characters!B:B)+0.1&gt;=B1435),1,0)</f>
        <v/>
      </c>
    </row>
    <row r="1436" spans="1:14">
      <c r="A1436" s="4" t="s">
        <v>34</v>
      </c>
      <c r="B1436" s="7">
        <v>1</v>
      </c>
      <c r="C1436" s="6">
        <f>IF(N1436=1,0.9,0)</f>
        <v/>
      </c>
      <c r="D1436" s="5" t="s">
        <v>23</v>
      </c>
      <c r="E1436" s="5" t="s">
        <v>23</v>
      </c>
      <c r="F1436" s="5" t="s">
        <v>23</v>
      </c>
      <c r="G1436" s="5" t="s">
        <v>23</v>
      </c>
      <c r="H1436" s="5" t="s">
        <v>23</v>
      </c>
      <c r="I1436" s="5" t="s">
        <v>23</v>
      </c>
      <c r="J1436" s="6">
        <f>IF(N1436=1,0.8,0)</f>
        <v/>
      </c>
      <c r="K1436" s="6">
        <f>IF(N1436=1,1.0,0)</f>
        <v/>
      </c>
      <c r="L1436" s="5" t="s">
        <v>23</v>
      </c>
      <c r="M1436" s="5" t="s">
        <v>23</v>
      </c>
      <c r="N1436" s="8">
        <f>IF(OR(LOOKUP(A1436,characters!A:A,characters!B:B)=-1, LOOKUP(A1436,characters!A:A,characters!B:B)+0.1&gt;=B1436),1,0)</f>
        <v/>
      </c>
    </row>
    <row r="1437" spans="1:14">
      <c r="A1437" s="4" t="s">
        <v>40</v>
      </c>
      <c r="B1437" s="7">
        <v>1</v>
      </c>
      <c r="C1437" s="6">
        <f>IF(N1437=1,1.0,0)</f>
        <v/>
      </c>
      <c r="D1437" s="6">
        <f>IF(N1437=1,0.8,0)</f>
        <v/>
      </c>
      <c r="E1437" s="6">
        <f>IF(N1437=1,0.9,0)</f>
        <v/>
      </c>
      <c r="F1437" s="6">
        <f>IF(N1437=1,0.9,0)</f>
        <v/>
      </c>
      <c r="G1437" s="5" t="s">
        <v>23</v>
      </c>
      <c r="H1437" s="5" t="s">
        <v>23</v>
      </c>
      <c r="I1437" s="5" t="s">
        <v>23</v>
      </c>
      <c r="J1437" s="5" t="s">
        <v>23</v>
      </c>
      <c r="K1437" s="6">
        <f>IF(N1437=1,1.0,0)</f>
        <v/>
      </c>
      <c r="L1437" s="5" t="s">
        <v>23</v>
      </c>
      <c r="M1437" s="5" t="s">
        <v>23</v>
      </c>
      <c r="N1437" s="8">
        <f>IF(OR(LOOKUP(A1437,characters!A:A,characters!B:B)=-1, LOOKUP(A1437,characters!A:A,characters!B:B)+0.1&gt;=B1437),1,0)</f>
        <v/>
      </c>
    </row>
    <row r="1438" spans="1:14">
      <c r="A1438" s="4" t="s">
        <v>42</v>
      </c>
      <c r="B1438" s="7">
        <v>1</v>
      </c>
      <c r="C1438" s="6">
        <f>IF(N1438=1,0.9,0)</f>
        <v/>
      </c>
      <c r="D1438" s="6">
        <f>IF(N1438=1,0.7,0)</f>
        <v/>
      </c>
      <c r="E1438" s="5" t="s">
        <v>23</v>
      </c>
      <c r="F1438" s="5" t="s">
        <v>23</v>
      </c>
      <c r="G1438" s="6">
        <f>IF(N1438=1,0.8,0)</f>
        <v/>
      </c>
      <c r="H1438" s="6">
        <f>IF(N1438=1,0.8,0)</f>
        <v/>
      </c>
      <c r="I1438" s="6">
        <f>IF(N1438=1,1.0,0)</f>
        <v/>
      </c>
      <c r="J1438" s="5" t="s">
        <v>23</v>
      </c>
      <c r="K1438" s="5" t="s">
        <v>23</v>
      </c>
      <c r="L1438" s="5" t="s">
        <v>23</v>
      </c>
      <c r="M1438" s="5" t="s">
        <v>23</v>
      </c>
      <c r="N1438" s="8">
        <f>IF(OR(LOOKUP(A1438,characters!A:A,characters!B:B)=-1, LOOKUP(A1438,characters!A:A,characters!B:B)+0.1&gt;=B1438),1,0)</f>
        <v/>
      </c>
    </row>
    <row r="1439" spans="1:14">
      <c r="A1439" s="4" t="s">
        <v>44</v>
      </c>
      <c r="B1439" s="7">
        <v>1</v>
      </c>
      <c r="C1439" s="6">
        <f>IF(N1439=1,1.0,0)</f>
        <v/>
      </c>
      <c r="D1439" s="6">
        <f>IF(N1439=1,0.8,0)</f>
        <v/>
      </c>
      <c r="E1439" s="6">
        <f>IF(N1439=1,0.8,0)</f>
        <v/>
      </c>
      <c r="F1439" s="6">
        <f>IF(N1439=1,0.8,0)</f>
        <v/>
      </c>
      <c r="G1439" s="5" t="s">
        <v>23</v>
      </c>
      <c r="H1439" s="5" t="s">
        <v>23</v>
      </c>
      <c r="I1439" s="5" t="s">
        <v>23</v>
      </c>
      <c r="J1439" s="5" t="s">
        <v>23</v>
      </c>
      <c r="K1439" s="5" t="s">
        <v>23</v>
      </c>
      <c r="L1439" s="6">
        <f>IF(N1439=1,0.9,0)</f>
        <v/>
      </c>
      <c r="M1439" s="5" t="s">
        <v>23</v>
      </c>
      <c r="N1439" s="8">
        <f>IF(OR(LOOKUP(A1439,characters!A:A,characters!B:B)=-1, LOOKUP(A1439,characters!A:A,characters!B:B)+0.1&gt;=B1439),1,0)</f>
        <v/>
      </c>
    </row>
    <row r="1440" spans="1:14">
      <c r="A1440" s="4" t="s">
        <v>45</v>
      </c>
      <c r="B1440" s="7">
        <v>1</v>
      </c>
      <c r="C1440" s="6">
        <f>IF(N1440=1,1.0,0)</f>
        <v/>
      </c>
      <c r="D1440" s="6">
        <f>IF(N1440=1,0.8,0)</f>
        <v/>
      </c>
      <c r="E1440" s="6">
        <f>IF(N1440=1,0.9,0)</f>
        <v/>
      </c>
      <c r="F1440" s="6">
        <f>IF(N1440=1,0.9,0)</f>
        <v/>
      </c>
      <c r="G1440" s="5" t="s">
        <v>23</v>
      </c>
      <c r="H1440" s="5" t="s">
        <v>23</v>
      </c>
      <c r="I1440" s="5" t="s">
        <v>23</v>
      </c>
      <c r="J1440" s="6">
        <f>IF(N1440=1,1.0,0)</f>
        <v/>
      </c>
      <c r="K1440" s="5" t="s">
        <v>23</v>
      </c>
      <c r="L1440" s="5" t="s">
        <v>23</v>
      </c>
      <c r="M1440" s="5" t="s">
        <v>23</v>
      </c>
      <c r="N1440" s="8">
        <f>IF(OR(LOOKUP(A1440,characters!A:A,characters!B:B)=-1, LOOKUP(A1440,characters!A:A,characters!B:B)+0.1&gt;=B1440),1,0)</f>
        <v/>
      </c>
    </row>
    <row r="1441" spans="1:14">
      <c r="A1441" s="4" t="s">
        <v>110</v>
      </c>
      <c r="B1441" s="7">
        <v>3</v>
      </c>
      <c r="C1441" s="6">
        <f>IF(N1441=1,1.0,0)</f>
        <v/>
      </c>
      <c r="D1441" s="5" t="s">
        <v>23</v>
      </c>
      <c r="E1441" s="5" t="s">
        <v>23</v>
      </c>
      <c r="F1441" s="5" t="s">
        <v>23</v>
      </c>
      <c r="G1441" s="5" t="s">
        <v>23</v>
      </c>
      <c r="H1441" s="5" t="s">
        <v>23</v>
      </c>
      <c r="I1441" s="5" t="s">
        <v>23</v>
      </c>
      <c r="J1441" s="6">
        <f>IF(N1441=1,0.8,0)</f>
        <v/>
      </c>
      <c r="K1441" s="5" t="s">
        <v>23</v>
      </c>
      <c r="L1441" s="6">
        <f>IF(N1441=1,0.9,0)</f>
        <v/>
      </c>
      <c r="M1441" s="6">
        <f>IF(N1441=1,0.9,0)</f>
        <v/>
      </c>
      <c r="N1441" s="8">
        <f>IF(OR(LOOKUP(A1441,characters!A:A,characters!B:B)=-1, LOOKUP(A1441,characters!A:A,characters!B:B)+0.1&gt;=B1441),1,0)</f>
        <v/>
      </c>
    </row>
    <row r="1443" spans="1:14">
      <c r="A1443" s="3" t="s">
        <v>49</v>
      </c>
      <c r="B1443" s="3" t="s">
        <v>9</v>
      </c>
      <c r="C1443" s="3" t="s">
        <v>13</v>
      </c>
      <c r="D1443" s="3" t="s">
        <v>12</v>
      </c>
      <c r="E1443" s="3" t="s">
        <v>50</v>
      </c>
      <c r="F1443" s="3" t="s">
        <v>19</v>
      </c>
      <c r="G1443" s="3" t="s">
        <v>17</v>
      </c>
      <c r="H1443" s="3" t="s">
        <v>16</v>
      </c>
      <c r="I1443" s="3" t="s">
        <v>21</v>
      </c>
    </row>
    <row r="1444" spans="1:14">
      <c r="A1444" s="4" t="s">
        <v>22</v>
      </c>
      <c r="B1444" s="5" t="s">
        <v>23</v>
      </c>
      <c r="C1444" s="6">
        <f>IF(SUM(J1445:J1462)=0,0,SUM(C1445:C1462)/SUM(J1445:J1462))</f>
        <v/>
      </c>
      <c r="D1444" s="6">
        <f>IF(SUM(J1445:J1462)=0,0,SUM(D1445:D1462)/SUM(J1445:J1462))</f>
        <v/>
      </c>
      <c r="E1444" s="6">
        <f>IF(SUM(J1445:J1462)=0,0,SUM(E1445:E1462)/SUM(J1445:J1462))</f>
        <v/>
      </c>
      <c r="F1444" s="6">
        <f>IF(SUM(J1445:J1462)=0,0,SUM(F1445:F1462)/SUM(J1445:J1462))</f>
        <v/>
      </c>
      <c r="G1444" s="6">
        <f>IF(SUM(J1445:J1462)=0,0,SUM(G1445:G1462)/SUM(J1445:J1462))</f>
        <v/>
      </c>
      <c r="H1444" s="6">
        <f>IF(SUM(J1445:J1462)=0,0,SUM(H1445:H1462)/SUM(J1445:J1462))</f>
        <v/>
      </c>
      <c r="I1444" s="6">
        <f>IF(SUM(J1445:J1462)=0,0,SUM(I1445:I1462)/SUM(J1445:J1462))</f>
        <v/>
      </c>
    </row>
    <row r="1445" spans="1:14">
      <c r="A1445" s="4" t="s">
        <v>24</v>
      </c>
      <c r="B1445" s="7">
        <v>0</v>
      </c>
      <c r="C1445" s="6">
        <f>IF(J1445=1,1.0,0)</f>
        <v/>
      </c>
      <c r="D1445" s="6">
        <f>IF(J1445=1,0.9,0)</f>
        <v/>
      </c>
      <c r="E1445" s="5" t="s">
        <v>23</v>
      </c>
      <c r="F1445" s="5" t="s">
        <v>23</v>
      </c>
      <c r="G1445" s="5" t="s">
        <v>23</v>
      </c>
      <c r="H1445" s="5" t="s">
        <v>23</v>
      </c>
      <c r="I1445" s="5" t="s">
        <v>23</v>
      </c>
      <c r="J1445" s="8">
        <f>IF(OR(LOOKUP(A1445,characters!A:A,characters!B:B)=-1, LOOKUP(A1445,characters!A:A,characters!B:B)+0.1&gt;=B1445),1,0)</f>
        <v/>
      </c>
    </row>
    <row r="1446" spans="1:14">
      <c r="A1446" s="4" t="s">
        <v>26</v>
      </c>
      <c r="B1446" s="7">
        <v>0</v>
      </c>
      <c r="C1446" s="6">
        <f>IF(J1446=1,0.9,0)</f>
        <v/>
      </c>
      <c r="D1446" s="5" t="s">
        <v>23</v>
      </c>
      <c r="E1446" s="6">
        <f>IF(J1446=1,1.0,0)</f>
        <v/>
      </c>
      <c r="F1446" s="5" t="s">
        <v>23</v>
      </c>
      <c r="G1446" s="5" t="s">
        <v>23</v>
      </c>
      <c r="H1446" s="5" t="s">
        <v>23</v>
      </c>
      <c r="I1446" s="5" t="s">
        <v>23</v>
      </c>
      <c r="J1446" s="8">
        <f>IF(OR(LOOKUP(A1446,characters!A:A,characters!B:B)=-1, LOOKUP(A1446,characters!A:A,characters!B:B)+0.1&gt;=B1446),1,0)</f>
        <v/>
      </c>
    </row>
    <row r="1447" spans="1:14">
      <c r="A1447" s="4" t="s">
        <v>27</v>
      </c>
      <c r="B1447" s="7">
        <v>1</v>
      </c>
      <c r="C1447" s="5" t="s">
        <v>23</v>
      </c>
      <c r="D1447" s="5" t="s">
        <v>23</v>
      </c>
      <c r="E1447" s="5" t="s">
        <v>23</v>
      </c>
      <c r="F1447" s="6">
        <f>IF(J1447=1,1.0,0)</f>
        <v/>
      </c>
      <c r="G1447" s="5" t="s">
        <v>23</v>
      </c>
      <c r="H1447" s="5" t="s">
        <v>23</v>
      </c>
      <c r="I1447" s="5" t="s">
        <v>23</v>
      </c>
      <c r="J1447" s="8">
        <f>IF(OR(LOOKUP(A1447,characters!A:A,characters!B:B)=-1, LOOKUP(A1447,characters!A:A,characters!B:B)+0.1&gt;=B1447),1,0)</f>
        <v/>
      </c>
    </row>
    <row r="1448" spans="1:14">
      <c r="A1448" s="4" t="s">
        <v>29</v>
      </c>
      <c r="B1448" s="7">
        <v>0</v>
      </c>
      <c r="C1448" s="5" t="s">
        <v>23</v>
      </c>
      <c r="D1448" s="5" t="s">
        <v>23</v>
      </c>
      <c r="E1448" s="6">
        <f>IF(J1448=1,1.0,0)</f>
        <v/>
      </c>
      <c r="F1448" s="5" t="s">
        <v>23</v>
      </c>
      <c r="G1448" s="5" t="s">
        <v>23</v>
      </c>
      <c r="H1448" s="5" t="s">
        <v>23</v>
      </c>
      <c r="I1448" s="5" t="s">
        <v>23</v>
      </c>
      <c r="J1448" s="8">
        <f>IF(OR(LOOKUP(A1448,characters!A:A,characters!B:B)=-1, LOOKUP(A1448,characters!A:A,characters!B:B)+0.1&gt;=B1448),1,0)</f>
        <v/>
      </c>
    </row>
    <row r="1449" spans="1:14">
      <c r="A1449" s="4" t="s">
        <v>31</v>
      </c>
      <c r="B1449" s="7">
        <v>0</v>
      </c>
      <c r="C1449" s="5" t="s">
        <v>23</v>
      </c>
      <c r="D1449" s="5" t="s">
        <v>23</v>
      </c>
      <c r="E1449" s="5" t="s">
        <v>23</v>
      </c>
      <c r="F1449" s="5" t="s">
        <v>23</v>
      </c>
      <c r="G1449" s="6">
        <f>IF(J1449=1,1.0,0)</f>
        <v/>
      </c>
      <c r="H1449" s="6">
        <f>IF(J1449=1,0.9,0)</f>
        <v/>
      </c>
      <c r="I1449" s="5" t="s">
        <v>23</v>
      </c>
      <c r="J1449" s="8">
        <f>IF(OR(LOOKUP(A1449,characters!A:A,characters!B:B)=-1, LOOKUP(A1449,characters!A:A,characters!B:B)+0.1&gt;=B1449),1,0)</f>
        <v/>
      </c>
    </row>
    <row r="1450" spans="1:14">
      <c r="A1450" s="4" t="s">
        <v>32</v>
      </c>
      <c r="B1450" s="7">
        <v>0</v>
      </c>
      <c r="C1450" s="6">
        <f>IF(J1450=1,1.0,0)</f>
        <v/>
      </c>
      <c r="D1450" s="6">
        <f>IF(J1450=1,0.9,0)</f>
        <v/>
      </c>
      <c r="E1450" s="5" t="s">
        <v>23</v>
      </c>
      <c r="F1450" s="5" t="s">
        <v>23</v>
      </c>
      <c r="G1450" s="5" t="s">
        <v>23</v>
      </c>
      <c r="H1450" s="5" t="s">
        <v>23</v>
      </c>
      <c r="I1450" s="5" t="s">
        <v>23</v>
      </c>
      <c r="J1450" s="8">
        <f>IF(OR(LOOKUP(A1450,characters!A:A,characters!B:B)=-1, LOOKUP(A1450,characters!A:A,characters!B:B)+0.1&gt;=B1450),1,0)</f>
        <v/>
      </c>
    </row>
    <row r="1451" spans="1:14">
      <c r="A1451" s="4" t="s">
        <v>33</v>
      </c>
      <c r="B1451" s="7">
        <v>1</v>
      </c>
      <c r="C1451" s="6">
        <f>IF(J1451=1,0.9,0)</f>
        <v/>
      </c>
      <c r="D1451" s="5" t="s">
        <v>23</v>
      </c>
      <c r="E1451" s="6">
        <f>IF(J1451=1,1.0,0)</f>
        <v/>
      </c>
      <c r="F1451" s="5" t="s">
        <v>23</v>
      </c>
      <c r="G1451" s="5" t="s">
        <v>23</v>
      </c>
      <c r="H1451" s="5" t="s">
        <v>23</v>
      </c>
      <c r="I1451" s="5" t="s">
        <v>23</v>
      </c>
      <c r="J1451" s="8">
        <f>IF(OR(LOOKUP(A1451,characters!A:A,characters!B:B)=-1, LOOKUP(A1451,characters!A:A,characters!B:B)+0.1&gt;=B1451),1,0)</f>
        <v/>
      </c>
    </row>
    <row r="1452" spans="1:14">
      <c r="A1452" s="4" t="s">
        <v>34</v>
      </c>
      <c r="B1452" s="7">
        <v>1</v>
      </c>
      <c r="C1452" s="5" t="s">
        <v>23</v>
      </c>
      <c r="D1452" s="5" t="s">
        <v>23</v>
      </c>
      <c r="E1452" s="5" t="s">
        <v>23</v>
      </c>
      <c r="F1452" s="5" t="s">
        <v>23</v>
      </c>
      <c r="G1452" s="5" t="s">
        <v>23</v>
      </c>
      <c r="H1452" s="6">
        <f>IF(J1452=1,1.0,0)</f>
        <v/>
      </c>
      <c r="I1452" s="5" t="s">
        <v>23</v>
      </c>
      <c r="J1452" s="8">
        <f>IF(OR(LOOKUP(A1452,characters!A:A,characters!B:B)=-1, LOOKUP(A1452,characters!A:A,characters!B:B)+0.1&gt;=B1452),1,0)</f>
        <v/>
      </c>
    </row>
    <row r="1453" spans="1:14">
      <c r="A1453" s="4" t="s">
        <v>36</v>
      </c>
      <c r="B1453" s="7">
        <v>0</v>
      </c>
      <c r="C1453" s="5" t="s">
        <v>23</v>
      </c>
      <c r="D1453" s="5" t="s">
        <v>23</v>
      </c>
      <c r="E1453" s="6">
        <f>IF(J1453=1,1.0,0)</f>
        <v/>
      </c>
      <c r="F1453" s="5" t="s">
        <v>23</v>
      </c>
      <c r="G1453" s="5" t="s">
        <v>23</v>
      </c>
      <c r="H1453" s="5" t="s">
        <v>23</v>
      </c>
      <c r="I1453" s="5" t="s">
        <v>23</v>
      </c>
      <c r="J1453" s="8">
        <f>IF(OR(LOOKUP(A1453,characters!A:A,characters!B:B)=-1, LOOKUP(A1453,characters!A:A,characters!B:B)+0.1&gt;=B1453),1,0)</f>
        <v/>
      </c>
    </row>
    <row r="1454" spans="1:14">
      <c r="A1454" s="4" t="s">
        <v>37</v>
      </c>
      <c r="B1454" s="7">
        <v>0</v>
      </c>
      <c r="C1454" s="6">
        <f>IF(J1454=1,0.9,0)</f>
        <v/>
      </c>
      <c r="D1454" s="5" t="s">
        <v>23</v>
      </c>
      <c r="E1454" s="6">
        <f>IF(J1454=1,1.0,0)</f>
        <v/>
      </c>
      <c r="F1454" s="5" t="s">
        <v>23</v>
      </c>
      <c r="G1454" s="5" t="s">
        <v>23</v>
      </c>
      <c r="H1454" s="5" t="s">
        <v>23</v>
      </c>
      <c r="I1454" s="5" t="s">
        <v>23</v>
      </c>
      <c r="J1454" s="8">
        <f>IF(OR(LOOKUP(A1454,characters!A:A,characters!B:B)=-1, LOOKUP(A1454,characters!A:A,characters!B:B)+0.1&gt;=B1454),1,0)</f>
        <v/>
      </c>
    </row>
    <row r="1455" spans="1:14">
      <c r="A1455" s="4" t="s">
        <v>110</v>
      </c>
      <c r="B1455" s="7">
        <v>3</v>
      </c>
      <c r="C1455" s="5" t="s">
        <v>23</v>
      </c>
      <c r="D1455" s="5" t="s">
        <v>23</v>
      </c>
      <c r="E1455" s="5" t="s">
        <v>23</v>
      </c>
      <c r="F1455" s="6">
        <f>IF(J1455=1,0.99,0)</f>
        <v/>
      </c>
      <c r="G1455" s="5" t="s">
        <v>23</v>
      </c>
      <c r="H1455" s="5" t="s">
        <v>23</v>
      </c>
      <c r="I1455" s="6">
        <f>IF(J1455=1,1.0,0)</f>
        <v/>
      </c>
      <c r="J1455" s="8">
        <f>IF(OR(LOOKUP(A1455,characters!A:A,characters!B:B)=-1, LOOKUP(A1455,characters!A:A,characters!B:B)+0.1&gt;=B1455),1,0)</f>
        <v/>
      </c>
    </row>
    <row r="1456" spans="1:14">
      <c r="A1456" s="4" t="s">
        <v>39</v>
      </c>
      <c r="B1456" s="7">
        <v>0</v>
      </c>
      <c r="C1456" s="6">
        <f>IF(J1456=1,0.9,0)</f>
        <v/>
      </c>
      <c r="D1456" s="5" t="s">
        <v>23</v>
      </c>
      <c r="E1456" s="6">
        <f>IF(J1456=1,1.0,0)</f>
        <v/>
      </c>
      <c r="F1456" s="5" t="s">
        <v>23</v>
      </c>
      <c r="G1456" s="5" t="s">
        <v>23</v>
      </c>
      <c r="H1456" s="5" t="s">
        <v>23</v>
      </c>
      <c r="I1456" s="5" t="s">
        <v>23</v>
      </c>
      <c r="J1456" s="8">
        <f>IF(OR(LOOKUP(A1456,characters!A:A,characters!B:B)=-1, LOOKUP(A1456,characters!A:A,characters!B:B)+0.1&gt;=B1456),1,0)</f>
        <v/>
      </c>
    </row>
    <row r="1457" spans="1:10">
      <c r="A1457" s="4" t="s">
        <v>40</v>
      </c>
      <c r="B1457" s="7">
        <v>1</v>
      </c>
      <c r="C1457" s="6">
        <f>IF(J1457=1,0.9,0)</f>
        <v/>
      </c>
      <c r="D1457" s="5" t="s">
        <v>23</v>
      </c>
      <c r="E1457" s="5" t="s">
        <v>23</v>
      </c>
      <c r="F1457" s="5" t="s">
        <v>23</v>
      </c>
      <c r="G1457" s="5" t="s">
        <v>23</v>
      </c>
      <c r="H1457" s="6">
        <f>IF(J1457=1,1.0,0)</f>
        <v/>
      </c>
      <c r="I1457" s="5" t="s">
        <v>23</v>
      </c>
      <c r="J1457" s="8">
        <f>IF(OR(LOOKUP(A1457,characters!A:A,characters!B:B)=-1, LOOKUP(A1457,characters!A:A,characters!B:B)+0.1&gt;=B1457),1,0)</f>
        <v/>
      </c>
    </row>
    <row r="1458" spans="1:10">
      <c r="A1458" s="4" t="s">
        <v>42</v>
      </c>
      <c r="B1458" s="7">
        <v>1</v>
      </c>
      <c r="C1458" s="6">
        <f>IF(J1458=1,1.0,0)</f>
        <v/>
      </c>
      <c r="D1458" s="6">
        <f>IF(J1458=1,0.9,0)</f>
        <v/>
      </c>
      <c r="E1458" s="5" t="s">
        <v>23</v>
      </c>
      <c r="F1458" s="5" t="s">
        <v>23</v>
      </c>
      <c r="G1458" s="5" t="s">
        <v>23</v>
      </c>
      <c r="H1458" s="5" t="s">
        <v>23</v>
      </c>
      <c r="I1458" s="5" t="s">
        <v>23</v>
      </c>
      <c r="J1458" s="8">
        <f>IF(OR(LOOKUP(A1458,characters!A:A,characters!B:B)=-1, LOOKUP(A1458,characters!A:A,characters!B:B)+0.1&gt;=B1458),1,0)</f>
        <v/>
      </c>
    </row>
    <row r="1459" spans="1:10">
      <c r="A1459" s="4" t="s">
        <v>43</v>
      </c>
      <c r="B1459" s="7">
        <v>0</v>
      </c>
      <c r="C1459" s="5" t="s">
        <v>23</v>
      </c>
      <c r="D1459" s="5" t="s">
        <v>23</v>
      </c>
      <c r="E1459" s="5" t="s">
        <v>23</v>
      </c>
      <c r="F1459" s="5" t="s">
        <v>23</v>
      </c>
      <c r="G1459" s="5" t="s">
        <v>23</v>
      </c>
      <c r="H1459" s="6">
        <f>IF(J1459=1,1.0,0)</f>
        <v/>
      </c>
      <c r="I1459" s="5" t="s">
        <v>23</v>
      </c>
      <c r="J1459" s="8">
        <f>IF(OR(LOOKUP(A1459,characters!A:A,characters!B:B)=-1, LOOKUP(A1459,characters!A:A,characters!B:B)+0.1&gt;=B1459),1,0)</f>
        <v/>
      </c>
    </row>
    <row r="1460" spans="1:10">
      <c r="A1460" s="4" t="s">
        <v>44</v>
      </c>
      <c r="B1460" s="7">
        <v>1</v>
      </c>
      <c r="C1460" s="5" t="s">
        <v>23</v>
      </c>
      <c r="D1460" s="5" t="s">
        <v>23</v>
      </c>
      <c r="E1460" s="5" t="s">
        <v>23</v>
      </c>
      <c r="F1460" s="6">
        <f>IF(J1460=1,1.0,0)</f>
        <v/>
      </c>
      <c r="G1460" s="5" t="s">
        <v>23</v>
      </c>
      <c r="H1460" s="5" t="s">
        <v>23</v>
      </c>
      <c r="I1460" s="5" t="s">
        <v>23</v>
      </c>
      <c r="J1460" s="8">
        <f>IF(OR(LOOKUP(A1460,characters!A:A,characters!B:B)=-1, LOOKUP(A1460,characters!A:A,characters!B:B)+0.1&gt;=B1460),1,0)</f>
        <v/>
      </c>
    </row>
    <row r="1461" spans="1:10">
      <c r="A1461" s="4" t="s">
        <v>45</v>
      </c>
      <c r="B1461" s="7">
        <v>1</v>
      </c>
      <c r="C1461" s="6">
        <f>IF(J1461=1,0.9,0)</f>
        <v/>
      </c>
      <c r="D1461" s="5" t="s">
        <v>23</v>
      </c>
      <c r="E1461" s="5" t="s">
        <v>23</v>
      </c>
      <c r="F1461" s="5" t="s">
        <v>23</v>
      </c>
      <c r="G1461" s="6">
        <f>IF(J1461=1,1.0,0)</f>
        <v/>
      </c>
      <c r="H1461" s="5" t="s">
        <v>23</v>
      </c>
      <c r="I1461" s="5" t="s">
        <v>23</v>
      </c>
      <c r="J1461" s="8">
        <f>IF(OR(LOOKUP(A1461,characters!A:A,characters!B:B)=-1, LOOKUP(A1461,characters!A:A,characters!B:B)+0.1&gt;=B1461),1,0)</f>
        <v/>
      </c>
    </row>
    <row r="1462" spans="1:10">
      <c r="A1462" s="4" t="s">
        <v>48</v>
      </c>
      <c r="B1462" s="7">
        <v>0</v>
      </c>
      <c r="C1462" s="5" t="s">
        <v>23</v>
      </c>
      <c r="D1462" s="5" t="s">
        <v>23</v>
      </c>
      <c r="E1462" s="5" t="s">
        <v>23</v>
      </c>
      <c r="F1462" s="6">
        <f>IF(J1462=1,0.99,0)</f>
        <v/>
      </c>
      <c r="G1462" s="5" t="s">
        <v>23</v>
      </c>
      <c r="H1462" s="5" t="s">
        <v>23</v>
      </c>
      <c r="I1462" s="6">
        <f>IF(J1462=1,1.0,0)</f>
        <v/>
      </c>
      <c r="J1462" s="8">
        <f>IF(OR(LOOKUP(A1462,characters!A:A,characters!B:B)=-1, LOOKUP(A1462,characters!A:A,characters!B:B)+0.1&gt;=B1462),1,0)</f>
        <v/>
      </c>
    </row>
    <row r="1464" spans="1:10">
      <c r="A1464" s="3" t="s">
        <v>52</v>
      </c>
      <c r="B1464" s="3" t="s">
        <v>9</v>
      </c>
      <c r="C1464" s="3" t="s">
        <v>10</v>
      </c>
      <c r="D1464" s="3" t="s">
        <v>17</v>
      </c>
    </row>
    <row r="1465" spans="1:10">
      <c r="A1465" s="4" t="s">
        <v>22</v>
      </c>
      <c r="B1465" s="5" t="s">
        <v>23</v>
      </c>
      <c r="C1465" s="6">
        <f>IF(SUM(E1466:E1483)=0,0,SUM(C1466:C1483)/SUM(E1466:E1483))</f>
        <v/>
      </c>
      <c r="D1465" s="6">
        <f>IF(SUM(E1466:E1483)=0,0,SUM(D1466:D1483)/SUM(E1466:E1483))</f>
        <v/>
      </c>
    </row>
    <row r="1466" spans="1:10">
      <c r="A1466" s="4" t="s">
        <v>24</v>
      </c>
      <c r="B1466" s="7">
        <v>0</v>
      </c>
      <c r="C1466" s="6">
        <f>IF(E1466=1,1.0,0)</f>
        <v/>
      </c>
      <c r="D1466" s="5" t="s">
        <v>23</v>
      </c>
      <c r="E1466" s="8">
        <f>IF(OR(LOOKUP(A1466,characters!A:A,characters!B:B)=-1, LOOKUP(A1466,characters!A:A,characters!B:B)+0.1&gt;=B1466),1,0)</f>
        <v/>
      </c>
    </row>
    <row r="1467" spans="1:10">
      <c r="A1467" s="4" t="s">
        <v>26</v>
      </c>
      <c r="B1467" s="7">
        <v>0</v>
      </c>
      <c r="C1467" s="6">
        <f>IF(E1467=1,1.0,0)</f>
        <v/>
      </c>
      <c r="D1467" s="5" t="s">
        <v>23</v>
      </c>
      <c r="E1467" s="8">
        <f>IF(OR(LOOKUP(A1467,characters!A:A,characters!B:B)=-1, LOOKUP(A1467,characters!A:A,characters!B:B)+0.1&gt;=B1467),1,0)</f>
        <v/>
      </c>
    </row>
    <row r="1468" spans="1:10">
      <c r="A1468" s="4" t="s">
        <v>27</v>
      </c>
      <c r="B1468" s="7">
        <v>1</v>
      </c>
      <c r="C1468" s="6">
        <f>IF(E1468=1,1.0,0)</f>
        <v/>
      </c>
      <c r="D1468" s="5" t="s">
        <v>23</v>
      </c>
      <c r="E1468" s="8">
        <f>IF(OR(LOOKUP(A1468,characters!A:A,characters!B:B)=-1, LOOKUP(A1468,characters!A:A,characters!B:B)+0.1&gt;=B1468),1,0)</f>
        <v/>
      </c>
    </row>
    <row r="1469" spans="1:10">
      <c r="A1469" s="4" t="s">
        <v>29</v>
      </c>
      <c r="B1469" s="7">
        <v>0</v>
      </c>
      <c r="C1469" s="6">
        <f>IF(E1469=1,1.0,0)</f>
        <v/>
      </c>
      <c r="D1469" s="5" t="s">
        <v>23</v>
      </c>
      <c r="E1469" s="8">
        <f>IF(OR(LOOKUP(A1469,characters!A:A,characters!B:B)=-1, LOOKUP(A1469,characters!A:A,characters!B:B)+0.1&gt;=B1469),1,0)</f>
        <v/>
      </c>
    </row>
    <row r="1470" spans="1:10">
      <c r="A1470" s="4" t="s">
        <v>31</v>
      </c>
      <c r="B1470" s="7">
        <v>0</v>
      </c>
      <c r="C1470" s="6">
        <f>IF(E1470=1,1.0,0)</f>
        <v/>
      </c>
      <c r="D1470" s="5" t="s">
        <v>23</v>
      </c>
      <c r="E1470" s="8">
        <f>IF(OR(LOOKUP(A1470,characters!A:A,characters!B:B)=-1, LOOKUP(A1470,characters!A:A,characters!B:B)+0.1&gt;=B1470),1,0)</f>
        <v/>
      </c>
    </row>
    <row r="1471" spans="1:10">
      <c r="A1471" s="4" t="s">
        <v>32</v>
      </c>
      <c r="B1471" s="7">
        <v>0</v>
      </c>
      <c r="C1471" s="6">
        <f>IF(E1471=1,1.0,0)</f>
        <v/>
      </c>
      <c r="D1471" s="5" t="s">
        <v>23</v>
      </c>
      <c r="E1471" s="8">
        <f>IF(OR(LOOKUP(A1471,characters!A:A,characters!B:B)=-1, LOOKUP(A1471,characters!A:A,characters!B:B)+0.1&gt;=B1471),1,0)</f>
        <v/>
      </c>
    </row>
    <row r="1472" spans="1:10">
      <c r="A1472" s="4" t="s">
        <v>33</v>
      </c>
      <c r="B1472" s="7">
        <v>1</v>
      </c>
      <c r="C1472" s="6">
        <f>IF(E1472=1,1.0,0)</f>
        <v/>
      </c>
      <c r="D1472" s="5" t="s">
        <v>23</v>
      </c>
      <c r="E1472" s="8">
        <f>IF(OR(LOOKUP(A1472,characters!A:A,characters!B:B)=-1, LOOKUP(A1472,characters!A:A,characters!B:B)+0.1&gt;=B1472),1,0)</f>
        <v/>
      </c>
    </row>
    <row r="1473" spans="1:5">
      <c r="A1473" s="4" t="s">
        <v>34</v>
      </c>
      <c r="B1473" s="7">
        <v>1</v>
      </c>
      <c r="C1473" s="6">
        <f>IF(E1473=1,1.0,0)</f>
        <v/>
      </c>
      <c r="D1473" s="5" t="s">
        <v>23</v>
      </c>
      <c r="E1473" s="8">
        <f>IF(OR(LOOKUP(A1473,characters!A:A,characters!B:B)=-1, LOOKUP(A1473,characters!A:A,characters!B:B)+0.1&gt;=B1473),1,0)</f>
        <v/>
      </c>
    </row>
    <row r="1474" spans="1:5">
      <c r="A1474" s="4" t="s">
        <v>36</v>
      </c>
      <c r="B1474" s="7">
        <v>0</v>
      </c>
      <c r="C1474" s="6">
        <f>IF(E1474=1,1.0,0)</f>
        <v/>
      </c>
      <c r="D1474" s="5" t="s">
        <v>23</v>
      </c>
      <c r="E1474" s="8">
        <f>IF(OR(LOOKUP(A1474,characters!A:A,characters!B:B)=-1, LOOKUP(A1474,characters!A:A,characters!B:B)+0.1&gt;=B1474),1,0)</f>
        <v/>
      </c>
    </row>
    <row r="1475" spans="1:5">
      <c r="A1475" s="4" t="s">
        <v>37</v>
      </c>
      <c r="B1475" s="7">
        <v>0</v>
      </c>
      <c r="C1475" s="6">
        <f>IF(E1475=1,1.0,0)</f>
        <v/>
      </c>
      <c r="D1475" s="5" t="s">
        <v>23</v>
      </c>
      <c r="E1475" s="8">
        <f>IF(OR(LOOKUP(A1475,characters!A:A,characters!B:B)=-1, LOOKUP(A1475,characters!A:A,characters!B:B)+0.1&gt;=B1475),1,0)</f>
        <v/>
      </c>
    </row>
    <row r="1476" spans="1:5">
      <c r="A1476" s="4" t="s">
        <v>110</v>
      </c>
      <c r="B1476" s="7">
        <v>3</v>
      </c>
      <c r="C1476" s="6">
        <f>IF(E1476=1,1.0,0)</f>
        <v/>
      </c>
      <c r="D1476" s="6">
        <f>IF(E1476=1,0.99,0)</f>
        <v/>
      </c>
      <c r="E1476" s="8">
        <f>IF(OR(LOOKUP(A1476,characters!A:A,characters!B:B)=-1, LOOKUP(A1476,characters!A:A,characters!B:B)+0.1&gt;=B1476),1,0)</f>
        <v/>
      </c>
    </row>
    <row r="1477" spans="1:5">
      <c r="A1477" s="4" t="s">
        <v>39</v>
      </c>
      <c r="B1477" s="7">
        <v>0</v>
      </c>
      <c r="C1477" s="6">
        <f>IF(E1477=1,1.0,0)</f>
        <v/>
      </c>
      <c r="D1477" s="5" t="s">
        <v>23</v>
      </c>
      <c r="E1477" s="8">
        <f>IF(OR(LOOKUP(A1477,characters!A:A,characters!B:B)=-1, LOOKUP(A1477,characters!A:A,characters!B:B)+0.1&gt;=B1477),1,0)</f>
        <v/>
      </c>
    </row>
    <row r="1478" spans="1:5">
      <c r="A1478" s="4" t="s">
        <v>40</v>
      </c>
      <c r="B1478" s="7">
        <v>1</v>
      </c>
      <c r="C1478" s="6">
        <f>IF(E1478=1,1.0,0)</f>
        <v/>
      </c>
      <c r="D1478" s="5" t="s">
        <v>23</v>
      </c>
      <c r="E1478" s="8">
        <f>IF(OR(LOOKUP(A1478,characters!A:A,characters!B:B)=-1, LOOKUP(A1478,characters!A:A,characters!B:B)+0.1&gt;=B1478),1,0)</f>
        <v/>
      </c>
    </row>
    <row r="1479" spans="1:5">
      <c r="A1479" s="4" t="s">
        <v>42</v>
      </c>
      <c r="B1479" s="7">
        <v>1</v>
      </c>
      <c r="C1479" s="6">
        <f>IF(E1479=1,1.0,0)</f>
        <v/>
      </c>
      <c r="D1479" s="5" t="s">
        <v>23</v>
      </c>
      <c r="E1479" s="8">
        <f>IF(OR(LOOKUP(A1479,characters!A:A,characters!B:B)=-1, LOOKUP(A1479,characters!A:A,characters!B:B)+0.1&gt;=B1479),1,0)</f>
        <v/>
      </c>
    </row>
    <row r="1480" spans="1:5">
      <c r="A1480" s="4" t="s">
        <v>43</v>
      </c>
      <c r="B1480" s="7">
        <v>0</v>
      </c>
      <c r="C1480" s="6">
        <f>IF(E1480=1,1.0,0)</f>
        <v/>
      </c>
      <c r="D1480" s="5" t="s">
        <v>23</v>
      </c>
      <c r="E1480" s="8">
        <f>IF(OR(LOOKUP(A1480,characters!A:A,characters!B:B)=-1, LOOKUP(A1480,characters!A:A,characters!B:B)+0.1&gt;=B1480),1,0)</f>
        <v/>
      </c>
    </row>
    <row r="1481" spans="1:5">
      <c r="A1481" s="4" t="s">
        <v>44</v>
      </c>
      <c r="B1481" s="7">
        <v>1</v>
      </c>
      <c r="C1481" s="6">
        <f>IF(E1481=1,1.0,0)</f>
        <v/>
      </c>
      <c r="D1481" s="5" t="s">
        <v>23</v>
      </c>
      <c r="E1481" s="8">
        <f>IF(OR(LOOKUP(A1481,characters!A:A,characters!B:B)=-1, LOOKUP(A1481,characters!A:A,characters!B:B)+0.1&gt;=B1481),1,0)</f>
        <v/>
      </c>
    </row>
    <row r="1482" spans="1:5">
      <c r="A1482" s="4" t="s">
        <v>45</v>
      </c>
      <c r="B1482" s="7">
        <v>1</v>
      </c>
      <c r="C1482" s="6">
        <f>IF(E1482=1,1.0,0)</f>
        <v/>
      </c>
      <c r="D1482" s="5" t="s">
        <v>23</v>
      </c>
      <c r="E1482" s="8">
        <f>IF(OR(LOOKUP(A1482,characters!A:A,characters!B:B)=-1, LOOKUP(A1482,characters!A:A,characters!B:B)+0.1&gt;=B1482),1,0)</f>
        <v/>
      </c>
    </row>
    <row r="1483" spans="1:5">
      <c r="A1483" s="4" t="s">
        <v>48</v>
      </c>
      <c r="B1483" s="7">
        <v>0</v>
      </c>
      <c r="C1483" s="6">
        <f>IF(E1483=1,1.0,0)</f>
        <v/>
      </c>
      <c r="D1483" s="6">
        <f>IF(E1483=1,0.99,0)</f>
        <v/>
      </c>
      <c r="E1483" s="8">
        <f>IF(OR(LOOKUP(A1483,characters!A:A,characters!B:B)=-1, LOOKUP(A1483,characters!A:A,characters!B:B)+0.1&gt;=B1483),1,0)</f>
        <v/>
      </c>
    </row>
    <row r="1490" spans="1:10">
      <c r="A1490" s="3" t="s">
        <v>135</v>
      </c>
    </row>
    <row r="1491" spans="1:10">
      <c r="A1491" s="3" t="s">
        <v>8</v>
      </c>
      <c r="B1491" s="3" t="s">
        <v>9</v>
      </c>
      <c r="C1491" s="3" t="s">
        <v>10</v>
      </c>
      <c r="D1491" s="3" t="s">
        <v>12</v>
      </c>
      <c r="E1491" s="3" t="s">
        <v>11</v>
      </c>
      <c r="F1491" s="3" t="s">
        <v>13</v>
      </c>
      <c r="G1491" s="3" t="s">
        <v>16</v>
      </c>
      <c r="H1491" s="3" t="s">
        <v>19</v>
      </c>
      <c r="I1491" s="3" t="s">
        <v>21</v>
      </c>
    </row>
    <row r="1492" spans="1:10">
      <c r="A1492" s="4" t="s">
        <v>22</v>
      </c>
      <c r="B1492" s="5" t="s">
        <v>23</v>
      </c>
      <c r="C1492" s="6">
        <f>IF(SUM(J1493:J1497)=0,0,SUM(C1493:C1497)/SUM(J1493:J1497))</f>
        <v/>
      </c>
      <c r="D1492" s="6">
        <f>IF(SUM(J1493:J1497)=0,0,SUM(D1493:D1497)/SUM(J1493:J1497))</f>
        <v/>
      </c>
      <c r="E1492" s="6">
        <f>IF(SUM(J1493:J1497)=0,0,SUM(E1493:E1497)/SUM(J1493:J1497))</f>
        <v/>
      </c>
      <c r="F1492" s="6">
        <f>IF(SUM(J1493:J1497)=0,0,SUM(F1493:F1497)/SUM(J1493:J1497))</f>
        <v/>
      </c>
      <c r="G1492" s="6">
        <f>IF(SUM(J1493:J1497)=0,0,SUM(G1493:G1497)/SUM(J1493:J1497))</f>
        <v/>
      </c>
      <c r="H1492" s="6">
        <f>IF(SUM(J1493:J1497)=0,0,SUM(H1493:H1497)/SUM(J1493:J1497))</f>
        <v/>
      </c>
      <c r="I1492" s="6">
        <f>IF(SUM(J1493:J1497)=0,0,SUM(I1493:I1497)/SUM(J1493:J1497))</f>
        <v/>
      </c>
    </row>
    <row r="1493" spans="1:10">
      <c r="A1493" s="4" t="s">
        <v>30</v>
      </c>
      <c r="B1493" s="7">
        <v>0</v>
      </c>
      <c r="C1493" s="6">
        <f>IF(J1493=1,1.0,0)</f>
        <v/>
      </c>
      <c r="D1493" s="6">
        <f>IF(J1493=1,1.0,0)</f>
        <v/>
      </c>
      <c r="E1493" s="6">
        <f>IF(J1493=1,0.9,0)</f>
        <v/>
      </c>
      <c r="F1493" s="6">
        <f>IF(J1493=1,0.9,0)</f>
        <v/>
      </c>
      <c r="G1493" s="5" t="s">
        <v>23</v>
      </c>
      <c r="H1493" s="5" t="s">
        <v>23</v>
      </c>
      <c r="I1493" s="5" t="s">
        <v>23</v>
      </c>
      <c r="J1493" s="8">
        <f>IF(OR(LOOKUP(A1493,characters!A:A,characters!B:B)=-1, LOOKUP(A1493,characters!A:A,characters!B:B)+0.1&gt;=B1493),1,0)</f>
        <v/>
      </c>
    </row>
    <row r="1494" spans="1:10">
      <c r="A1494" s="4" t="s">
        <v>38</v>
      </c>
      <c r="B1494" s="7">
        <v>0</v>
      </c>
      <c r="C1494" s="6">
        <f>IF(J1494=1,1.0,0)</f>
        <v/>
      </c>
      <c r="D1494" s="6">
        <f>IF(J1494=1,0.9,0)</f>
        <v/>
      </c>
      <c r="E1494" s="6">
        <f>IF(J1494=1,0.8,0)</f>
        <v/>
      </c>
      <c r="F1494" s="6">
        <f>IF(J1494=1,0.8,0)</f>
        <v/>
      </c>
      <c r="G1494" s="6">
        <f>IF(J1494=1,1.0,0)</f>
        <v/>
      </c>
      <c r="H1494" s="5" t="s">
        <v>23</v>
      </c>
      <c r="I1494" s="5" t="s">
        <v>23</v>
      </c>
      <c r="J1494" s="8">
        <f>IF(OR(LOOKUP(A1494,characters!A:A,characters!B:B)=-1, LOOKUP(A1494,characters!A:A,characters!B:B)+0.1&gt;=B1494),1,0)</f>
        <v/>
      </c>
    </row>
    <row r="1495" spans="1:10">
      <c r="A1495" s="4" t="s">
        <v>47</v>
      </c>
      <c r="B1495" s="7">
        <v>0</v>
      </c>
      <c r="C1495" s="6">
        <f>IF(J1495=1,0.9,0)</f>
        <v/>
      </c>
      <c r="D1495" s="6">
        <f>IF(J1495=1,0.8,0)</f>
        <v/>
      </c>
      <c r="E1495" s="6">
        <f>IF(J1495=1,1.0,0)</f>
        <v/>
      </c>
      <c r="F1495" s="6">
        <f>IF(J1495=1,0.7,0)</f>
        <v/>
      </c>
      <c r="G1495" s="6">
        <f>IF(J1495=1,0.6,0)</f>
        <v/>
      </c>
      <c r="H1495" s="5" t="s">
        <v>23</v>
      </c>
      <c r="I1495" s="5" t="s">
        <v>23</v>
      </c>
      <c r="J1495" s="8">
        <f>IF(OR(LOOKUP(A1495,characters!A:A,characters!B:B)=-1, LOOKUP(A1495,characters!A:A,characters!B:B)+0.1&gt;=B1495),1,0)</f>
        <v/>
      </c>
    </row>
    <row r="1496" spans="1:10">
      <c r="A1496" s="4" t="s">
        <v>25</v>
      </c>
      <c r="B1496" s="7">
        <v>1</v>
      </c>
      <c r="C1496" s="6">
        <f>IF(J1496=1,0.99,0)</f>
        <v/>
      </c>
      <c r="D1496" s="6">
        <f>IF(J1496=1,1.0,0)</f>
        <v/>
      </c>
      <c r="E1496" s="6">
        <f>IF(J1496=1,0.69,0)</f>
        <v/>
      </c>
      <c r="F1496" s="5" t="s">
        <v>23</v>
      </c>
      <c r="G1496" s="5" t="s">
        <v>23</v>
      </c>
      <c r="H1496" s="6">
        <f>IF(J1496=1,0.89,0)</f>
        <v/>
      </c>
      <c r="I1496" s="6">
        <f>IF(J1496=1,0.79,0)</f>
        <v/>
      </c>
      <c r="J1496" s="8">
        <f>IF(OR(LOOKUP(A1496,characters!A:A,characters!B:B)=-1, LOOKUP(A1496,characters!A:A,characters!B:B)+0.1&gt;=B1496),1,0)</f>
        <v/>
      </c>
    </row>
    <row r="1497" spans="1:10">
      <c r="A1497" s="4" t="s">
        <v>28</v>
      </c>
      <c r="B1497" s="7">
        <v>1</v>
      </c>
      <c r="C1497" s="6">
        <f>IF(J1497=1,1.0,0)</f>
        <v/>
      </c>
      <c r="D1497" s="6">
        <f>IF(J1497=1,0.99,0)</f>
        <v/>
      </c>
      <c r="E1497" s="6">
        <f>IF(J1497=1,0.89,0)</f>
        <v/>
      </c>
      <c r="F1497" s="6">
        <f>IF(J1497=1,1.0,0)</f>
        <v/>
      </c>
      <c r="G1497" s="5" t="s">
        <v>23</v>
      </c>
      <c r="H1497" s="5" t="s">
        <v>23</v>
      </c>
      <c r="I1497" s="5" t="s">
        <v>23</v>
      </c>
      <c r="J1497" s="8">
        <f>IF(OR(LOOKUP(A1497,characters!A:A,characters!B:B)=-1, LOOKUP(A1497,characters!A:A,characters!B:B)+0.1&gt;=B1497),1,0)</f>
        <v/>
      </c>
    </row>
    <row r="1499" spans="1:10">
      <c r="A1499" s="3" t="s">
        <v>49</v>
      </c>
      <c r="B1499" s="3" t="s">
        <v>9</v>
      </c>
      <c r="C1499" s="3" t="s">
        <v>12</v>
      </c>
      <c r="D1499" s="3" t="s">
        <v>19</v>
      </c>
      <c r="E1499" s="3" t="s">
        <v>13</v>
      </c>
      <c r="F1499" s="3" t="s">
        <v>16</v>
      </c>
    </row>
    <row r="1500" spans="1:10">
      <c r="A1500" s="4" t="s">
        <v>22</v>
      </c>
      <c r="B1500" s="5" t="s">
        <v>23</v>
      </c>
      <c r="C1500" s="6">
        <f>IF(SUM(G1501:G1505)=0,0,SUM(C1501:C1505)/SUM(G1501:G1505))</f>
        <v/>
      </c>
      <c r="D1500" s="6">
        <f>IF(SUM(G1501:G1505)=0,0,SUM(D1501:D1505)/SUM(G1501:G1505))</f>
        <v/>
      </c>
      <c r="E1500" s="6">
        <f>IF(SUM(G1501:G1505)=0,0,SUM(E1501:E1505)/SUM(G1501:G1505))</f>
        <v/>
      </c>
      <c r="F1500" s="6">
        <f>IF(SUM(G1501:G1505)=0,0,SUM(F1501:F1505)/SUM(G1501:G1505))</f>
        <v/>
      </c>
    </row>
    <row r="1501" spans="1:10">
      <c r="A1501" s="4" t="s">
        <v>25</v>
      </c>
      <c r="B1501" s="7">
        <v>1</v>
      </c>
      <c r="C1501" s="6">
        <f>IF(G1501=1,1.0,0)</f>
        <v/>
      </c>
      <c r="D1501" s="6">
        <f>IF(G1501=1,1.0,0)</f>
        <v/>
      </c>
      <c r="E1501" s="5" t="s">
        <v>23</v>
      </c>
      <c r="F1501" s="5" t="s">
        <v>23</v>
      </c>
      <c r="G1501" s="8">
        <f>IF(OR(LOOKUP(A1501,characters!A:A,characters!B:B)=-1, LOOKUP(A1501,characters!A:A,characters!B:B)+0.1&gt;=B1501),1,0)</f>
        <v/>
      </c>
    </row>
    <row r="1502" spans="1:10">
      <c r="A1502" s="4" t="s">
        <v>28</v>
      </c>
      <c r="B1502" s="7">
        <v>1</v>
      </c>
      <c r="C1502" s="6">
        <f>IF(G1502=1,0.9,0)</f>
        <v/>
      </c>
      <c r="D1502" s="5" t="s">
        <v>23</v>
      </c>
      <c r="E1502" s="6">
        <f>IF(G1502=1,1.0,0)</f>
        <v/>
      </c>
      <c r="F1502" s="5" t="s">
        <v>23</v>
      </c>
      <c r="G1502" s="8">
        <f>IF(OR(LOOKUP(A1502,characters!A:A,characters!B:B)=-1, LOOKUP(A1502,characters!A:A,characters!B:B)+0.1&gt;=B1502),1,0)</f>
        <v/>
      </c>
    </row>
    <row r="1503" spans="1:10">
      <c r="A1503" s="4" t="s">
        <v>30</v>
      </c>
      <c r="B1503" s="7">
        <v>0</v>
      </c>
      <c r="C1503" s="6">
        <f>IF(G1503=1,1.0,0)</f>
        <v/>
      </c>
      <c r="D1503" s="5" t="s">
        <v>23</v>
      </c>
      <c r="E1503" s="5" t="s">
        <v>23</v>
      </c>
      <c r="F1503" s="5" t="s">
        <v>23</v>
      </c>
      <c r="G1503" s="8">
        <f>IF(OR(LOOKUP(A1503,characters!A:A,characters!B:B)=-1, LOOKUP(A1503,characters!A:A,characters!B:B)+0.1&gt;=B1503),1,0)</f>
        <v/>
      </c>
    </row>
    <row r="1504" spans="1:10">
      <c r="A1504" s="4" t="s">
        <v>38</v>
      </c>
      <c r="B1504" s="7">
        <v>0</v>
      </c>
      <c r="C1504" s="6">
        <f>IF(G1504=1,0.99,0)</f>
        <v/>
      </c>
      <c r="D1504" s="5" t="s">
        <v>23</v>
      </c>
      <c r="E1504" s="5" t="s">
        <v>23</v>
      </c>
      <c r="F1504" s="6">
        <f>IF(G1504=1,1.0,0)</f>
        <v/>
      </c>
      <c r="G1504" s="8">
        <f>IF(OR(LOOKUP(A1504,characters!A:A,characters!B:B)=-1, LOOKUP(A1504,characters!A:A,characters!B:B)+0.1&gt;=B1504),1,0)</f>
        <v/>
      </c>
    </row>
    <row r="1505" spans="1:7">
      <c r="A1505" s="4" t="s">
        <v>47</v>
      </c>
      <c r="B1505" s="7">
        <v>0</v>
      </c>
      <c r="C1505" s="6">
        <f>IF(G1505=1,1.0,0)</f>
        <v/>
      </c>
      <c r="D1505" s="5" t="s">
        <v>23</v>
      </c>
      <c r="E1505" s="5" t="s">
        <v>23</v>
      </c>
      <c r="F1505" s="5" t="s">
        <v>23</v>
      </c>
      <c r="G1505" s="8">
        <f>IF(OR(LOOKUP(A1505,characters!A:A,characters!B:B)=-1, LOOKUP(A1505,characters!A:A,characters!B:B)+0.1&gt;=B1505),1,0)</f>
        <v/>
      </c>
    </row>
    <row r="1507" spans="1:7">
      <c r="A1507" s="3" t="s">
        <v>52</v>
      </c>
      <c r="B1507" s="3" t="s">
        <v>9</v>
      </c>
      <c r="C1507" s="3" t="s">
        <v>10</v>
      </c>
      <c r="D1507" s="3" t="s">
        <v>12</v>
      </c>
      <c r="E1507" s="3" t="s">
        <v>13</v>
      </c>
    </row>
    <row r="1508" spans="1:7">
      <c r="A1508" s="4" t="s">
        <v>22</v>
      </c>
      <c r="B1508" s="5" t="s">
        <v>23</v>
      </c>
      <c r="C1508" s="6">
        <f>IF(SUM(F1509:F1513)=0,0,SUM(C1509:C1513)/SUM(F1509:F1513))</f>
        <v/>
      </c>
      <c r="D1508" s="6">
        <f>IF(SUM(F1509:F1513)=0,0,SUM(D1509:D1513)/SUM(F1509:F1513))</f>
        <v/>
      </c>
      <c r="E1508" s="6">
        <f>IF(SUM(F1509:F1513)=0,0,SUM(E1509:E1513)/SUM(F1509:F1513))</f>
        <v/>
      </c>
    </row>
    <row r="1509" spans="1:7">
      <c r="A1509" s="4" t="s">
        <v>25</v>
      </c>
      <c r="B1509" s="7">
        <v>1</v>
      </c>
      <c r="C1509" s="6">
        <f>IF(F1509=1,1.0,0)</f>
        <v/>
      </c>
      <c r="D1509" s="6">
        <f>IF(F1509=1,0.99,0)</f>
        <v/>
      </c>
      <c r="E1509" s="5" t="s">
        <v>23</v>
      </c>
      <c r="F1509" s="8">
        <f>IF(OR(LOOKUP(A1509,characters!A:A,characters!B:B)=-1, LOOKUP(A1509,characters!A:A,characters!B:B)+0.1&gt;=B1509),1,0)</f>
        <v/>
      </c>
    </row>
    <row r="1510" spans="1:7">
      <c r="A1510" s="4" t="s">
        <v>28</v>
      </c>
      <c r="B1510" s="7">
        <v>1</v>
      </c>
      <c r="C1510" s="6">
        <f>IF(F1510=1,1.0,0)</f>
        <v/>
      </c>
      <c r="D1510" s="5" t="s">
        <v>23</v>
      </c>
      <c r="E1510" s="6">
        <f>IF(F1510=1,0.9,0)</f>
        <v/>
      </c>
      <c r="F1510" s="8">
        <f>IF(OR(LOOKUP(A1510,characters!A:A,characters!B:B)=-1, LOOKUP(A1510,characters!A:A,characters!B:B)+0.1&gt;=B1510),1,0)</f>
        <v/>
      </c>
    </row>
    <row r="1511" spans="1:7">
      <c r="A1511" s="4" t="s">
        <v>30</v>
      </c>
      <c r="B1511" s="7">
        <v>0</v>
      </c>
      <c r="C1511" s="6">
        <f>IF(F1511=1,1.0,0)</f>
        <v/>
      </c>
      <c r="D1511" s="5" t="s">
        <v>23</v>
      </c>
      <c r="E1511" s="5" t="s">
        <v>23</v>
      </c>
      <c r="F1511" s="8">
        <f>IF(OR(LOOKUP(A1511,characters!A:A,characters!B:B)=-1, LOOKUP(A1511,characters!A:A,characters!B:B)+0.1&gt;=B1511),1,0)</f>
        <v/>
      </c>
    </row>
    <row r="1512" spans="1:7">
      <c r="A1512" s="4" t="s">
        <v>38</v>
      </c>
      <c r="B1512" s="7">
        <v>0</v>
      </c>
      <c r="C1512" s="6">
        <f>IF(F1512=1,1.0,0)</f>
        <v/>
      </c>
      <c r="D1512" s="5" t="s">
        <v>23</v>
      </c>
      <c r="E1512" s="5" t="s">
        <v>23</v>
      </c>
      <c r="F1512" s="8">
        <f>IF(OR(LOOKUP(A1512,characters!A:A,characters!B:B)=-1, LOOKUP(A1512,characters!A:A,characters!B:B)+0.1&gt;=B1512),1,0)</f>
        <v/>
      </c>
    </row>
    <row r="1513" spans="1:7">
      <c r="A1513" s="4" t="s">
        <v>47</v>
      </c>
      <c r="B1513" s="7">
        <v>0</v>
      </c>
      <c r="C1513" s="6">
        <f>IF(F1513=1,1.0,0)</f>
        <v/>
      </c>
      <c r="D1513" s="6">
        <f>IF(F1513=1,0.99,0)</f>
        <v/>
      </c>
      <c r="E1513" s="5" t="s">
        <v>23</v>
      </c>
      <c r="F1513" s="8">
        <f>IF(OR(LOOKUP(A1513,characters!A:A,characters!B:B)=-1, LOOKUP(A1513,characters!A:A,characters!B:B)+0.1&gt;=B1513),1,0)</f>
        <v/>
      </c>
    </row>
    <row r="1520" spans="1:7">
      <c r="A1520" s="3" t="s">
        <v>136</v>
      </c>
    </row>
    <row r="1521" spans="1:9">
      <c r="A1521" s="3" t="s">
        <v>8</v>
      </c>
      <c r="B1521" s="3" t="s">
        <v>9</v>
      </c>
      <c r="C1521" s="3" t="s">
        <v>10</v>
      </c>
      <c r="D1521" s="3" t="s">
        <v>13</v>
      </c>
      <c r="E1521" s="3" t="s">
        <v>11</v>
      </c>
      <c r="F1521" s="3" t="s">
        <v>12</v>
      </c>
      <c r="G1521" s="3" t="s">
        <v>18</v>
      </c>
      <c r="H1521" s="3" t="s">
        <v>17</v>
      </c>
    </row>
    <row r="1522" spans="1:9">
      <c r="A1522" s="4" t="s">
        <v>22</v>
      </c>
      <c r="B1522" s="5" t="s">
        <v>23</v>
      </c>
      <c r="C1522" s="6">
        <f>IF(SUM(I1523:I1528)=0,0,SUM(C1523:C1528)/SUM(I1523:I1528))</f>
        <v/>
      </c>
      <c r="D1522" s="6">
        <f>IF(SUM(I1523:I1528)=0,0,SUM(D1523:D1528)/SUM(I1523:I1528))</f>
        <v/>
      </c>
      <c r="E1522" s="6">
        <f>IF(SUM(I1523:I1528)=0,0,SUM(E1523:E1528)/SUM(I1523:I1528))</f>
        <v/>
      </c>
      <c r="F1522" s="6">
        <f>IF(SUM(I1523:I1528)=0,0,SUM(F1523:F1528)/SUM(I1523:I1528))</f>
        <v/>
      </c>
      <c r="G1522" s="6">
        <f>IF(SUM(I1523:I1528)=0,0,SUM(G1523:G1528)/SUM(I1523:I1528))</f>
        <v/>
      </c>
      <c r="H1522" s="6">
        <f>IF(SUM(I1523:I1528)=0,0,SUM(H1523:H1528)/SUM(I1523:I1528))</f>
        <v/>
      </c>
    </row>
    <row r="1523" spans="1:9">
      <c r="A1523" s="4" t="s">
        <v>26</v>
      </c>
      <c r="B1523" s="7">
        <v>1</v>
      </c>
      <c r="C1523" s="6">
        <f>IF(I1523=1,1.0,0)</f>
        <v/>
      </c>
      <c r="D1523" s="6">
        <f>IF(I1523=1,0.9,0)</f>
        <v/>
      </c>
      <c r="E1523" s="6">
        <f>IF(I1523=1,0.8,0)</f>
        <v/>
      </c>
      <c r="F1523" s="6">
        <f>IF(I1523=1,0.8,0)</f>
        <v/>
      </c>
      <c r="G1523" s="5" t="s">
        <v>23</v>
      </c>
      <c r="H1523" s="5" t="s">
        <v>23</v>
      </c>
      <c r="I1523" s="8">
        <f>IF(OR(LOOKUP(A1523,characters!A:A,characters!B:B)=-1, LOOKUP(A1523,characters!A:A,characters!B:B)+0.1&gt;=B1523),1,0)</f>
        <v/>
      </c>
    </row>
    <row r="1524" spans="1:9">
      <c r="A1524" s="4" t="s">
        <v>29</v>
      </c>
      <c r="B1524" s="7">
        <v>1</v>
      </c>
      <c r="C1524" s="6">
        <f>IF(I1524=1,1.0,0)</f>
        <v/>
      </c>
      <c r="D1524" s="6">
        <f>IF(I1524=1,0.7,0)</f>
        <v/>
      </c>
      <c r="E1524" s="6">
        <f>IF(I1524=1,0.8,0)</f>
        <v/>
      </c>
      <c r="F1524" s="6">
        <f>IF(I1524=1,0.7,0)</f>
        <v/>
      </c>
      <c r="G1524" s="6">
        <f>IF(I1524=1,0.9,0)</f>
        <v/>
      </c>
      <c r="H1524" s="5" t="s">
        <v>23</v>
      </c>
      <c r="I1524" s="8">
        <f>IF(OR(LOOKUP(A1524,characters!A:A,characters!B:B)=-1, LOOKUP(A1524,characters!A:A,characters!B:B)+0.1&gt;=B1524),1,0)</f>
        <v/>
      </c>
    </row>
    <row r="1525" spans="1:9">
      <c r="A1525" s="4" t="s">
        <v>33</v>
      </c>
      <c r="B1525" s="7">
        <v>1</v>
      </c>
      <c r="C1525" s="6">
        <f>IF(I1525=1,1.0,0)</f>
        <v/>
      </c>
      <c r="D1525" s="6">
        <f>IF(I1525=1,0.9,0)</f>
        <v/>
      </c>
      <c r="E1525" s="6">
        <f>IF(I1525=1,0.8,0)</f>
        <v/>
      </c>
      <c r="F1525" s="6">
        <f>IF(I1525=1,0.8,0)</f>
        <v/>
      </c>
      <c r="G1525" s="5" t="s">
        <v>23</v>
      </c>
      <c r="H1525" s="5" t="s">
        <v>23</v>
      </c>
      <c r="I1525" s="8">
        <f>IF(OR(LOOKUP(A1525,characters!A:A,characters!B:B)=-1, LOOKUP(A1525,characters!A:A,characters!B:B)+0.1&gt;=B1525),1,0)</f>
        <v/>
      </c>
    </row>
    <row r="1526" spans="1:9">
      <c r="A1526" s="4" t="s">
        <v>37</v>
      </c>
      <c r="B1526" s="7">
        <v>1</v>
      </c>
      <c r="C1526" s="6">
        <f>IF(I1526=1,1.0,0)</f>
        <v/>
      </c>
      <c r="D1526" s="6">
        <f>IF(I1526=1,0.9,0)</f>
        <v/>
      </c>
      <c r="E1526" s="6">
        <f>IF(I1526=1,0.8,0)</f>
        <v/>
      </c>
      <c r="F1526" s="6">
        <f>IF(I1526=1,0.7,0)</f>
        <v/>
      </c>
      <c r="G1526" s="5" t="s">
        <v>23</v>
      </c>
      <c r="H1526" s="5" t="s">
        <v>23</v>
      </c>
      <c r="I1526" s="8">
        <f>IF(OR(LOOKUP(A1526,characters!A:A,characters!B:B)=-1, LOOKUP(A1526,characters!A:A,characters!B:B)+0.1&gt;=B1526),1,0)</f>
        <v/>
      </c>
    </row>
    <row r="1527" spans="1:9">
      <c r="A1527" s="4" t="s">
        <v>39</v>
      </c>
      <c r="B1527" s="7">
        <v>1</v>
      </c>
      <c r="C1527" s="6">
        <f>IF(I1527=1,1.0,0)</f>
        <v/>
      </c>
      <c r="D1527" s="6">
        <f>IF(I1527=1,0.9,0)</f>
        <v/>
      </c>
      <c r="E1527" s="6">
        <f>IF(I1527=1,0.8,0)</f>
        <v/>
      </c>
      <c r="F1527" s="6">
        <f>IF(I1527=1,0.8,0)</f>
        <v/>
      </c>
      <c r="G1527" s="5" t="s">
        <v>23</v>
      </c>
      <c r="H1527" s="5" t="s">
        <v>23</v>
      </c>
      <c r="I1527" s="8">
        <f>IF(OR(LOOKUP(A1527,characters!A:A,characters!B:B)=-1, LOOKUP(A1527,characters!A:A,characters!B:B)+0.1&gt;=B1527),1,0)</f>
        <v/>
      </c>
    </row>
    <row r="1528" spans="1:9">
      <c r="A1528" s="4" t="s">
        <v>36</v>
      </c>
      <c r="B1528" s="7">
        <v>2</v>
      </c>
      <c r="C1528" s="6">
        <f>IF(I1528=1,1.0,0)</f>
        <v/>
      </c>
      <c r="D1528" s="6">
        <f>IF(I1528=1,0.8,0)</f>
        <v/>
      </c>
      <c r="E1528" s="6">
        <f>IF(I1528=1,0.7,0)</f>
        <v/>
      </c>
      <c r="F1528" s="6">
        <f>IF(I1528=1,0.8,0)</f>
        <v/>
      </c>
      <c r="G1528" s="5" t="s">
        <v>23</v>
      </c>
      <c r="H1528" s="6">
        <f>IF(I1528=1,0.9,0)</f>
        <v/>
      </c>
      <c r="I1528" s="8">
        <f>IF(OR(LOOKUP(A1528,characters!A:A,characters!B:B)=-1, LOOKUP(A1528,characters!A:A,characters!B:B)+0.1&gt;=B1528),1,0)</f>
        <v/>
      </c>
    </row>
    <row r="1530" spans="1:9">
      <c r="A1530" s="3" t="s">
        <v>49</v>
      </c>
      <c r="B1530" s="3" t="s">
        <v>9</v>
      </c>
      <c r="C1530" s="3" t="s">
        <v>50</v>
      </c>
      <c r="D1530" s="3" t="s">
        <v>13</v>
      </c>
    </row>
    <row r="1531" spans="1:9">
      <c r="A1531" s="4" t="s">
        <v>22</v>
      </c>
      <c r="B1531" s="5" t="s">
        <v>23</v>
      </c>
      <c r="C1531" s="6">
        <f>IF(SUM(E1532:E1537)=0,0,SUM(C1532:C1537)/SUM(E1532:E1537))</f>
        <v/>
      </c>
      <c r="D1531" s="6">
        <f>IF(SUM(E1532:E1537)=0,0,SUM(D1532:D1537)/SUM(E1532:E1537))</f>
        <v/>
      </c>
    </row>
    <row r="1532" spans="1:9">
      <c r="A1532" s="4" t="s">
        <v>26</v>
      </c>
      <c r="B1532" s="7">
        <v>1</v>
      </c>
      <c r="C1532" s="6">
        <f>IF(E1532=1,1.0,0)</f>
        <v/>
      </c>
      <c r="D1532" s="6">
        <f>IF(E1532=1,0.9,0)</f>
        <v/>
      </c>
      <c r="E1532" s="8">
        <f>IF(OR(LOOKUP(A1532,characters!A:A,characters!B:B)=-1, LOOKUP(A1532,characters!A:A,characters!B:B)+0.1&gt;=B1532),1,0)</f>
        <v/>
      </c>
    </row>
    <row r="1533" spans="1:9">
      <c r="A1533" s="4" t="s">
        <v>29</v>
      </c>
      <c r="B1533" s="7">
        <v>1</v>
      </c>
      <c r="C1533" s="6">
        <f>IF(E1533=1,1.0,0)</f>
        <v/>
      </c>
      <c r="D1533" s="5" t="s">
        <v>23</v>
      </c>
      <c r="E1533" s="8">
        <f>IF(OR(LOOKUP(A1533,characters!A:A,characters!B:B)=-1, LOOKUP(A1533,characters!A:A,characters!B:B)+0.1&gt;=B1533),1,0)</f>
        <v/>
      </c>
    </row>
    <row r="1534" spans="1:9">
      <c r="A1534" s="4" t="s">
        <v>33</v>
      </c>
      <c r="B1534" s="7">
        <v>1</v>
      </c>
      <c r="C1534" s="6">
        <f>IF(E1534=1,1.0,0)</f>
        <v/>
      </c>
      <c r="D1534" s="6">
        <f>IF(E1534=1,0.9,0)</f>
        <v/>
      </c>
      <c r="E1534" s="8">
        <f>IF(OR(LOOKUP(A1534,characters!A:A,characters!B:B)=-1, LOOKUP(A1534,characters!A:A,characters!B:B)+0.1&gt;=B1534),1,0)</f>
        <v/>
      </c>
    </row>
    <row r="1535" spans="1:9">
      <c r="A1535" s="4" t="s">
        <v>36</v>
      </c>
      <c r="B1535" s="7">
        <v>2</v>
      </c>
      <c r="C1535" s="6">
        <f>IF(E1535=1,1.0,0)</f>
        <v/>
      </c>
      <c r="D1535" s="5" t="s">
        <v>23</v>
      </c>
      <c r="E1535" s="8">
        <f>IF(OR(LOOKUP(A1535,characters!A:A,characters!B:B)=-1, LOOKUP(A1535,characters!A:A,characters!B:B)+0.1&gt;=B1535),1,0)</f>
        <v/>
      </c>
    </row>
    <row r="1536" spans="1:9">
      <c r="A1536" s="4" t="s">
        <v>37</v>
      </c>
      <c r="B1536" s="7">
        <v>1</v>
      </c>
      <c r="C1536" s="6">
        <f>IF(E1536=1,1.0,0)</f>
        <v/>
      </c>
      <c r="D1536" s="6">
        <f>IF(E1536=1,0.9,0)</f>
        <v/>
      </c>
      <c r="E1536" s="8">
        <f>IF(OR(LOOKUP(A1536,characters!A:A,characters!B:B)=-1, LOOKUP(A1536,characters!A:A,characters!B:B)+0.1&gt;=B1536),1,0)</f>
        <v/>
      </c>
    </row>
    <row r="1537" spans="1:5">
      <c r="A1537" s="4" t="s">
        <v>39</v>
      </c>
      <c r="B1537" s="7">
        <v>1</v>
      </c>
      <c r="C1537" s="6">
        <f>IF(E1537=1,1.0,0)</f>
        <v/>
      </c>
      <c r="D1537" s="6">
        <f>IF(E1537=1,0.9,0)</f>
        <v/>
      </c>
      <c r="E1537" s="8">
        <f>IF(OR(LOOKUP(A1537,characters!A:A,characters!B:B)=-1, LOOKUP(A1537,characters!A:A,characters!B:B)+0.1&gt;=B1537),1,0)</f>
        <v/>
      </c>
    </row>
    <row r="1539" spans="1:5">
      <c r="A1539" s="3" t="s">
        <v>52</v>
      </c>
      <c r="B1539" s="3" t="s">
        <v>9</v>
      </c>
      <c r="C1539" s="3" t="s">
        <v>10</v>
      </c>
    </row>
    <row r="1540" spans="1:5">
      <c r="A1540" s="4" t="s">
        <v>22</v>
      </c>
      <c r="B1540" s="5" t="s">
        <v>23</v>
      </c>
      <c r="C1540" s="6">
        <f>IF(SUM(D1541:D1546)=0,0,SUM(C1541:C1546)/SUM(D1541:D1546))</f>
        <v/>
      </c>
    </row>
    <row r="1541" spans="1:5">
      <c r="A1541" s="4" t="s">
        <v>26</v>
      </c>
      <c r="B1541" s="7">
        <v>1</v>
      </c>
      <c r="C1541" s="6">
        <f>IF(D1541=1,1.0,0)</f>
        <v/>
      </c>
      <c r="D1541" s="8">
        <f>IF(OR(LOOKUP(A1541,characters!A:A,characters!B:B)=-1, LOOKUP(A1541,characters!A:A,characters!B:B)+0.1&gt;=B1541),1,0)</f>
        <v/>
      </c>
    </row>
    <row r="1542" spans="1:5">
      <c r="A1542" s="4" t="s">
        <v>29</v>
      </c>
      <c r="B1542" s="7">
        <v>1</v>
      </c>
      <c r="C1542" s="6">
        <f>IF(D1542=1,1.0,0)</f>
        <v/>
      </c>
      <c r="D1542" s="8">
        <f>IF(OR(LOOKUP(A1542,characters!A:A,characters!B:B)=-1, LOOKUP(A1542,characters!A:A,characters!B:B)+0.1&gt;=B1542),1,0)</f>
        <v/>
      </c>
    </row>
    <row r="1543" spans="1:5">
      <c r="A1543" s="4" t="s">
        <v>33</v>
      </c>
      <c r="B1543" s="7">
        <v>1</v>
      </c>
      <c r="C1543" s="6">
        <f>IF(D1543=1,1.0,0)</f>
        <v/>
      </c>
      <c r="D1543" s="8">
        <f>IF(OR(LOOKUP(A1543,characters!A:A,characters!B:B)=-1, LOOKUP(A1543,characters!A:A,characters!B:B)+0.1&gt;=B1543),1,0)</f>
        <v/>
      </c>
    </row>
    <row r="1544" spans="1:5">
      <c r="A1544" s="4" t="s">
        <v>36</v>
      </c>
      <c r="B1544" s="7">
        <v>2</v>
      </c>
      <c r="C1544" s="6">
        <f>IF(D1544=1,1.0,0)</f>
        <v/>
      </c>
      <c r="D1544" s="8">
        <f>IF(OR(LOOKUP(A1544,characters!A:A,characters!B:B)=-1, LOOKUP(A1544,characters!A:A,characters!B:B)+0.1&gt;=B1544),1,0)</f>
        <v/>
      </c>
    </row>
    <row r="1545" spans="1:5">
      <c r="A1545" s="4" t="s">
        <v>37</v>
      </c>
      <c r="B1545" s="7">
        <v>1</v>
      </c>
      <c r="C1545" s="6">
        <f>IF(D1545=1,1.0,0)</f>
        <v/>
      </c>
      <c r="D1545" s="8">
        <f>IF(OR(LOOKUP(A1545,characters!A:A,characters!B:B)=-1, LOOKUP(A1545,characters!A:A,characters!B:B)+0.1&gt;=B1545),1,0)</f>
        <v/>
      </c>
    </row>
    <row r="1546" spans="1:5">
      <c r="A1546" s="4" t="s">
        <v>39</v>
      </c>
      <c r="B1546" s="7">
        <v>1</v>
      </c>
      <c r="C1546" s="6">
        <f>IF(D1546=1,1.0,0)</f>
        <v/>
      </c>
      <c r="D1546" s="8">
        <f>IF(OR(LOOKUP(A1546,characters!A:A,characters!B:B)=-1, LOOKUP(A1546,characters!A:A,characters!B:B)+0.1&gt;=B1546),1,0)</f>
        <v/>
      </c>
    </row>
    <row r="1553" spans="1:14">
      <c r="A1553" s="3" t="s">
        <v>137</v>
      </c>
    </row>
    <row r="1554" spans="1:14">
      <c r="A1554" s="3" t="s">
        <v>8</v>
      </c>
      <c r="B1554" s="3" t="s">
        <v>9</v>
      </c>
      <c r="C1554" s="3" t="s">
        <v>10</v>
      </c>
      <c r="D1554" s="3" t="s">
        <v>17</v>
      </c>
      <c r="E1554" s="3" t="s">
        <v>21</v>
      </c>
      <c r="F1554" s="3" t="s">
        <v>19</v>
      </c>
      <c r="G1554" s="3" t="s">
        <v>18</v>
      </c>
      <c r="H1554" s="3" t="s">
        <v>13</v>
      </c>
      <c r="I1554" s="3" t="s">
        <v>16</v>
      </c>
      <c r="J1554" s="3" t="s">
        <v>12</v>
      </c>
      <c r="K1554" s="3" t="s">
        <v>11</v>
      </c>
      <c r="L1554" s="3" t="s">
        <v>14</v>
      </c>
      <c r="M1554" s="3" t="s">
        <v>15</v>
      </c>
    </row>
    <row r="1555" spans="1:14">
      <c r="A1555" s="4" t="s">
        <v>22</v>
      </c>
      <c r="B1555" s="5" t="s">
        <v>23</v>
      </c>
      <c r="C1555" s="6">
        <f>IF(SUM(N1556:N1571)=0,0,SUM(C1556:C1571)/SUM(N1556:N1571))</f>
        <v/>
      </c>
      <c r="D1555" s="6">
        <f>IF(SUM(N1556:N1571)=0,0,SUM(D1556:D1571)/SUM(N1556:N1571))</f>
        <v/>
      </c>
      <c r="E1555" s="6">
        <f>IF(SUM(N1556:N1571)=0,0,SUM(E1556:E1571)/SUM(N1556:N1571))</f>
        <v/>
      </c>
      <c r="F1555" s="6">
        <f>IF(SUM(N1556:N1571)=0,0,SUM(F1556:F1571)/SUM(N1556:N1571))</f>
        <v/>
      </c>
      <c r="G1555" s="6">
        <f>IF(SUM(N1556:N1571)=0,0,SUM(G1556:G1571)/SUM(N1556:N1571))</f>
        <v/>
      </c>
      <c r="H1555" s="6">
        <f>IF(SUM(N1556:N1571)=0,0,SUM(H1556:H1571)/SUM(N1556:N1571))</f>
        <v/>
      </c>
      <c r="I1555" s="6">
        <f>IF(SUM(N1556:N1571)=0,0,SUM(I1556:I1571)/SUM(N1556:N1571))</f>
        <v/>
      </c>
      <c r="J1555" s="6">
        <f>IF(SUM(N1556:N1571)=0,0,SUM(J1556:J1571)/SUM(N1556:N1571))</f>
        <v/>
      </c>
      <c r="K1555" s="6">
        <f>IF(SUM(N1556:N1571)=0,0,SUM(K1556:K1571)/SUM(N1556:N1571))</f>
        <v/>
      </c>
      <c r="L1555" s="6">
        <f>IF(SUM(N1556:N1571)=0,0,SUM(L1556:L1571)/SUM(N1556:N1571))</f>
        <v/>
      </c>
      <c r="M1555" s="6">
        <f>IF(SUM(N1556:N1571)=0,0,SUM(M1556:M1571)/SUM(N1556:N1571))</f>
        <v/>
      </c>
    </row>
    <row r="1556" spans="1:14">
      <c r="A1556" s="4" t="s">
        <v>105</v>
      </c>
      <c r="B1556" s="7">
        <v>0</v>
      </c>
      <c r="C1556" s="5" t="s">
        <v>23</v>
      </c>
      <c r="D1556" s="6">
        <f>IF(N1556=1,0.9,0)</f>
        <v/>
      </c>
      <c r="E1556" s="6">
        <f>IF(N1556=1,1.0,0)</f>
        <v/>
      </c>
      <c r="F1556" s="6">
        <f>IF(N1556=1,1.0,0)</f>
        <v/>
      </c>
      <c r="G1556" s="5" t="s">
        <v>23</v>
      </c>
      <c r="H1556" s="5" t="s">
        <v>23</v>
      </c>
      <c r="I1556" s="5" t="s">
        <v>23</v>
      </c>
      <c r="J1556" s="5" t="s">
        <v>23</v>
      </c>
      <c r="K1556" s="5" t="s">
        <v>23</v>
      </c>
      <c r="L1556" s="5" t="s">
        <v>23</v>
      </c>
      <c r="M1556" s="5" t="s">
        <v>23</v>
      </c>
      <c r="N1556" s="8">
        <f>IF(OR(LOOKUP(A1556,characters!A:A,characters!B:B)=-1, LOOKUP(A1556,characters!A:A,characters!B:B)+0.1&gt;=B1556),1,0)</f>
        <v/>
      </c>
    </row>
    <row r="1557" spans="1:14">
      <c r="A1557" s="4" t="s">
        <v>110</v>
      </c>
      <c r="B1557" s="7">
        <v>0</v>
      </c>
      <c r="C1557" s="6">
        <f>IF(N1557=1,1.0,0)</f>
        <v/>
      </c>
      <c r="D1557" s="6">
        <f>IF(N1557=1,0.8,0)</f>
        <v/>
      </c>
      <c r="E1557" s="6">
        <f>IF(N1557=1,0.9,0)</f>
        <v/>
      </c>
      <c r="F1557" s="6">
        <f>IF(N1557=1,0.9,0)</f>
        <v/>
      </c>
      <c r="G1557" s="5" t="s">
        <v>23</v>
      </c>
      <c r="H1557" s="5" t="s">
        <v>23</v>
      </c>
      <c r="I1557" s="5" t="s">
        <v>23</v>
      </c>
      <c r="J1557" s="5" t="s">
        <v>23</v>
      </c>
      <c r="K1557" s="5" t="s">
        <v>23</v>
      </c>
      <c r="L1557" s="5" t="s">
        <v>23</v>
      </c>
      <c r="M1557" s="5" t="s">
        <v>23</v>
      </c>
      <c r="N1557" s="8">
        <f>IF(OR(LOOKUP(A1557,characters!A:A,characters!B:B)=-1, LOOKUP(A1557,characters!A:A,characters!B:B)+0.1&gt;=B1557),1,0)</f>
        <v/>
      </c>
    </row>
    <row r="1558" spans="1:14">
      <c r="A1558" s="4" t="s">
        <v>41</v>
      </c>
      <c r="B1558" s="7">
        <v>0</v>
      </c>
      <c r="C1558" s="6">
        <f>IF(N1558=1,0.99,0)</f>
        <v/>
      </c>
      <c r="D1558" s="6">
        <f>IF(N1558=1,1.0,0)</f>
        <v/>
      </c>
      <c r="E1558" s="5" t="s">
        <v>23</v>
      </c>
      <c r="F1558" s="5" t="s">
        <v>23</v>
      </c>
      <c r="G1558" s="5" t="s">
        <v>23</v>
      </c>
      <c r="H1558" s="6">
        <f>IF(N1558=1,0.89,0)</f>
        <v/>
      </c>
      <c r="I1558" s="5" t="s">
        <v>23</v>
      </c>
      <c r="J1558" s="6">
        <f>IF(N1558=1,0.89,0)</f>
        <v/>
      </c>
      <c r="K1558" s="5" t="s">
        <v>23</v>
      </c>
      <c r="L1558" s="5" t="s">
        <v>23</v>
      </c>
      <c r="M1558" s="5" t="s">
        <v>23</v>
      </c>
      <c r="N1558" s="8">
        <f>IF(OR(LOOKUP(A1558,characters!A:A,characters!B:B)=-1, LOOKUP(A1558,characters!A:A,characters!B:B)+0.1&gt;=B1558),1,0)</f>
        <v/>
      </c>
    </row>
    <row r="1559" spans="1:14">
      <c r="A1559" s="4" t="s">
        <v>92</v>
      </c>
      <c r="B1559" s="7">
        <v>1</v>
      </c>
      <c r="C1559" s="6">
        <f>IF(N1559=1,0.9,0)</f>
        <v/>
      </c>
      <c r="D1559" s="6">
        <f>IF(N1559=1,0.8,0)</f>
        <v/>
      </c>
      <c r="E1559" s="5" t="s">
        <v>23</v>
      </c>
      <c r="F1559" s="5" t="s">
        <v>23</v>
      </c>
      <c r="G1559" s="6">
        <f>IF(N1559=1,0.7,0)</f>
        <v/>
      </c>
      <c r="H1559" s="5" t="s">
        <v>23</v>
      </c>
      <c r="I1559" s="6">
        <f>IF(N1559=1,1.0,0)</f>
        <v/>
      </c>
      <c r="J1559" s="5" t="s">
        <v>23</v>
      </c>
      <c r="K1559" s="5" t="s">
        <v>23</v>
      </c>
      <c r="L1559" s="5" t="s">
        <v>23</v>
      </c>
      <c r="M1559" s="5" t="s">
        <v>23</v>
      </c>
      <c r="N1559" s="8">
        <f>IF(OR(LOOKUP(A1559,characters!A:A,characters!B:B)=-1, LOOKUP(A1559,characters!A:A,characters!B:B)+0.1&gt;=B1559),1,0)</f>
        <v/>
      </c>
    </row>
    <row r="1560" spans="1:14">
      <c r="A1560" s="4" t="s">
        <v>36</v>
      </c>
      <c r="B1560" s="7">
        <v>1</v>
      </c>
      <c r="C1560" s="6">
        <f>IF(N1560=1,1.0,0)</f>
        <v/>
      </c>
      <c r="D1560" s="6">
        <f>IF(N1560=1,0.9,0)</f>
        <v/>
      </c>
      <c r="E1560" s="5" t="s">
        <v>23</v>
      </c>
      <c r="F1560" s="5" t="s">
        <v>23</v>
      </c>
      <c r="G1560" s="5" t="s">
        <v>23</v>
      </c>
      <c r="H1560" s="6">
        <f>IF(N1560=1,0.8,0)</f>
        <v/>
      </c>
      <c r="I1560" s="5" t="s">
        <v>23</v>
      </c>
      <c r="J1560" s="6">
        <f>IF(N1560=1,0.8,0)</f>
        <v/>
      </c>
      <c r="K1560" s="6">
        <f>IF(N1560=1,0.7,0)</f>
        <v/>
      </c>
      <c r="L1560" s="5" t="s">
        <v>23</v>
      </c>
      <c r="M1560" s="5" t="s">
        <v>23</v>
      </c>
      <c r="N1560" s="8">
        <f>IF(OR(LOOKUP(A1560,characters!A:A,characters!B:B)=-1, LOOKUP(A1560,characters!A:A,characters!B:B)+0.1&gt;=B1560),1,0)</f>
        <v/>
      </c>
    </row>
    <row r="1561" spans="1:14">
      <c r="A1561" s="4" t="s">
        <v>108</v>
      </c>
      <c r="B1561" s="7">
        <v>1</v>
      </c>
      <c r="C1561" s="6">
        <f>IF(N1561=1,1.0,0)</f>
        <v/>
      </c>
      <c r="D1561" s="6">
        <f>IF(N1561=1,0.8,0)</f>
        <v/>
      </c>
      <c r="E1561" s="6">
        <f>IF(N1561=1,0.9,0)</f>
        <v/>
      </c>
      <c r="F1561" s="6">
        <f>IF(N1561=1,0.9,0)</f>
        <v/>
      </c>
      <c r="G1561" s="5" t="s">
        <v>23</v>
      </c>
      <c r="H1561" s="5" t="s">
        <v>23</v>
      </c>
      <c r="I1561" s="5" t="s">
        <v>23</v>
      </c>
      <c r="J1561" s="5" t="s">
        <v>23</v>
      </c>
      <c r="K1561" s="5" t="s">
        <v>23</v>
      </c>
      <c r="L1561" s="5" t="s">
        <v>23</v>
      </c>
      <c r="M1561" s="5" t="s">
        <v>23</v>
      </c>
      <c r="N1561" s="8">
        <f>IF(OR(LOOKUP(A1561,characters!A:A,characters!B:B)=-1, LOOKUP(A1561,characters!A:A,characters!B:B)+0.1&gt;=B1561),1,0)</f>
        <v/>
      </c>
    </row>
    <row r="1562" spans="1:14">
      <c r="A1562" s="4" t="s">
        <v>74</v>
      </c>
      <c r="B1562" s="7">
        <v>1</v>
      </c>
      <c r="C1562" s="6">
        <f>IF(N1562=1,1.0,0)</f>
        <v/>
      </c>
      <c r="D1562" s="6">
        <f>IF(N1562=1,0.79,0)</f>
        <v/>
      </c>
      <c r="E1562" s="6">
        <f>IF(N1562=1,0.89,0)</f>
        <v/>
      </c>
      <c r="F1562" s="6">
        <f>IF(N1562=1,0.89,0)</f>
        <v/>
      </c>
      <c r="G1562" s="6">
        <f>IF(N1562=1,0.9,0)</f>
        <v/>
      </c>
      <c r="H1562" s="5" t="s">
        <v>23</v>
      </c>
      <c r="I1562" s="5" t="s">
        <v>23</v>
      </c>
      <c r="J1562" s="5" t="s">
        <v>23</v>
      </c>
      <c r="K1562" s="5" t="s">
        <v>23</v>
      </c>
      <c r="L1562" s="5" t="s">
        <v>23</v>
      </c>
      <c r="M1562" s="5" t="s">
        <v>23</v>
      </c>
      <c r="N1562" s="8">
        <f>IF(OR(LOOKUP(A1562,characters!A:A,characters!B:B)=-1, LOOKUP(A1562,characters!A:A,characters!B:B)+0.1&gt;=B1562),1,0)</f>
        <v/>
      </c>
    </row>
    <row r="1563" spans="1:14">
      <c r="A1563" s="4" t="s">
        <v>125</v>
      </c>
      <c r="B1563" s="7">
        <v>2</v>
      </c>
      <c r="C1563" s="6">
        <f>IF(N1563=1,1.0,0)</f>
        <v/>
      </c>
      <c r="D1563" s="5" t="s">
        <v>23</v>
      </c>
      <c r="E1563" s="6">
        <f>IF(N1563=1,0.9,0)</f>
        <v/>
      </c>
      <c r="F1563" s="6">
        <f>IF(N1563=1,0.9,0)</f>
        <v/>
      </c>
      <c r="G1563" s="5" t="s">
        <v>23</v>
      </c>
      <c r="H1563" s="6">
        <f>IF(N1563=1,0.8,0)</f>
        <v/>
      </c>
      <c r="I1563" s="5" t="s">
        <v>23</v>
      </c>
      <c r="J1563" s="5" t="s">
        <v>23</v>
      </c>
      <c r="K1563" s="5" t="s">
        <v>23</v>
      </c>
      <c r="L1563" s="5" t="s">
        <v>23</v>
      </c>
      <c r="M1563" s="5" t="s">
        <v>23</v>
      </c>
      <c r="N1563" s="8">
        <f>IF(OR(LOOKUP(A1563,characters!A:A,characters!B:B)=-1, LOOKUP(A1563,characters!A:A,characters!B:B)+0.1&gt;=B1563),1,0)</f>
        <v/>
      </c>
    </row>
    <row r="1564" spans="1:14">
      <c r="A1564" s="4" t="s">
        <v>112</v>
      </c>
      <c r="B1564" s="7">
        <v>2</v>
      </c>
      <c r="C1564" s="6">
        <f>IF(N1564=1,1.0,0)</f>
        <v/>
      </c>
      <c r="D1564" s="6">
        <f>IF(N1564=1,0.9,0)</f>
        <v/>
      </c>
      <c r="E1564" s="6">
        <f>IF(N1564=1,1.0,0)</f>
        <v/>
      </c>
      <c r="F1564" s="6">
        <f>IF(N1564=1,1.0,0)</f>
        <v/>
      </c>
      <c r="G1564" s="5" t="s">
        <v>23</v>
      </c>
      <c r="H1564" s="5" t="s">
        <v>23</v>
      </c>
      <c r="I1564" s="5" t="s">
        <v>23</v>
      </c>
      <c r="J1564" s="5" t="s">
        <v>23</v>
      </c>
      <c r="K1564" s="5" t="s">
        <v>23</v>
      </c>
      <c r="L1564" s="5" t="s">
        <v>23</v>
      </c>
      <c r="M1564" s="5" t="s">
        <v>23</v>
      </c>
      <c r="N1564" s="8">
        <f>IF(OR(LOOKUP(A1564,characters!A:A,characters!B:B)=-1, LOOKUP(A1564,characters!A:A,characters!B:B)+0.1&gt;=B1564),1,0)</f>
        <v/>
      </c>
    </row>
    <row r="1565" spans="1:14">
      <c r="A1565" s="4" t="s">
        <v>58</v>
      </c>
      <c r="B1565" s="7">
        <v>2</v>
      </c>
      <c r="C1565" s="6">
        <f>IF(N1565=1,0.8,0)</f>
        <v/>
      </c>
      <c r="D1565" s="6">
        <f>IF(N1565=1,0.9,0)</f>
        <v/>
      </c>
      <c r="E1565" s="6">
        <f>IF(N1565=1,1.0,0)</f>
        <v/>
      </c>
      <c r="F1565" s="6">
        <f>IF(N1565=1,1.0,0)</f>
        <v/>
      </c>
      <c r="G1565" s="5" t="s">
        <v>23</v>
      </c>
      <c r="H1565" s="5" t="s">
        <v>23</v>
      </c>
      <c r="I1565" s="5" t="s">
        <v>23</v>
      </c>
      <c r="J1565" s="5" t="s">
        <v>23</v>
      </c>
      <c r="K1565" s="5" t="s">
        <v>23</v>
      </c>
      <c r="L1565" s="5" t="s">
        <v>23</v>
      </c>
      <c r="M1565" s="5" t="s">
        <v>23</v>
      </c>
      <c r="N1565" s="8">
        <f>IF(OR(LOOKUP(A1565,characters!A:A,characters!B:B)=-1, LOOKUP(A1565,characters!A:A,characters!B:B)+0.1&gt;=B1565),1,0)</f>
        <v/>
      </c>
    </row>
    <row r="1566" spans="1:14">
      <c r="A1566" s="4" t="s">
        <v>107</v>
      </c>
      <c r="B1566" s="7">
        <v>2</v>
      </c>
      <c r="C1566" s="6">
        <f>IF(N1566=1,1.0,0)</f>
        <v/>
      </c>
      <c r="D1566" s="6">
        <f>IF(N1566=1,0.8,0)</f>
        <v/>
      </c>
      <c r="E1566" s="6">
        <f>IF(N1566=1,0.9,0)</f>
        <v/>
      </c>
      <c r="F1566" s="6">
        <f>IF(N1566=1,0.9,0)</f>
        <v/>
      </c>
      <c r="G1566" s="5" t="s">
        <v>23</v>
      </c>
      <c r="H1566" s="5" t="s">
        <v>23</v>
      </c>
      <c r="I1566" s="5" t="s">
        <v>23</v>
      </c>
      <c r="J1566" s="5" t="s">
        <v>23</v>
      </c>
      <c r="K1566" s="5" t="s">
        <v>23</v>
      </c>
      <c r="L1566" s="5" t="s">
        <v>23</v>
      </c>
      <c r="M1566" s="5" t="s">
        <v>23</v>
      </c>
      <c r="N1566" s="8">
        <f>IF(OR(LOOKUP(A1566,characters!A:A,characters!B:B)=-1, LOOKUP(A1566,characters!A:A,characters!B:B)+0.1&gt;=B1566),1,0)</f>
        <v/>
      </c>
    </row>
    <row r="1567" spans="1:14">
      <c r="A1567" s="4" t="s">
        <v>73</v>
      </c>
      <c r="B1567" s="7">
        <v>2</v>
      </c>
      <c r="C1567" s="6">
        <f>IF(N1567=1,1.0,0)</f>
        <v/>
      </c>
      <c r="D1567" s="6">
        <f>IF(N1567=1,0.79,0)</f>
        <v/>
      </c>
      <c r="E1567" s="6">
        <f>IF(N1567=1,0.89,0)</f>
        <v/>
      </c>
      <c r="F1567" s="6">
        <f>IF(N1567=1,0.89,0)</f>
        <v/>
      </c>
      <c r="G1567" s="6">
        <f>IF(N1567=1,0.9,0)</f>
        <v/>
      </c>
      <c r="H1567" s="5" t="s">
        <v>23</v>
      </c>
      <c r="I1567" s="5" t="s">
        <v>23</v>
      </c>
      <c r="J1567" s="5" t="s">
        <v>23</v>
      </c>
      <c r="K1567" s="5" t="s">
        <v>23</v>
      </c>
      <c r="L1567" s="5" t="s">
        <v>23</v>
      </c>
      <c r="M1567" s="5" t="s">
        <v>23</v>
      </c>
      <c r="N1567" s="8">
        <f>IF(OR(LOOKUP(A1567,characters!A:A,characters!B:B)=-1, LOOKUP(A1567,characters!A:A,characters!B:B)+0.1&gt;=B1567),1,0)</f>
        <v/>
      </c>
    </row>
    <row r="1568" spans="1:14">
      <c r="A1568" s="4" t="s">
        <v>113</v>
      </c>
      <c r="B1568" s="7">
        <v>2</v>
      </c>
      <c r="C1568" s="6">
        <f>IF(N1568=1,1.0,0)</f>
        <v/>
      </c>
      <c r="D1568" s="6">
        <f>IF(N1568=1,0.79,0)</f>
        <v/>
      </c>
      <c r="E1568" s="6">
        <f>IF(N1568=1,0.89,0)</f>
        <v/>
      </c>
      <c r="F1568" s="6">
        <f>IF(N1568=1,0.89,0)</f>
        <v/>
      </c>
      <c r="G1568" s="6">
        <f>IF(N1568=1,0.9,0)</f>
        <v/>
      </c>
      <c r="H1568" s="5" t="s">
        <v>23</v>
      </c>
      <c r="I1568" s="5" t="s">
        <v>23</v>
      </c>
      <c r="J1568" s="5" t="s">
        <v>23</v>
      </c>
      <c r="K1568" s="5" t="s">
        <v>23</v>
      </c>
      <c r="L1568" s="5" t="s">
        <v>23</v>
      </c>
      <c r="M1568" s="5" t="s">
        <v>23</v>
      </c>
      <c r="N1568" s="8">
        <f>IF(OR(LOOKUP(A1568,characters!A:A,characters!B:B)=-1, LOOKUP(A1568,characters!A:A,characters!B:B)+0.1&gt;=B1568),1,0)</f>
        <v/>
      </c>
    </row>
    <row r="1569" spans="1:14">
      <c r="A1569" s="4" t="s">
        <v>100</v>
      </c>
      <c r="B1569" s="7">
        <v>3</v>
      </c>
      <c r="C1569" s="6">
        <f>IF(N1569=1,1.0,0)</f>
        <v/>
      </c>
      <c r="D1569" s="6">
        <f>IF(N1569=1,0.9,0)</f>
        <v/>
      </c>
      <c r="E1569" s="6">
        <f>IF(N1569=1,1.0,0)</f>
        <v/>
      </c>
      <c r="F1569" s="6">
        <f>IF(N1569=1,1.0,0)</f>
        <v/>
      </c>
      <c r="G1569" s="5" t="s">
        <v>23</v>
      </c>
      <c r="H1569" s="5" t="s">
        <v>23</v>
      </c>
      <c r="I1569" s="5" t="s">
        <v>23</v>
      </c>
      <c r="J1569" s="5" t="s">
        <v>23</v>
      </c>
      <c r="K1569" s="5" t="s">
        <v>23</v>
      </c>
      <c r="L1569" s="5" t="s">
        <v>23</v>
      </c>
      <c r="M1569" s="5" t="s">
        <v>23</v>
      </c>
      <c r="N1569" s="8">
        <f>IF(OR(LOOKUP(A1569,characters!A:A,characters!B:B)=-1, LOOKUP(A1569,characters!A:A,characters!B:B)+0.1&gt;=B1569),1,0)</f>
        <v/>
      </c>
    </row>
    <row r="1570" spans="1:14">
      <c r="A1570" s="4" t="s">
        <v>45</v>
      </c>
      <c r="B1570" s="7">
        <v>3</v>
      </c>
      <c r="C1570" s="6">
        <f>IF(N1570=1,1.0,0)</f>
        <v/>
      </c>
      <c r="D1570" s="6">
        <f>IF(N1570=1,1.0,0)</f>
        <v/>
      </c>
      <c r="E1570" s="5" t="s">
        <v>23</v>
      </c>
      <c r="F1570" s="5" t="s">
        <v>23</v>
      </c>
      <c r="G1570" s="5" t="s">
        <v>23</v>
      </c>
      <c r="H1570" s="5" t="s">
        <v>23</v>
      </c>
      <c r="I1570" s="5" t="s">
        <v>23</v>
      </c>
      <c r="J1570" s="5" t="s">
        <v>23</v>
      </c>
      <c r="K1570" s="6">
        <f>IF(N1570=1,0.8,0)</f>
        <v/>
      </c>
      <c r="L1570" s="6">
        <f>IF(N1570=1,0.9,0)</f>
        <v/>
      </c>
      <c r="M1570" s="6">
        <f>IF(N1570=1,0.9,0)</f>
        <v/>
      </c>
      <c r="N1570" s="8">
        <f>IF(OR(LOOKUP(A1570,characters!A:A,characters!B:B)=-1, LOOKUP(A1570,characters!A:A,characters!B:B)+0.1&gt;=B1570),1,0)</f>
        <v/>
      </c>
    </row>
    <row r="1571" spans="1:14">
      <c r="A1571" s="4" t="s">
        <v>111</v>
      </c>
      <c r="B1571" s="7">
        <v>3</v>
      </c>
      <c r="C1571" s="6">
        <f>IF(N1571=1,1.0,0)</f>
        <v/>
      </c>
      <c r="D1571" s="6">
        <f>IF(N1571=1,0.8,0)</f>
        <v/>
      </c>
      <c r="E1571" s="6">
        <f>IF(N1571=1,0.9,0)</f>
        <v/>
      </c>
      <c r="F1571" s="6">
        <f>IF(N1571=1,0.9,0)</f>
        <v/>
      </c>
      <c r="G1571" s="5" t="s">
        <v>23</v>
      </c>
      <c r="H1571" s="5" t="s">
        <v>23</v>
      </c>
      <c r="I1571" s="6">
        <f>IF(N1571=1,1.0,0)</f>
        <v/>
      </c>
      <c r="J1571" s="5" t="s">
        <v>23</v>
      </c>
      <c r="K1571" s="5" t="s">
        <v>23</v>
      </c>
      <c r="L1571" s="5" t="s">
        <v>23</v>
      </c>
      <c r="M1571" s="5" t="s">
        <v>23</v>
      </c>
      <c r="N1571" s="8">
        <f>IF(OR(LOOKUP(A1571,characters!A:A,characters!B:B)=-1, LOOKUP(A1571,characters!A:A,characters!B:B)+0.1&gt;=B1571),1,0)</f>
        <v/>
      </c>
    </row>
    <row r="1573" spans="1:14">
      <c r="A1573" s="3" t="s">
        <v>49</v>
      </c>
      <c r="B1573" s="3" t="s">
        <v>9</v>
      </c>
      <c r="C1573" s="3" t="s">
        <v>16</v>
      </c>
      <c r="D1573" s="3" t="s">
        <v>17</v>
      </c>
      <c r="E1573" s="3" t="s">
        <v>19</v>
      </c>
      <c r="F1573" s="3" t="s">
        <v>21</v>
      </c>
      <c r="G1573" s="3" t="s">
        <v>50</v>
      </c>
      <c r="H1573" s="3" t="s">
        <v>51</v>
      </c>
      <c r="I1573" s="3" t="s">
        <v>13</v>
      </c>
    </row>
    <row r="1574" spans="1:14">
      <c r="A1574" s="4" t="s">
        <v>22</v>
      </c>
      <c r="B1574" s="5" t="s">
        <v>23</v>
      </c>
      <c r="C1574" s="6">
        <f>IF(SUM(J1575:J1590)=0,0,SUM(C1575:C1590)/SUM(J1575:J1590))</f>
        <v/>
      </c>
      <c r="D1574" s="6">
        <f>IF(SUM(J1575:J1590)=0,0,SUM(D1575:D1590)/SUM(J1575:J1590))</f>
        <v/>
      </c>
      <c r="E1574" s="6">
        <f>IF(SUM(J1575:J1590)=0,0,SUM(E1575:E1590)/SUM(J1575:J1590))</f>
        <v/>
      </c>
      <c r="F1574" s="6">
        <f>IF(SUM(J1575:J1590)=0,0,SUM(F1575:F1590)/SUM(J1575:J1590))</f>
        <v/>
      </c>
      <c r="G1574" s="6">
        <f>IF(SUM(J1575:J1590)=0,0,SUM(G1575:G1590)/SUM(J1575:J1590))</f>
        <v/>
      </c>
      <c r="H1574" s="6">
        <f>IF(SUM(J1575:J1590)=0,0,SUM(H1575:H1590)/SUM(J1575:J1590))</f>
        <v/>
      </c>
      <c r="I1574" s="6">
        <f>IF(SUM(J1575:J1590)=0,0,SUM(I1575:I1590)/SUM(J1575:J1590))</f>
        <v/>
      </c>
    </row>
    <row r="1575" spans="1:14">
      <c r="A1575" s="4" t="s">
        <v>92</v>
      </c>
      <c r="B1575" s="7">
        <v>1</v>
      </c>
      <c r="C1575" s="6">
        <f>IF(J1575=1,1.0,0)</f>
        <v/>
      </c>
      <c r="D1575" s="6">
        <f>IF(J1575=1,0.9,0)</f>
        <v/>
      </c>
      <c r="E1575" s="5" t="s">
        <v>23</v>
      </c>
      <c r="F1575" s="5" t="s">
        <v>23</v>
      </c>
      <c r="G1575" s="5" t="s">
        <v>23</v>
      </c>
      <c r="H1575" s="5" t="s">
        <v>23</v>
      </c>
      <c r="I1575" s="5" t="s">
        <v>23</v>
      </c>
      <c r="J1575" s="8">
        <f>IF(OR(LOOKUP(A1575,characters!A:A,characters!B:B)=-1, LOOKUP(A1575,characters!A:A,characters!B:B)+0.1&gt;=B1575),1,0)</f>
        <v/>
      </c>
    </row>
    <row r="1576" spans="1:14">
      <c r="A1576" s="4" t="s">
        <v>125</v>
      </c>
      <c r="B1576" s="7">
        <v>2</v>
      </c>
      <c r="C1576" s="5" t="s">
        <v>23</v>
      </c>
      <c r="D1576" s="5" t="s">
        <v>23</v>
      </c>
      <c r="E1576" s="6">
        <f>IF(J1576=1,1.0,0)</f>
        <v/>
      </c>
      <c r="F1576" s="6">
        <f>IF(J1576=1,0.9,0)</f>
        <v/>
      </c>
      <c r="G1576" s="5" t="s">
        <v>23</v>
      </c>
      <c r="H1576" s="5" t="s">
        <v>23</v>
      </c>
      <c r="I1576" s="5" t="s">
        <v>23</v>
      </c>
      <c r="J1576" s="8">
        <f>IF(OR(LOOKUP(A1576,characters!A:A,characters!B:B)=-1, LOOKUP(A1576,characters!A:A,characters!B:B)+0.1&gt;=B1576),1,0)</f>
        <v/>
      </c>
    </row>
    <row r="1577" spans="1:14">
      <c r="A1577" s="4" t="s">
        <v>105</v>
      </c>
      <c r="B1577" s="7">
        <v>0</v>
      </c>
      <c r="C1577" s="5" t="s">
        <v>23</v>
      </c>
      <c r="D1577" s="5" t="s">
        <v>23</v>
      </c>
      <c r="E1577" s="6">
        <f>IF(J1577=1,1.0,0)</f>
        <v/>
      </c>
      <c r="F1577" s="6">
        <f>IF(J1577=1,0.99,0)</f>
        <v/>
      </c>
      <c r="G1577" s="5" t="s">
        <v>23</v>
      </c>
      <c r="H1577" s="5" t="s">
        <v>23</v>
      </c>
      <c r="I1577" s="5" t="s">
        <v>23</v>
      </c>
      <c r="J1577" s="8">
        <f>IF(OR(LOOKUP(A1577,characters!A:A,characters!B:B)=-1, LOOKUP(A1577,characters!A:A,characters!B:B)+0.1&gt;=B1577),1,0)</f>
        <v/>
      </c>
    </row>
    <row r="1578" spans="1:14">
      <c r="A1578" s="4" t="s">
        <v>112</v>
      </c>
      <c r="B1578" s="7">
        <v>2</v>
      </c>
      <c r="C1578" s="5" t="s">
        <v>23</v>
      </c>
      <c r="D1578" s="5" t="s">
        <v>23</v>
      </c>
      <c r="E1578" s="6">
        <f>IF(J1578=1,0.99,0)</f>
        <v/>
      </c>
      <c r="F1578" s="6">
        <f>IF(J1578=1,1.0,0)</f>
        <v/>
      </c>
      <c r="G1578" s="5" t="s">
        <v>23</v>
      </c>
      <c r="H1578" s="5" t="s">
        <v>23</v>
      </c>
      <c r="I1578" s="5" t="s">
        <v>23</v>
      </c>
      <c r="J1578" s="8">
        <f>IF(OR(LOOKUP(A1578,characters!A:A,characters!B:B)=-1, LOOKUP(A1578,characters!A:A,characters!B:B)+0.1&gt;=B1578),1,0)</f>
        <v/>
      </c>
    </row>
    <row r="1579" spans="1:14">
      <c r="A1579" s="4" t="s">
        <v>100</v>
      </c>
      <c r="B1579" s="7">
        <v>3</v>
      </c>
      <c r="C1579" s="5" t="s">
        <v>23</v>
      </c>
      <c r="D1579" s="5" t="s">
        <v>23</v>
      </c>
      <c r="E1579" s="6">
        <f>IF(J1579=1,0.99,0)</f>
        <v/>
      </c>
      <c r="F1579" s="6">
        <f>IF(J1579=1,1.0,0)</f>
        <v/>
      </c>
      <c r="G1579" s="5" t="s">
        <v>23</v>
      </c>
      <c r="H1579" s="5" t="s">
        <v>23</v>
      </c>
      <c r="I1579" s="5" t="s">
        <v>23</v>
      </c>
      <c r="J1579" s="8">
        <f>IF(OR(LOOKUP(A1579,characters!A:A,characters!B:B)=-1, LOOKUP(A1579,characters!A:A,characters!B:B)+0.1&gt;=B1579),1,0)</f>
        <v/>
      </c>
    </row>
    <row r="1580" spans="1:14">
      <c r="A1580" s="4" t="s">
        <v>58</v>
      </c>
      <c r="B1580" s="7">
        <v>2</v>
      </c>
      <c r="C1580" s="5" t="s">
        <v>23</v>
      </c>
      <c r="D1580" s="5" t="s">
        <v>23</v>
      </c>
      <c r="E1580" s="6">
        <f>IF(J1580=1,0.99,0)</f>
        <v/>
      </c>
      <c r="F1580" s="6">
        <f>IF(J1580=1,1.0,0)</f>
        <v/>
      </c>
      <c r="G1580" s="5" t="s">
        <v>23</v>
      </c>
      <c r="H1580" s="5" t="s">
        <v>23</v>
      </c>
      <c r="I1580" s="5" t="s">
        <v>23</v>
      </c>
      <c r="J1580" s="8">
        <f>IF(OR(LOOKUP(A1580,characters!A:A,characters!B:B)=-1, LOOKUP(A1580,characters!A:A,characters!B:B)+0.1&gt;=B1580),1,0)</f>
        <v/>
      </c>
    </row>
    <row r="1581" spans="1:14">
      <c r="A1581" s="4" t="s">
        <v>36</v>
      </c>
      <c r="B1581" s="7">
        <v>1</v>
      </c>
      <c r="C1581" s="5" t="s">
        <v>23</v>
      </c>
      <c r="D1581" s="5" t="s">
        <v>23</v>
      </c>
      <c r="E1581" s="5" t="s">
        <v>23</v>
      </c>
      <c r="F1581" s="5" t="s">
        <v>23</v>
      </c>
      <c r="G1581" s="6">
        <f>IF(J1581=1,1.0,0)</f>
        <v/>
      </c>
      <c r="H1581" s="5" t="s">
        <v>23</v>
      </c>
      <c r="I1581" s="5" t="s">
        <v>23</v>
      </c>
      <c r="J1581" s="8">
        <f>IF(OR(LOOKUP(A1581,characters!A:A,characters!B:B)=-1, LOOKUP(A1581,characters!A:A,characters!B:B)+0.1&gt;=B1581),1,0)</f>
        <v/>
      </c>
    </row>
    <row r="1582" spans="1:14">
      <c r="A1582" s="4" t="s">
        <v>110</v>
      </c>
      <c r="B1582" s="7">
        <v>0</v>
      </c>
      <c r="C1582" s="5" t="s">
        <v>23</v>
      </c>
      <c r="D1582" s="5" t="s">
        <v>23</v>
      </c>
      <c r="E1582" s="6">
        <f>IF(J1582=1,0.99,0)</f>
        <v/>
      </c>
      <c r="F1582" s="6">
        <f>IF(J1582=1,1.0,0)</f>
        <v/>
      </c>
      <c r="G1582" s="5" t="s">
        <v>23</v>
      </c>
      <c r="H1582" s="5" t="s">
        <v>23</v>
      </c>
      <c r="I1582" s="5" t="s">
        <v>23</v>
      </c>
      <c r="J1582" s="8">
        <f>IF(OR(LOOKUP(A1582,characters!A:A,characters!B:B)=-1, LOOKUP(A1582,characters!A:A,characters!B:B)+0.1&gt;=B1582),1,0)</f>
        <v/>
      </c>
    </row>
    <row r="1583" spans="1:14">
      <c r="A1583" s="4" t="s">
        <v>107</v>
      </c>
      <c r="B1583" s="7">
        <v>2</v>
      </c>
      <c r="C1583" s="5" t="s">
        <v>23</v>
      </c>
      <c r="D1583" s="5" t="s">
        <v>23</v>
      </c>
      <c r="E1583" s="6">
        <f>IF(J1583=1,0.99,0)</f>
        <v/>
      </c>
      <c r="F1583" s="6">
        <f>IF(J1583=1,1.0,0)</f>
        <v/>
      </c>
      <c r="G1583" s="5" t="s">
        <v>23</v>
      </c>
      <c r="H1583" s="5" t="s">
        <v>23</v>
      </c>
      <c r="I1583" s="5" t="s">
        <v>23</v>
      </c>
      <c r="J1583" s="8">
        <f>IF(OR(LOOKUP(A1583,characters!A:A,characters!B:B)=-1, LOOKUP(A1583,characters!A:A,characters!B:B)+0.1&gt;=B1583),1,0)</f>
        <v/>
      </c>
    </row>
    <row r="1584" spans="1:14">
      <c r="A1584" s="4" t="s">
        <v>108</v>
      </c>
      <c r="B1584" s="7">
        <v>1</v>
      </c>
      <c r="C1584" s="5" t="s">
        <v>23</v>
      </c>
      <c r="D1584" s="5" t="s">
        <v>23</v>
      </c>
      <c r="E1584" s="6">
        <f>IF(J1584=1,0.99,0)</f>
        <v/>
      </c>
      <c r="F1584" s="6">
        <f>IF(J1584=1,1.0,0)</f>
        <v/>
      </c>
      <c r="G1584" s="5" t="s">
        <v>23</v>
      </c>
      <c r="H1584" s="5" t="s">
        <v>23</v>
      </c>
      <c r="I1584" s="5" t="s">
        <v>23</v>
      </c>
      <c r="J1584" s="8">
        <f>IF(OR(LOOKUP(A1584,characters!A:A,characters!B:B)=-1, LOOKUP(A1584,characters!A:A,characters!B:B)+0.1&gt;=B1584),1,0)</f>
        <v/>
      </c>
    </row>
    <row r="1585" spans="1:10">
      <c r="A1585" s="4" t="s">
        <v>41</v>
      </c>
      <c r="B1585" s="7">
        <v>0</v>
      </c>
      <c r="C1585" s="5" t="s">
        <v>23</v>
      </c>
      <c r="D1585" s="5" t="s">
        <v>23</v>
      </c>
      <c r="E1585" s="5" t="s">
        <v>23</v>
      </c>
      <c r="F1585" s="5" t="s">
        <v>23</v>
      </c>
      <c r="G1585" s="5" t="s">
        <v>23</v>
      </c>
      <c r="H1585" s="6">
        <f>IF(J1585=1,1.0,0)</f>
        <v/>
      </c>
      <c r="I1585" s="5" t="s">
        <v>23</v>
      </c>
      <c r="J1585" s="8">
        <f>IF(OR(LOOKUP(A1585,characters!A:A,characters!B:B)=-1, LOOKUP(A1585,characters!A:A,characters!B:B)+0.1&gt;=B1585),1,0)</f>
        <v/>
      </c>
    </row>
    <row r="1586" spans="1:10">
      <c r="A1586" s="4" t="s">
        <v>73</v>
      </c>
      <c r="B1586" s="7">
        <v>2</v>
      </c>
      <c r="C1586" s="5" t="s">
        <v>23</v>
      </c>
      <c r="D1586" s="5" t="s">
        <v>23</v>
      </c>
      <c r="E1586" s="6">
        <f>IF(J1586=1,0.99,0)</f>
        <v/>
      </c>
      <c r="F1586" s="6">
        <f>IF(J1586=1,1.0,0)</f>
        <v/>
      </c>
      <c r="G1586" s="5" t="s">
        <v>23</v>
      </c>
      <c r="H1586" s="5" t="s">
        <v>23</v>
      </c>
      <c r="I1586" s="5" t="s">
        <v>23</v>
      </c>
      <c r="J1586" s="8">
        <f>IF(OR(LOOKUP(A1586,characters!A:A,characters!B:B)=-1, LOOKUP(A1586,characters!A:A,characters!B:B)+0.1&gt;=B1586),1,0)</f>
        <v/>
      </c>
    </row>
    <row r="1587" spans="1:10">
      <c r="A1587" s="4" t="s">
        <v>45</v>
      </c>
      <c r="B1587" s="7">
        <v>3</v>
      </c>
      <c r="C1587" s="5" t="s">
        <v>23</v>
      </c>
      <c r="D1587" s="6">
        <f>IF(J1587=1,1.0,0)</f>
        <v/>
      </c>
      <c r="E1587" s="5" t="s">
        <v>23</v>
      </c>
      <c r="F1587" s="5" t="s">
        <v>23</v>
      </c>
      <c r="G1587" s="5" t="s">
        <v>23</v>
      </c>
      <c r="H1587" s="5" t="s">
        <v>23</v>
      </c>
      <c r="I1587" s="6">
        <f>IF(J1587=1,0.9,0)</f>
        <v/>
      </c>
      <c r="J1587" s="8">
        <f>IF(OR(LOOKUP(A1587,characters!A:A,characters!B:B)=-1, LOOKUP(A1587,characters!A:A,characters!B:B)+0.1&gt;=B1587),1,0)</f>
        <v/>
      </c>
    </row>
    <row r="1588" spans="1:10">
      <c r="A1588" s="4" t="s">
        <v>74</v>
      </c>
      <c r="B1588" s="7">
        <v>1</v>
      </c>
      <c r="C1588" s="5" t="s">
        <v>23</v>
      </c>
      <c r="D1588" s="5" t="s">
        <v>23</v>
      </c>
      <c r="E1588" s="6">
        <f>IF(J1588=1,0.99,0)</f>
        <v/>
      </c>
      <c r="F1588" s="6">
        <f>IF(J1588=1,1.0,0)</f>
        <v/>
      </c>
      <c r="G1588" s="5" t="s">
        <v>23</v>
      </c>
      <c r="H1588" s="5" t="s">
        <v>23</v>
      </c>
      <c r="I1588" s="5" t="s">
        <v>23</v>
      </c>
      <c r="J1588" s="8">
        <f>IF(OR(LOOKUP(A1588,characters!A:A,characters!B:B)=-1, LOOKUP(A1588,characters!A:A,characters!B:B)+0.1&gt;=B1588),1,0)</f>
        <v/>
      </c>
    </row>
    <row r="1589" spans="1:10">
      <c r="A1589" s="4" t="s">
        <v>111</v>
      </c>
      <c r="B1589" s="7">
        <v>3</v>
      </c>
      <c r="C1589" s="6">
        <f>IF(J1589=1,0.9,0)</f>
        <v/>
      </c>
      <c r="D1589" s="5" t="s">
        <v>23</v>
      </c>
      <c r="E1589" s="5" t="s">
        <v>23</v>
      </c>
      <c r="F1589" s="6">
        <f>IF(J1589=1,1.0,0)</f>
        <v/>
      </c>
      <c r="G1589" s="5" t="s">
        <v>23</v>
      </c>
      <c r="H1589" s="5" t="s">
        <v>23</v>
      </c>
      <c r="I1589" s="5" t="s">
        <v>23</v>
      </c>
      <c r="J1589" s="8">
        <f>IF(OR(LOOKUP(A1589,characters!A:A,characters!B:B)=-1, LOOKUP(A1589,characters!A:A,characters!B:B)+0.1&gt;=B1589),1,0)</f>
        <v/>
      </c>
    </row>
    <row r="1590" spans="1:10">
      <c r="A1590" s="4" t="s">
        <v>113</v>
      </c>
      <c r="B1590" s="7">
        <v>2</v>
      </c>
      <c r="C1590" s="5" t="s">
        <v>23</v>
      </c>
      <c r="D1590" s="5" t="s">
        <v>23</v>
      </c>
      <c r="E1590" s="6">
        <f>IF(J1590=1,0.99,0)</f>
        <v/>
      </c>
      <c r="F1590" s="6">
        <f>IF(J1590=1,1.0,0)</f>
        <v/>
      </c>
      <c r="G1590" s="5" t="s">
        <v>23</v>
      </c>
      <c r="H1590" s="5" t="s">
        <v>23</v>
      </c>
      <c r="I1590" s="5" t="s">
        <v>23</v>
      </c>
      <c r="J1590" s="8">
        <f>IF(OR(LOOKUP(A1590,characters!A:A,characters!B:B)=-1, LOOKUP(A1590,characters!A:A,characters!B:B)+0.1&gt;=B1590),1,0)</f>
        <v/>
      </c>
    </row>
    <row r="1592" spans="1:10">
      <c r="A1592" s="3" t="s">
        <v>52</v>
      </c>
      <c r="B1592" s="3" t="s">
        <v>9</v>
      </c>
      <c r="C1592" s="3" t="s">
        <v>10</v>
      </c>
      <c r="D1592" s="3" t="s">
        <v>13</v>
      </c>
      <c r="E1592" s="3" t="s">
        <v>17</v>
      </c>
    </row>
    <row r="1593" spans="1:10">
      <c r="A1593" s="4" t="s">
        <v>22</v>
      </c>
      <c r="B1593" s="5" t="s">
        <v>23</v>
      </c>
      <c r="C1593" s="6">
        <f>IF(SUM(F1594:F1609)=0,0,SUM(C1594:C1609)/SUM(F1594:F1609))</f>
        <v/>
      </c>
      <c r="D1593" s="6">
        <f>IF(SUM(F1594:F1609)=0,0,SUM(D1594:D1609)/SUM(F1594:F1609))</f>
        <v/>
      </c>
      <c r="E1593" s="6">
        <f>IF(SUM(F1594:F1609)=0,0,SUM(E1594:E1609)/SUM(F1594:F1609))</f>
        <v/>
      </c>
    </row>
    <row r="1594" spans="1:10">
      <c r="A1594" s="4" t="s">
        <v>92</v>
      </c>
      <c r="B1594" s="7">
        <v>1</v>
      </c>
      <c r="C1594" s="6">
        <f>IF(F1594=1,1.0,0)</f>
        <v/>
      </c>
      <c r="D1594" s="5" t="s">
        <v>23</v>
      </c>
      <c r="E1594" s="5" t="s">
        <v>23</v>
      </c>
      <c r="F1594" s="8">
        <f>IF(OR(LOOKUP(A1594,characters!A:A,characters!B:B)=-1, LOOKUP(A1594,characters!A:A,characters!B:B)+0.1&gt;=B1594),1,0)</f>
        <v/>
      </c>
    </row>
    <row r="1595" spans="1:10">
      <c r="A1595" s="4" t="s">
        <v>125</v>
      </c>
      <c r="B1595" s="7">
        <v>2</v>
      </c>
      <c r="C1595" s="6">
        <f>IF(F1595=1,1.0,0)</f>
        <v/>
      </c>
      <c r="D1595" s="6">
        <f>IF(F1595=1,0.99,0)</f>
        <v/>
      </c>
      <c r="E1595" s="5" t="s">
        <v>23</v>
      </c>
      <c r="F1595" s="8">
        <f>IF(OR(LOOKUP(A1595,characters!A:A,characters!B:B)=-1, LOOKUP(A1595,characters!A:A,characters!B:B)+0.1&gt;=B1595),1,0)</f>
        <v/>
      </c>
    </row>
    <row r="1596" spans="1:10">
      <c r="A1596" s="4" t="s">
        <v>105</v>
      </c>
      <c r="B1596" s="7">
        <v>0</v>
      </c>
      <c r="C1596" s="6">
        <f>IF(F1596=1,0.9,0)</f>
        <v/>
      </c>
      <c r="D1596" s="5" t="s">
        <v>23</v>
      </c>
      <c r="E1596" s="6">
        <f>IF(F1596=1,1.0,0)</f>
        <v/>
      </c>
      <c r="F1596" s="8">
        <f>IF(OR(LOOKUP(A1596,characters!A:A,characters!B:B)=-1, LOOKUP(A1596,characters!A:A,characters!B:B)+0.1&gt;=B1596),1,0)</f>
        <v/>
      </c>
    </row>
    <row r="1597" spans="1:10">
      <c r="A1597" s="4" t="s">
        <v>112</v>
      </c>
      <c r="B1597" s="7">
        <v>2</v>
      </c>
      <c r="C1597" s="6">
        <f>IF(F1597=1,0.9,0)</f>
        <v/>
      </c>
      <c r="D1597" s="5" t="s">
        <v>23</v>
      </c>
      <c r="E1597" s="6">
        <f>IF(F1597=1,1.0,0)</f>
        <v/>
      </c>
      <c r="F1597" s="8">
        <f>IF(OR(LOOKUP(A1597,characters!A:A,characters!B:B)=-1, LOOKUP(A1597,characters!A:A,characters!B:B)+0.1&gt;=B1597),1,0)</f>
        <v/>
      </c>
    </row>
    <row r="1598" spans="1:10">
      <c r="A1598" s="4" t="s">
        <v>100</v>
      </c>
      <c r="B1598" s="7">
        <v>3</v>
      </c>
      <c r="C1598" s="5" t="s">
        <v>23</v>
      </c>
      <c r="D1598" s="5" t="s">
        <v>23</v>
      </c>
      <c r="E1598" s="6">
        <f>IF(F1598=1,1.0,0)</f>
        <v/>
      </c>
      <c r="F1598" s="8">
        <f>IF(OR(LOOKUP(A1598,characters!A:A,characters!B:B)=-1, LOOKUP(A1598,characters!A:A,characters!B:B)+0.1&gt;=B1598),1,0)</f>
        <v/>
      </c>
    </row>
    <row r="1599" spans="1:10">
      <c r="A1599" s="4" t="s">
        <v>58</v>
      </c>
      <c r="B1599" s="7">
        <v>2</v>
      </c>
      <c r="C1599" s="5" t="s">
        <v>23</v>
      </c>
      <c r="D1599" s="5" t="s">
        <v>23</v>
      </c>
      <c r="E1599" s="6">
        <f>IF(F1599=1,1.0,0)</f>
        <v/>
      </c>
      <c r="F1599" s="8">
        <f>IF(OR(LOOKUP(A1599,characters!A:A,characters!B:B)=-1, LOOKUP(A1599,characters!A:A,characters!B:B)+0.1&gt;=B1599),1,0)</f>
        <v/>
      </c>
    </row>
    <row r="1600" spans="1:10">
      <c r="A1600" s="4" t="s">
        <v>36</v>
      </c>
      <c r="B1600" s="7">
        <v>1</v>
      </c>
      <c r="C1600" s="6">
        <f>IF(F1600=1,1.0,0)</f>
        <v/>
      </c>
      <c r="D1600" s="5" t="s">
        <v>23</v>
      </c>
      <c r="E1600" s="5" t="s">
        <v>23</v>
      </c>
      <c r="F1600" s="8">
        <f>IF(OR(LOOKUP(A1600,characters!A:A,characters!B:B)=-1, LOOKUP(A1600,characters!A:A,characters!B:B)+0.1&gt;=B1600),1,0)</f>
        <v/>
      </c>
    </row>
    <row r="1601" spans="1:6">
      <c r="A1601" s="4" t="s">
        <v>110</v>
      </c>
      <c r="B1601" s="7">
        <v>0</v>
      </c>
      <c r="C1601" s="6">
        <f>IF(F1601=1,1.0,0)</f>
        <v/>
      </c>
      <c r="D1601" s="5" t="s">
        <v>23</v>
      </c>
      <c r="E1601" s="6">
        <f>IF(F1601=1,0.99,0)</f>
        <v/>
      </c>
      <c r="F1601" s="8">
        <f>IF(OR(LOOKUP(A1601,characters!A:A,characters!B:B)=-1, LOOKUP(A1601,characters!A:A,characters!B:B)+0.1&gt;=B1601),1,0)</f>
        <v/>
      </c>
    </row>
    <row r="1602" spans="1:6">
      <c r="A1602" s="4" t="s">
        <v>107</v>
      </c>
      <c r="B1602" s="7">
        <v>2</v>
      </c>
      <c r="C1602" s="6">
        <f>IF(F1602=1,1.0,0)</f>
        <v/>
      </c>
      <c r="D1602" s="5" t="s">
        <v>23</v>
      </c>
      <c r="E1602" s="6">
        <f>IF(F1602=1,0.99,0)</f>
        <v/>
      </c>
      <c r="F1602" s="8">
        <f>IF(OR(LOOKUP(A1602,characters!A:A,characters!B:B)=-1, LOOKUP(A1602,characters!A:A,characters!B:B)+0.1&gt;=B1602),1,0)</f>
        <v/>
      </c>
    </row>
    <row r="1603" spans="1:6">
      <c r="A1603" s="4" t="s">
        <v>108</v>
      </c>
      <c r="B1603" s="7">
        <v>1</v>
      </c>
      <c r="C1603" s="6">
        <f>IF(F1603=1,0.9,0)</f>
        <v/>
      </c>
      <c r="D1603" s="5" t="s">
        <v>23</v>
      </c>
      <c r="E1603" s="6">
        <f>IF(F1603=1,1.0,0)</f>
        <v/>
      </c>
      <c r="F1603" s="8">
        <f>IF(OR(LOOKUP(A1603,characters!A:A,characters!B:B)=-1, LOOKUP(A1603,characters!A:A,characters!B:B)+0.1&gt;=B1603),1,0)</f>
        <v/>
      </c>
    </row>
    <row r="1604" spans="1:6">
      <c r="A1604" s="4" t="s">
        <v>41</v>
      </c>
      <c r="B1604" s="7">
        <v>0</v>
      </c>
      <c r="C1604" s="5" t="s">
        <v>23</v>
      </c>
      <c r="D1604" s="5" t="s">
        <v>23</v>
      </c>
      <c r="E1604" s="6">
        <f>IF(F1604=1,1.0,0)</f>
        <v/>
      </c>
      <c r="F1604" s="8">
        <f>IF(OR(LOOKUP(A1604,characters!A:A,characters!B:B)=-1, LOOKUP(A1604,characters!A:A,characters!B:B)+0.1&gt;=B1604),1,0)</f>
        <v/>
      </c>
    </row>
    <row r="1605" spans="1:6">
      <c r="A1605" s="4" t="s">
        <v>73</v>
      </c>
      <c r="B1605" s="7">
        <v>2</v>
      </c>
      <c r="C1605" s="6">
        <f>IF(F1605=1,1.0,0)</f>
        <v/>
      </c>
      <c r="D1605" s="5" t="s">
        <v>23</v>
      </c>
      <c r="E1605" s="6">
        <f>IF(F1605=1,0.99,0)</f>
        <v/>
      </c>
      <c r="F1605" s="8">
        <f>IF(OR(LOOKUP(A1605,characters!A:A,characters!B:B)=-1, LOOKUP(A1605,characters!A:A,characters!B:B)+0.1&gt;=B1605),1,0)</f>
        <v/>
      </c>
    </row>
    <row r="1606" spans="1:6">
      <c r="A1606" s="4" t="s">
        <v>45</v>
      </c>
      <c r="B1606" s="7">
        <v>3</v>
      </c>
      <c r="C1606" s="6">
        <f>IF(F1606=1,1.0,0)</f>
        <v/>
      </c>
      <c r="D1606" s="5" t="s">
        <v>23</v>
      </c>
      <c r="E1606" s="5" t="s">
        <v>23</v>
      </c>
      <c r="F1606" s="8">
        <f>IF(OR(LOOKUP(A1606,characters!A:A,characters!B:B)=-1, LOOKUP(A1606,characters!A:A,characters!B:B)+0.1&gt;=B1606),1,0)</f>
        <v/>
      </c>
    </row>
    <row r="1607" spans="1:6">
      <c r="A1607" s="4" t="s">
        <v>74</v>
      </c>
      <c r="B1607" s="7">
        <v>1</v>
      </c>
      <c r="C1607" s="6">
        <f>IF(F1607=1,1.0,0)</f>
        <v/>
      </c>
      <c r="D1607" s="5" t="s">
        <v>23</v>
      </c>
      <c r="E1607" s="6">
        <f>IF(F1607=1,0.99,0)</f>
        <v/>
      </c>
      <c r="F1607" s="8">
        <f>IF(OR(LOOKUP(A1607,characters!A:A,characters!B:B)=-1, LOOKUP(A1607,characters!A:A,characters!B:B)+0.1&gt;=B1607),1,0)</f>
        <v/>
      </c>
    </row>
    <row r="1608" spans="1:6">
      <c r="A1608" s="4" t="s">
        <v>111</v>
      </c>
      <c r="B1608" s="7">
        <v>3</v>
      </c>
      <c r="C1608" s="6">
        <f>IF(F1608=1,1.0,0)</f>
        <v/>
      </c>
      <c r="D1608" s="5" t="s">
        <v>23</v>
      </c>
      <c r="E1608" s="5" t="s">
        <v>23</v>
      </c>
      <c r="F1608" s="8">
        <f>IF(OR(LOOKUP(A1608,characters!A:A,characters!B:B)=-1, LOOKUP(A1608,characters!A:A,characters!B:B)+0.1&gt;=B1608),1,0)</f>
        <v/>
      </c>
    </row>
    <row r="1609" spans="1:6">
      <c r="A1609" s="4" t="s">
        <v>113</v>
      </c>
      <c r="B1609" s="7">
        <v>2</v>
      </c>
      <c r="C1609" s="6">
        <f>IF(F1609=1,1.0,0)</f>
        <v/>
      </c>
      <c r="D1609" s="5" t="s">
        <v>23</v>
      </c>
      <c r="E1609" s="6">
        <f>IF(F1609=1,0.99,0)</f>
        <v/>
      </c>
      <c r="F1609" s="8">
        <f>IF(OR(LOOKUP(A1609,characters!A:A,characters!B:B)=-1, LOOKUP(A1609,characters!A:A,characters!B:B)+0.1&gt;=B1609),1,0)</f>
        <v/>
      </c>
    </row>
    <row r="1616" spans="1:6">
      <c r="A1616" s="3" t="s">
        <v>138</v>
      </c>
    </row>
    <row r="1617" spans="1:7">
      <c r="A1617" s="3" t="s">
        <v>8</v>
      </c>
      <c r="B1617" s="3" t="s">
        <v>9</v>
      </c>
      <c r="C1617" s="3" t="s">
        <v>10</v>
      </c>
      <c r="D1617" s="3" t="s">
        <v>13</v>
      </c>
      <c r="E1617" s="3" t="s">
        <v>11</v>
      </c>
      <c r="F1617" s="3" t="s">
        <v>12</v>
      </c>
    </row>
    <row r="1618" spans="1:7">
      <c r="A1618" s="4" t="s">
        <v>22</v>
      </c>
      <c r="B1618" s="5" t="s">
        <v>23</v>
      </c>
      <c r="C1618" s="6">
        <f>IF(SUM(G1619:G1622)=0,0,SUM(C1619:C1622)/SUM(G1619:G1622))</f>
        <v/>
      </c>
      <c r="D1618" s="6">
        <f>IF(SUM(G1619:G1622)=0,0,SUM(D1619:D1622)/SUM(G1619:G1622))</f>
        <v/>
      </c>
      <c r="E1618" s="6">
        <f>IF(SUM(G1619:G1622)=0,0,SUM(E1619:E1622)/SUM(G1619:G1622))</f>
        <v/>
      </c>
      <c r="F1618" s="6">
        <f>IF(SUM(G1619:G1622)=0,0,SUM(F1619:F1622)/SUM(G1619:G1622))</f>
        <v/>
      </c>
    </row>
    <row r="1619" spans="1:7">
      <c r="A1619" s="4" t="s">
        <v>26</v>
      </c>
      <c r="B1619" s="7">
        <v>0</v>
      </c>
      <c r="C1619" s="6">
        <f>IF(G1619=1,1.0,0)</f>
        <v/>
      </c>
      <c r="D1619" s="6">
        <f>IF(G1619=1,0.9,0)</f>
        <v/>
      </c>
      <c r="E1619" s="6">
        <f>IF(G1619=1,0.8,0)</f>
        <v/>
      </c>
      <c r="F1619" s="6">
        <f>IF(G1619=1,0.8,0)</f>
        <v/>
      </c>
      <c r="G1619" s="8">
        <f>IF(OR(LOOKUP(A1619,characters!A:A,characters!B:B)=-1, LOOKUP(A1619,characters!A:A,characters!B:B)+0.1&gt;=B1619),1,0)</f>
        <v/>
      </c>
    </row>
    <row r="1620" spans="1:7">
      <c r="A1620" s="4" t="s">
        <v>33</v>
      </c>
      <c r="B1620" s="7">
        <v>0</v>
      </c>
      <c r="C1620" s="6">
        <f>IF(G1620=1,1.0,0)</f>
        <v/>
      </c>
      <c r="D1620" s="6">
        <f>IF(G1620=1,0.9,0)</f>
        <v/>
      </c>
      <c r="E1620" s="6">
        <f>IF(G1620=1,0.8,0)</f>
        <v/>
      </c>
      <c r="F1620" s="6">
        <f>IF(G1620=1,0.8,0)</f>
        <v/>
      </c>
      <c r="G1620" s="8">
        <f>IF(OR(LOOKUP(A1620,characters!A:A,characters!B:B)=-1, LOOKUP(A1620,characters!A:A,characters!B:B)+0.1&gt;=B1620),1,0)</f>
        <v/>
      </c>
    </row>
    <row r="1621" spans="1:7">
      <c r="A1621" s="4" t="s">
        <v>37</v>
      </c>
      <c r="B1621" s="7">
        <v>0</v>
      </c>
      <c r="C1621" s="6">
        <f>IF(G1621=1,1.0,0)</f>
        <v/>
      </c>
      <c r="D1621" s="6">
        <f>IF(G1621=1,0.9,0)</f>
        <v/>
      </c>
      <c r="E1621" s="6">
        <f>IF(G1621=1,0.8,0)</f>
        <v/>
      </c>
      <c r="F1621" s="6">
        <f>IF(G1621=1,0.7,0)</f>
        <v/>
      </c>
      <c r="G1621" s="8">
        <f>IF(OR(LOOKUP(A1621,characters!A:A,characters!B:B)=-1, LOOKUP(A1621,characters!A:A,characters!B:B)+0.1&gt;=B1621),1,0)</f>
        <v/>
      </c>
    </row>
    <row r="1622" spans="1:7">
      <c r="A1622" s="4" t="s">
        <v>39</v>
      </c>
      <c r="B1622" s="7">
        <v>0</v>
      </c>
      <c r="C1622" s="6">
        <f>IF(G1622=1,1.0,0)</f>
        <v/>
      </c>
      <c r="D1622" s="6">
        <f>IF(G1622=1,0.9,0)</f>
        <v/>
      </c>
      <c r="E1622" s="6">
        <f>IF(G1622=1,0.8,0)</f>
        <v/>
      </c>
      <c r="F1622" s="6">
        <f>IF(G1622=1,0.8,0)</f>
        <v/>
      </c>
      <c r="G1622" s="8">
        <f>IF(OR(LOOKUP(A1622,characters!A:A,characters!B:B)=-1, LOOKUP(A1622,characters!A:A,characters!B:B)+0.1&gt;=B1622),1,0)</f>
        <v/>
      </c>
    </row>
    <row r="1624" spans="1:7">
      <c r="A1624" s="3" t="s">
        <v>49</v>
      </c>
      <c r="B1624" s="3" t="s">
        <v>9</v>
      </c>
      <c r="C1624" s="3" t="s">
        <v>50</v>
      </c>
      <c r="D1624" s="3" t="s">
        <v>13</v>
      </c>
    </row>
    <row r="1625" spans="1:7">
      <c r="A1625" s="4" t="s">
        <v>22</v>
      </c>
      <c r="B1625" s="5" t="s">
        <v>23</v>
      </c>
      <c r="C1625" s="6">
        <f>IF(SUM(E1626:E1629)=0,0,SUM(C1626:C1629)/SUM(E1626:E1629))</f>
        <v/>
      </c>
      <c r="D1625" s="6">
        <f>IF(SUM(E1626:E1629)=0,0,SUM(D1626:D1629)/SUM(E1626:E1629))</f>
        <v/>
      </c>
    </row>
    <row r="1626" spans="1:7">
      <c r="A1626" s="4" t="s">
        <v>26</v>
      </c>
      <c r="B1626" s="7">
        <v>0</v>
      </c>
      <c r="C1626" s="6">
        <f>IF(E1626=1,1.0,0)</f>
        <v/>
      </c>
      <c r="D1626" s="6">
        <f>IF(E1626=1,0.9,0)</f>
        <v/>
      </c>
      <c r="E1626" s="8">
        <f>IF(OR(LOOKUP(A1626,characters!A:A,characters!B:B)=-1, LOOKUP(A1626,characters!A:A,characters!B:B)+0.1&gt;=B1626),1,0)</f>
        <v/>
      </c>
    </row>
    <row r="1627" spans="1:7">
      <c r="A1627" s="4" t="s">
        <v>33</v>
      </c>
      <c r="B1627" s="7">
        <v>0</v>
      </c>
      <c r="C1627" s="6">
        <f>IF(E1627=1,1.0,0)</f>
        <v/>
      </c>
      <c r="D1627" s="6">
        <f>IF(E1627=1,0.9,0)</f>
        <v/>
      </c>
      <c r="E1627" s="8">
        <f>IF(OR(LOOKUP(A1627,characters!A:A,characters!B:B)=-1, LOOKUP(A1627,characters!A:A,characters!B:B)+0.1&gt;=B1627),1,0)</f>
        <v/>
      </c>
    </row>
    <row r="1628" spans="1:7">
      <c r="A1628" s="4" t="s">
        <v>37</v>
      </c>
      <c r="B1628" s="7">
        <v>0</v>
      </c>
      <c r="C1628" s="6">
        <f>IF(E1628=1,1.0,0)</f>
        <v/>
      </c>
      <c r="D1628" s="6">
        <f>IF(E1628=1,0.9,0)</f>
        <v/>
      </c>
      <c r="E1628" s="8">
        <f>IF(OR(LOOKUP(A1628,characters!A:A,characters!B:B)=-1, LOOKUP(A1628,characters!A:A,characters!B:B)+0.1&gt;=B1628),1,0)</f>
        <v/>
      </c>
    </row>
    <row r="1629" spans="1:7">
      <c r="A1629" s="4" t="s">
        <v>39</v>
      </c>
      <c r="B1629" s="7">
        <v>0</v>
      </c>
      <c r="C1629" s="6">
        <f>IF(E1629=1,1.0,0)</f>
        <v/>
      </c>
      <c r="D1629" s="6">
        <f>IF(E1629=1,0.9,0)</f>
        <v/>
      </c>
      <c r="E1629" s="8">
        <f>IF(OR(LOOKUP(A1629,characters!A:A,characters!B:B)=-1, LOOKUP(A1629,characters!A:A,characters!B:B)+0.1&gt;=B1629),1,0)</f>
        <v/>
      </c>
    </row>
    <row r="1631" spans="1:7">
      <c r="A1631" s="3" t="s">
        <v>52</v>
      </c>
      <c r="B1631" s="3" t="s">
        <v>9</v>
      </c>
      <c r="C1631" s="3" t="s">
        <v>10</v>
      </c>
    </row>
    <row r="1632" spans="1:7">
      <c r="A1632" s="4" t="s">
        <v>22</v>
      </c>
      <c r="B1632" s="5" t="s">
        <v>23</v>
      </c>
      <c r="C1632" s="6">
        <f>IF(SUM(D1633:D1636)=0,0,SUM(C1633:C1636)/SUM(D1633:D1636))</f>
        <v/>
      </c>
    </row>
    <row r="1633" spans="1:12">
      <c r="A1633" s="4" t="s">
        <v>26</v>
      </c>
      <c r="B1633" s="7">
        <v>0</v>
      </c>
      <c r="C1633" s="6">
        <f>IF(D1633=1,1.0,0)</f>
        <v/>
      </c>
      <c r="D1633" s="8">
        <f>IF(OR(LOOKUP(A1633,characters!A:A,characters!B:B)=-1, LOOKUP(A1633,characters!A:A,characters!B:B)+0.1&gt;=B1633),1,0)</f>
        <v/>
      </c>
    </row>
    <row r="1634" spans="1:12">
      <c r="A1634" s="4" t="s">
        <v>33</v>
      </c>
      <c r="B1634" s="7">
        <v>0</v>
      </c>
      <c r="C1634" s="6">
        <f>IF(D1634=1,1.0,0)</f>
        <v/>
      </c>
      <c r="D1634" s="8">
        <f>IF(OR(LOOKUP(A1634,characters!A:A,characters!B:B)=-1, LOOKUP(A1634,characters!A:A,characters!B:B)+0.1&gt;=B1634),1,0)</f>
        <v/>
      </c>
    </row>
    <row r="1635" spans="1:12">
      <c r="A1635" s="4" t="s">
        <v>37</v>
      </c>
      <c r="B1635" s="7">
        <v>0</v>
      </c>
      <c r="C1635" s="6">
        <f>IF(D1635=1,1.0,0)</f>
        <v/>
      </c>
      <c r="D1635" s="8">
        <f>IF(OR(LOOKUP(A1635,characters!A:A,characters!B:B)=-1, LOOKUP(A1635,characters!A:A,characters!B:B)+0.1&gt;=B1635),1,0)</f>
        <v/>
      </c>
    </row>
    <row r="1636" spans="1:12">
      <c r="A1636" s="4" t="s">
        <v>39</v>
      </c>
      <c r="B1636" s="7">
        <v>0</v>
      </c>
      <c r="C1636" s="6">
        <f>IF(D1636=1,1.0,0)</f>
        <v/>
      </c>
      <c r="D1636" s="8">
        <f>IF(OR(LOOKUP(A1636,characters!A:A,characters!B:B)=-1, LOOKUP(A1636,characters!A:A,characters!B:B)+0.1&gt;=B1636),1,0)</f>
        <v/>
      </c>
    </row>
    <row r="1643" spans="1:12">
      <c r="A1643" s="3" t="s">
        <v>139</v>
      </c>
    </row>
    <row r="1644" spans="1:12">
      <c r="A1644" s="3" t="s">
        <v>8</v>
      </c>
      <c r="B1644" s="3" t="s">
        <v>9</v>
      </c>
      <c r="C1644" s="3" t="s">
        <v>16</v>
      </c>
      <c r="D1644" s="3" t="s">
        <v>10</v>
      </c>
      <c r="E1644" s="3" t="s">
        <v>17</v>
      </c>
      <c r="F1644" s="3" t="s">
        <v>18</v>
      </c>
      <c r="G1644" s="3" t="s">
        <v>14</v>
      </c>
      <c r="H1644" s="3" t="s">
        <v>15</v>
      </c>
      <c r="I1644" s="3" t="s">
        <v>21</v>
      </c>
      <c r="J1644" s="3" t="s">
        <v>19</v>
      </c>
      <c r="K1644" s="3" t="s">
        <v>11</v>
      </c>
    </row>
    <row r="1645" spans="1:12">
      <c r="A1645" s="4" t="s">
        <v>22</v>
      </c>
      <c r="B1645" s="5" t="s">
        <v>23</v>
      </c>
      <c r="C1645" s="6">
        <f>IF(SUM(L1646:L1651)=0,0,SUM(C1646:C1651)/SUM(L1646:L1651))</f>
        <v/>
      </c>
      <c r="D1645" s="6">
        <f>IF(SUM(L1646:L1651)=0,0,SUM(D1646:D1651)/SUM(L1646:L1651))</f>
        <v/>
      </c>
      <c r="E1645" s="6">
        <f>IF(SUM(L1646:L1651)=0,0,SUM(E1646:E1651)/SUM(L1646:L1651))</f>
        <v/>
      </c>
      <c r="F1645" s="6">
        <f>IF(SUM(L1646:L1651)=0,0,SUM(F1646:F1651)/SUM(L1646:L1651))</f>
        <v/>
      </c>
      <c r="G1645" s="6">
        <f>IF(SUM(L1646:L1651)=0,0,SUM(G1646:G1651)/SUM(L1646:L1651))</f>
        <v/>
      </c>
      <c r="H1645" s="6">
        <f>IF(SUM(L1646:L1651)=0,0,SUM(H1646:H1651)/SUM(L1646:L1651))</f>
        <v/>
      </c>
      <c r="I1645" s="6">
        <f>IF(SUM(L1646:L1651)=0,0,SUM(I1646:I1651)/SUM(L1646:L1651))</f>
        <v/>
      </c>
      <c r="J1645" s="6">
        <f>IF(SUM(L1646:L1651)=0,0,SUM(J1646:J1651)/SUM(L1646:L1651))</f>
        <v/>
      </c>
      <c r="K1645" s="6">
        <f>IF(SUM(L1646:L1651)=0,0,SUM(K1646:K1651)/SUM(L1646:L1651))</f>
        <v/>
      </c>
    </row>
    <row r="1646" spans="1:12">
      <c r="A1646" s="4" t="s">
        <v>92</v>
      </c>
      <c r="B1646" s="7">
        <v>0</v>
      </c>
      <c r="C1646" s="6">
        <f>IF(L1646=1,1.0,0)</f>
        <v/>
      </c>
      <c r="D1646" s="6">
        <f>IF(L1646=1,0.9,0)</f>
        <v/>
      </c>
      <c r="E1646" s="6">
        <f>IF(L1646=1,0.8,0)</f>
        <v/>
      </c>
      <c r="F1646" s="6">
        <f>IF(L1646=1,0.7,0)</f>
        <v/>
      </c>
      <c r="G1646" s="5" t="s">
        <v>23</v>
      </c>
      <c r="H1646" s="5" t="s">
        <v>23</v>
      </c>
      <c r="I1646" s="5" t="s">
        <v>23</v>
      </c>
      <c r="J1646" s="5" t="s">
        <v>23</v>
      </c>
      <c r="K1646" s="5" t="s">
        <v>23</v>
      </c>
      <c r="L1646" s="8">
        <f>IF(OR(LOOKUP(A1646,characters!A:A,characters!B:B)=-1, LOOKUP(A1646,characters!A:A,characters!B:B)+0.1&gt;=B1646),1,0)</f>
        <v/>
      </c>
    </row>
    <row r="1647" spans="1:12">
      <c r="A1647" s="4" t="s">
        <v>34</v>
      </c>
      <c r="B1647" s="7">
        <v>0</v>
      </c>
      <c r="C1647" s="6">
        <f>IF(L1647=1,1.0,0)</f>
        <v/>
      </c>
      <c r="D1647" s="6">
        <f>IF(L1647=1,0.9,0)</f>
        <v/>
      </c>
      <c r="E1647" s="6">
        <f>IF(L1647=1,0.8,0)</f>
        <v/>
      </c>
      <c r="F1647" s="5" t="s">
        <v>23</v>
      </c>
      <c r="G1647" s="5" t="s">
        <v>23</v>
      </c>
      <c r="H1647" s="5" t="s">
        <v>23</v>
      </c>
      <c r="I1647" s="5" t="s">
        <v>23</v>
      </c>
      <c r="J1647" s="5" t="s">
        <v>23</v>
      </c>
      <c r="K1647" s="5" t="s">
        <v>23</v>
      </c>
      <c r="L1647" s="8">
        <f>IF(OR(LOOKUP(A1647,characters!A:A,characters!B:B)=-1, LOOKUP(A1647,characters!A:A,characters!B:B)+0.1&gt;=B1647),1,0)</f>
        <v/>
      </c>
    </row>
    <row r="1648" spans="1:12">
      <c r="A1648" s="4" t="s">
        <v>43</v>
      </c>
      <c r="B1648" s="7">
        <v>0</v>
      </c>
      <c r="C1648" s="6">
        <f>IF(L1648=1,1.0,0)</f>
        <v/>
      </c>
      <c r="D1648" s="6">
        <f>IF(L1648=1,1.0,0)</f>
        <v/>
      </c>
      <c r="E1648" s="5" t="s">
        <v>23</v>
      </c>
      <c r="F1648" s="6">
        <f>IF(L1648=1,0.9,0)</f>
        <v/>
      </c>
      <c r="G1648" s="6">
        <f>IF(L1648=1,0.9,0)</f>
        <v/>
      </c>
      <c r="H1648" s="6">
        <f>IF(L1648=1,0.9,0)</f>
        <v/>
      </c>
      <c r="I1648" s="5" t="s">
        <v>23</v>
      </c>
      <c r="J1648" s="5" t="s">
        <v>23</v>
      </c>
      <c r="K1648" s="6">
        <f>IF(L1648=1,0.8,0)</f>
        <v/>
      </c>
      <c r="L1648" s="8">
        <f>IF(OR(LOOKUP(A1648,characters!A:A,characters!B:B)=-1, LOOKUP(A1648,characters!A:A,characters!B:B)+0.1&gt;=B1648),1,0)</f>
        <v/>
      </c>
    </row>
    <row r="1649" spans="1:12">
      <c r="A1649" s="4" t="s">
        <v>111</v>
      </c>
      <c r="B1649" s="7">
        <v>0</v>
      </c>
      <c r="C1649" s="6">
        <f>IF(L1649=1,1.0,0)</f>
        <v/>
      </c>
      <c r="D1649" s="6">
        <f>IF(L1649=1,1.0,0)</f>
        <v/>
      </c>
      <c r="E1649" s="6">
        <f>IF(L1649=1,0.8,0)</f>
        <v/>
      </c>
      <c r="F1649" s="5" t="s">
        <v>23</v>
      </c>
      <c r="G1649" s="5" t="s">
        <v>23</v>
      </c>
      <c r="H1649" s="5" t="s">
        <v>23</v>
      </c>
      <c r="I1649" s="6">
        <f>IF(L1649=1,0.9,0)</f>
        <v/>
      </c>
      <c r="J1649" s="6">
        <f>IF(L1649=1,0.9,0)</f>
        <v/>
      </c>
      <c r="K1649" s="5" t="s">
        <v>23</v>
      </c>
      <c r="L1649" s="8">
        <f>IF(OR(LOOKUP(A1649,characters!A:A,characters!B:B)=-1, LOOKUP(A1649,characters!A:A,characters!B:B)+0.1&gt;=B1649),1,0)</f>
        <v/>
      </c>
    </row>
    <row r="1650" spans="1:12">
      <c r="A1650" s="4" t="s">
        <v>76</v>
      </c>
      <c r="B1650" s="7">
        <v>2</v>
      </c>
      <c r="C1650" s="6">
        <f>IF(L1650=1,1.0,0)</f>
        <v/>
      </c>
      <c r="D1650" s="6">
        <f>IF(L1650=1,1.0,0)</f>
        <v/>
      </c>
      <c r="E1650" s="6">
        <f>IF(L1650=1,0.89,0)</f>
        <v/>
      </c>
      <c r="F1650" s="6">
        <f>IF(L1650=1,0.9,0)</f>
        <v/>
      </c>
      <c r="G1650" s="5" t="s">
        <v>23</v>
      </c>
      <c r="H1650" s="5" t="s">
        <v>23</v>
      </c>
      <c r="I1650" s="5" t="s">
        <v>23</v>
      </c>
      <c r="J1650" s="5" t="s">
        <v>23</v>
      </c>
      <c r="K1650" s="5" t="s">
        <v>23</v>
      </c>
      <c r="L1650" s="8">
        <f>IF(OR(LOOKUP(A1650,characters!A:A,characters!B:B)=-1, LOOKUP(A1650,characters!A:A,characters!B:B)+0.1&gt;=B1650),1,0)</f>
        <v/>
      </c>
    </row>
    <row r="1651" spans="1:12">
      <c r="A1651" s="4" t="s">
        <v>93</v>
      </c>
      <c r="B1651" s="7">
        <v>2</v>
      </c>
      <c r="C1651" s="6">
        <f>IF(L1651=1,1.0,0)</f>
        <v/>
      </c>
      <c r="D1651" s="6">
        <f>IF(L1651=1,1.0,0)</f>
        <v/>
      </c>
      <c r="E1651" s="6">
        <f>IF(L1651=1,0.9,0)</f>
        <v/>
      </c>
      <c r="F1651" s="6">
        <f>IF(L1651=1,0.8,0)</f>
        <v/>
      </c>
      <c r="G1651" s="5" t="s">
        <v>23</v>
      </c>
      <c r="H1651" s="5" t="s">
        <v>23</v>
      </c>
      <c r="I1651" s="5" t="s">
        <v>23</v>
      </c>
      <c r="J1651" s="5" t="s">
        <v>23</v>
      </c>
      <c r="K1651" s="5" t="s">
        <v>23</v>
      </c>
      <c r="L1651" s="8">
        <f>IF(OR(LOOKUP(A1651,characters!A:A,characters!B:B)=-1, LOOKUP(A1651,characters!A:A,characters!B:B)+0.1&gt;=B1651),1,0)</f>
        <v/>
      </c>
    </row>
    <row r="1653" spans="1:12">
      <c r="A1653" s="3" t="s">
        <v>64</v>
      </c>
      <c r="B1653" s="3" t="s">
        <v>9</v>
      </c>
      <c r="C1653" s="3" t="s">
        <v>88</v>
      </c>
      <c r="D1653" s="3" t="s">
        <v>17</v>
      </c>
      <c r="E1653" s="3" t="s">
        <v>90</v>
      </c>
      <c r="F1653" s="3" t="s">
        <v>87</v>
      </c>
      <c r="G1653" s="3" t="s">
        <v>69</v>
      </c>
      <c r="H1653" s="3" t="s">
        <v>13</v>
      </c>
      <c r="I1653" s="3" t="s">
        <v>68</v>
      </c>
    </row>
    <row r="1654" spans="1:12">
      <c r="A1654" s="4" t="s">
        <v>22</v>
      </c>
      <c r="B1654" s="5" t="s">
        <v>23</v>
      </c>
      <c r="C1654" s="6">
        <f>IF(SUM(J1655:J1660)=0,0,SUM(C1655:C1660)/SUM(J1655:J1660))</f>
        <v/>
      </c>
      <c r="D1654" s="6">
        <f>IF(SUM(J1655:J1660)=0,0,SUM(D1655:D1660)/SUM(J1655:J1660))</f>
        <v/>
      </c>
      <c r="E1654" s="6">
        <f>IF(SUM(J1655:J1660)=0,0,SUM(E1655:E1660)/SUM(J1655:J1660))</f>
        <v/>
      </c>
      <c r="F1654" s="6">
        <f>IF(SUM(J1655:J1660)=0,0,SUM(F1655:F1660)/SUM(J1655:J1660))</f>
        <v/>
      </c>
      <c r="G1654" s="6">
        <f>IF(SUM(J1655:J1660)=0,0,SUM(G1655:G1660)/SUM(J1655:J1660))</f>
        <v/>
      </c>
      <c r="H1654" s="6">
        <f>IF(SUM(J1655:J1660)=0,0,SUM(H1655:H1660)/SUM(J1655:J1660))</f>
        <v/>
      </c>
      <c r="I1654" s="6">
        <f>IF(SUM(J1655:J1660)=0,0,SUM(I1655:I1660)/SUM(J1655:J1660))</f>
        <v/>
      </c>
    </row>
    <row r="1655" spans="1:12">
      <c r="A1655" s="4" t="s">
        <v>92</v>
      </c>
      <c r="B1655" s="7">
        <v>0</v>
      </c>
      <c r="C1655" s="6">
        <f>IF(J1655=1,1.0,0)</f>
        <v/>
      </c>
      <c r="D1655" s="6">
        <f>IF(J1655=1,0.9,0)</f>
        <v/>
      </c>
      <c r="E1655" s="5" t="s">
        <v>23</v>
      </c>
      <c r="F1655" s="5" t="s">
        <v>23</v>
      </c>
      <c r="G1655" s="5" t="s">
        <v>23</v>
      </c>
      <c r="H1655" s="5" t="s">
        <v>23</v>
      </c>
      <c r="I1655" s="5" t="s">
        <v>23</v>
      </c>
      <c r="J1655" s="8">
        <f>IF(OR(LOOKUP(A1655,characters!A:A,characters!B:B)=-1, LOOKUP(A1655,characters!A:A,characters!B:B)+0.1&gt;=B1655),1,0)</f>
        <v/>
      </c>
    </row>
    <row r="1656" spans="1:12">
      <c r="A1656" s="4" t="s">
        <v>34</v>
      </c>
      <c r="B1656" s="7">
        <v>0</v>
      </c>
      <c r="C1656" s="5" t="s">
        <v>23</v>
      </c>
      <c r="D1656" s="5" t="s">
        <v>23</v>
      </c>
      <c r="E1656" s="6">
        <f>IF(J1656=1,1.0,0)</f>
        <v/>
      </c>
      <c r="F1656" s="5" t="s">
        <v>23</v>
      </c>
      <c r="G1656" s="5" t="s">
        <v>23</v>
      </c>
      <c r="H1656" s="5" t="s">
        <v>23</v>
      </c>
      <c r="I1656" s="5" t="s">
        <v>23</v>
      </c>
      <c r="J1656" s="8">
        <f>IF(OR(LOOKUP(A1656,characters!A:A,characters!B:B)=-1, LOOKUP(A1656,characters!A:A,characters!B:B)+0.1&gt;=B1656),1,0)</f>
        <v/>
      </c>
    </row>
    <row r="1657" spans="1:12">
      <c r="A1657" s="4" t="s">
        <v>76</v>
      </c>
      <c r="B1657" s="7">
        <v>2</v>
      </c>
      <c r="C1657" s="5" t="s">
        <v>23</v>
      </c>
      <c r="D1657" s="6">
        <f>IF(J1657=1,0.9,0)</f>
        <v/>
      </c>
      <c r="E1657" s="5" t="s">
        <v>23</v>
      </c>
      <c r="F1657" s="6">
        <f>IF(J1657=1,1.0,0)</f>
        <v/>
      </c>
      <c r="G1657" s="5" t="s">
        <v>23</v>
      </c>
      <c r="H1657" s="5" t="s">
        <v>23</v>
      </c>
      <c r="I1657" s="5" t="s">
        <v>23</v>
      </c>
      <c r="J1657" s="8">
        <f>IF(OR(LOOKUP(A1657,characters!A:A,characters!B:B)=-1, LOOKUP(A1657,characters!A:A,characters!B:B)+0.1&gt;=B1657),1,0)</f>
        <v/>
      </c>
    </row>
    <row r="1658" spans="1:12">
      <c r="A1658" s="4" t="s">
        <v>93</v>
      </c>
      <c r="B1658" s="7">
        <v>2</v>
      </c>
      <c r="C1658" s="6">
        <f>IF(J1658=1,1.0,0)</f>
        <v/>
      </c>
      <c r="D1658" s="6">
        <f>IF(J1658=1,0.9,0)</f>
        <v/>
      </c>
      <c r="E1658" s="5" t="s">
        <v>23</v>
      </c>
      <c r="F1658" s="5" t="s">
        <v>23</v>
      </c>
      <c r="G1658" s="5" t="s">
        <v>23</v>
      </c>
      <c r="H1658" s="5" t="s">
        <v>23</v>
      </c>
      <c r="I1658" s="5" t="s">
        <v>23</v>
      </c>
      <c r="J1658" s="8">
        <f>IF(OR(LOOKUP(A1658,characters!A:A,characters!B:B)=-1, LOOKUP(A1658,characters!A:A,characters!B:B)+0.1&gt;=B1658),1,0)</f>
        <v/>
      </c>
    </row>
    <row r="1659" spans="1:12">
      <c r="A1659" s="4" t="s">
        <v>43</v>
      </c>
      <c r="B1659" s="7">
        <v>0</v>
      </c>
      <c r="C1659" s="5" t="s">
        <v>23</v>
      </c>
      <c r="D1659" s="5" t="s">
        <v>23</v>
      </c>
      <c r="E1659" s="5" t="s">
        <v>23</v>
      </c>
      <c r="F1659" s="5" t="s">
        <v>23</v>
      </c>
      <c r="G1659" s="6">
        <f>IF(J1659=1,1.0,0)</f>
        <v/>
      </c>
      <c r="H1659" s="6">
        <f>IF(J1659=1,0.9,0)</f>
        <v/>
      </c>
      <c r="I1659" s="5" t="s">
        <v>23</v>
      </c>
      <c r="J1659" s="8">
        <f>IF(OR(LOOKUP(A1659,characters!A:A,characters!B:B)=-1, LOOKUP(A1659,characters!A:A,characters!B:B)+0.1&gt;=B1659),1,0)</f>
        <v/>
      </c>
    </row>
    <row r="1660" spans="1:12">
      <c r="A1660" s="4" t="s">
        <v>111</v>
      </c>
      <c r="B1660" s="7">
        <v>0</v>
      </c>
      <c r="C1660" s="5" t="s">
        <v>23</v>
      </c>
      <c r="D1660" s="6">
        <f>IF(J1660=1,0.9,0)</f>
        <v/>
      </c>
      <c r="E1660" s="5" t="s">
        <v>23</v>
      </c>
      <c r="F1660" s="5" t="s">
        <v>23</v>
      </c>
      <c r="G1660" s="5" t="s">
        <v>23</v>
      </c>
      <c r="H1660" s="5" t="s">
        <v>23</v>
      </c>
      <c r="I1660" s="6">
        <f>IF(J1660=1,1.0,0)</f>
        <v/>
      </c>
      <c r="J1660" s="8">
        <f>IF(OR(LOOKUP(A1660,characters!A:A,characters!B:B)=-1, LOOKUP(A1660,characters!A:A,characters!B:B)+0.1&gt;=B1660),1,0)</f>
        <v/>
      </c>
    </row>
    <row r="1662" spans="1:12">
      <c r="A1662" s="3" t="s">
        <v>65</v>
      </c>
      <c r="B1662" s="3" t="s">
        <v>9</v>
      </c>
      <c r="C1662" s="3" t="s">
        <v>17</v>
      </c>
      <c r="D1662" s="3" t="s">
        <v>66</v>
      </c>
      <c r="E1662" s="3" t="s">
        <v>18</v>
      </c>
    </row>
    <row r="1663" spans="1:12">
      <c r="A1663" s="4" t="s">
        <v>22</v>
      </c>
      <c r="B1663" s="5" t="s">
        <v>23</v>
      </c>
      <c r="C1663" s="6">
        <f>IF(SUM(F1664:F1669)=0,0,SUM(C1664:C1669)/SUM(F1664:F1669))</f>
        <v/>
      </c>
      <c r="D1663" s="6">
        <f>IF(SUM(F1664:F1669)=0,0,SUM(D1664:D1669)/SUM(F1664:F1669))</f>
        <v/>
      </c>
      <c r="E1663" s="6">
        <f>IF(SUM(F1664:F1669)=0,0,SUM(E1664:E1669)/SUM(F1664:F1669))</f>
        <v/>
      </c>
    </row>
    <row r="1664" spans="1:12">
      <c r="A1664" s="4" t="s">
        <v>92</v>
      </c>
      <c r="B1664" s="7">
        <v>0</v>
      </c>
      <c r="C1664" s="6">
        <f>IF(F1664=1,1.0,0)</f>
        <v/>
      </c>
      <c r="D1664" s="5" t="s">
        <v>23</v>
      </c>
      <c r="E1664" s="5" t="s">
        <v>23</v>
      </c>
      <c r="F1664" s="8">
        <f>IF(OR(LOOKUP(A1664,characters!A:A,characters!B:B)=-1, LOOKUP(A1664,characters!A:A,characters!B:B)+0.1&gt;=B1664),1,0)</f>
        <v/>
      </c>
    </row>
    <row r="1665" spans="1:9">
      <c r="A1665" s="4" t="s">
        <v>34</v>
      </c>
      <c r="B1665" s="7">
        <v>0</v>
      </c>
      <c r="C1665" s="5" t="s">
        <v>23</v>
      </c>
      <c r="D1665" s="6">
        <f>IF(F1665=1,1.0,0)</f>
        <v/>
      </c>
      <c r="E1665" s="5" t="s">
        <v>23</v>
      </c>
      <c r="F1665" s="8">
        <f>IF(OR(LOOKUP(A1665,characters!A:A,characters!B:B)=-1, LOOKUP(A1665,characters!A:A,characters!B:B)+0.1&gt;=B1665),1,0)</f>
        <v/>
      </c>
    </row>
    <row r="1666" spans="1:9">
      <c r="A1666" s="4" t="s">
        <v>76</v>
      </c>
      <c r="B1666" s="7">
        <v>2</v>
      </c>
      <c r="C1666" s="6">
        <f>IF(F1666=1,0.99,0)</f>
        <v/>
      </c>
      <c r="D1666" s="5" t="s">
        <v>23</v>
      </c>
      <c r="E1666" s="6">
        <f>IF(F1666=1,1.0,0)</f>
        <v/>
      </c>
      <c r="F1666" s="8">
        <f>IF(OR(LOOKUP(A1666,characters!A:A,characters!B:B)=-1, LOOKUP(A1666,characters!A:A,characters!B:B)+0.1&gt;=B1666),1,0)</f>
        <v/>
      </c>
    </row>
    <row r="1667" spans="1:9">
      <c r="A1667" s="4" t="s">
        <v>93</v>
      </c>
      <c r="B1667" s="7">
        <v>2</v>
      </c>
      <c r="C1667" s="6">
        <f>IF(F1667=1,1.0,0)</f>
        <v/>
      </c>
      <c r="D1667" s="5" t="s">
        <v>23</v>
      </c>
      <c r="E1667" s="5" t="s">
        <v>23</v>
      </c>
      <c r="F1667" s="8">
        <f>IF(OR(LOOKUP(A1667,characters!A:A,characters!B:B)=-1, LOOKUP(A1667,characters!A:A,characters!B:B)+0.1&gt;=B1667),1,0)</f>
        <v/>
      </c>
    </row>
    <row r="1668" spans="1:9">
      <c r="A1668" s="4" t="s">
        <v>43</v>
      </c>
      <c r="B1668" s="7">
        <v>0</v>
      </c>
      <c r="C1668" s="5" t="s">
        <v>23</v>
      </c>
      <c r="D1668" s="6">
        <f>IF(F1668=1,1.0,0)</f>
        <v/>
      </c>
      <c r="E1668" s="5" t="s">
        <v>23</v>
      </c>
      <c r="F1668" s="8">
        <f>IF(OR(LOOKUP(A1668,characters!A:A,characters!B:B)=-1, LOOKUP(A1668,characters!A:A,characters!B:B)+0.1&gt;=B1668),1,0)</f>
        <v/>
      </c>
    </row>
    <row r="1669" spans="1:9">
      <c r="A1669" s="4" t="s">
        <v>111</v>
      </c>
      <c r="B1669" s="7">
        <v>0</v>
      </c>
      <c r="C1669" s="6">
        <f>IF(F1669=1,1.0,0)</f>
        <v/>
      </c>
      <c r="D1669" s="5" t="s">
        <v>23</v>
      </c>
      <c r="E1669" s="5" t="s">
        <v>23</v>
      </c>
      <c r="F1669" s="8">
        <f>IF(OR(LOOKUP(A1669,characters!A:A,characters!B:B)=-1, LOOKUP(A1669,characters!A:A,characters!B:B)+0.1&gt;=B1669),1,0)</f>
        <v/>
      </c>
    </row>
    <row r="1676" spans="1:9">
      <c r="A1676" s="3" t="s">
        <v>140</v>
      </c>
    </row>
    <row r="1677" spans="1:9">
      <c r="A1677" s="3" t="s">
        <v>8</v>
      </c>
      <c r="B1677" s="3" t="s">
        <v>9</v>
      </c>
      <c r="C1677" s="3" t="s">
        <v>10</v>
      </c>
      <c r="D1677" s="3" t="s">
        <v>13</v>
      </c>
      <c r="E1677" s="3" t="s">
        <v>11</v>
      </c>
      <c r="F1677" s="3" t="s">
        <v>12</v>
      </c>
      <c r="G1677" s="3" t="s">
        <v>17</v>
      </c>
      <c r="H1677" s="3" t="s">
        <v>20</v>
      </c>
    </row>
    <row r="1678" spans="1:9">
      <c r="A1678" s="4" t="s">
        <v>22</v>
      </c>
      <c r="B1678" s="5" t="s">
        <v>23</v>
      </c>
      <c r="C1678" s="6">
        <f>IF(SUM(I1679:I1684)=0,0,SUM(C1679:C1684)/SUM(I1679:I1684))</f>
        <v/>
      </c>
      <c r="D1678" s="6">
        <f>IF(SUM(I1679:I1684)=0,0,SUM(D1679:D1684)/SUM(I1679:I1684))</f>
        <v/>
      </c>
      <c r="E1678" s="6">
        <f>IF(SUM(I1679:I1684)=0,0,SUM(E1679:E1684)/SUM(I1679:I1684))</f>
        <v/>
      </c>
      <c r="F1678" s="6">
        <f>IF(SUM(I1679:I1684)=0,0,SUM(F1679:F1684)/SUM(I1679:I1684))</f>
        <v/>
      </c>
      <c r="G1678" s="6">
        <f>IF(SUM(I1679:I1684)=0,0,SUM(G1679:G1684)/SUM(I1679:I1684))</f>
        <v/>
      </c>
      <c r="H1678" s="6">
        <f>IF(SUM(I1679:I1684)=0,0,SUM(H1679:H1684)/SUM(I1679:I1684))</f>
        <v/>
      </c>
    </row>
    <row r="1679" spans="1:9">
      <c r="A1679" s="4" t="s">
        <v>33</v>
      </c>
      <c r="B1679" s="7">
        <v>0</v>
      </c>
      <c r="C1679" s="6">
        <f>IF(I1679=1,1.0,0)</f>
        <v/>
      </c>
      <c r="D1679" s="6">
        <f>IF(I1679=1,0.9,0)</f>
        <v/>
      </c>
      <c r="E1679" s="6">
        <f>IF(I1679=1,0.8,0)</f>
        <v/>
      </c>
      <c r="F1679" s="6">
        <f>IF(I1679=1,0.8,0)</f>
        <v/>
      </c>
      <c r="G1679" s="5" t="s">
        <v>23</v>
      </c>
      <c r="H1679" s="5" t="s">
        <v>23</v>
      </c>
      <c r="I1679" s="8">
        <f>IF(OR(LOOKUP(A1679,characters!A:A,characters!B:B)=-1, LOOKUP(A1679,characters!A:A,characters!B:B)+0.1&gt;=B1679),1,0)</f>
        <v/>
      </c>
    </row>
    <row r="1680" spans="1:9">
      <c r="A1680" s="4" t="s">
        <v>35</v>
      </c>
      <c r="B1680" s="7">
        <v>0</v>
      </c>
      <c r="C1680" s="6">
        <f>IF(I1680=1,1.0,0)</f>
        <v/>
      </c>
      <c r="D1680" s="5" t="s">
        <v>23</v>
      </c>
      <c r="E1680" s="5" t="s">
        <v>23</v>
      </c>
      <c r="F1680" s="5" t="s">
        <v>23</v>
      </c>
      <c r="G1680" s="6">
        <f>IF(I1680=1,0.89,0)</f>
        <v/>
      </c>
      <c r="H1680" s="6">
        <f>IF(I1680=1,0.9,0)</f>
        <v/>
      </c>
      <c r="I1680" s="8">
        <f>IF(OR(LOOKUP(A1680,characters!A:A,characters!B:B)=-1, LOOKUP(A1680,characters!A:A,characters!B:B)+0.1&gt;=B1680),1,0)</f>
        <v/>
      </c>
    </row>
    <row r="1681" spans="1:9">
      <c r="A1681" s="4" t="s">
        <v>26</v>
      </c>
      <c r="B1681" s="7">
        <v>2</v>
      </c>
      <c r="C1681" s="6">
        <f>IF(I1681=1,1.0,0)</f>
        <v/>
      </c>
      <c r="D1681" s="6">
        <f>IF(I1681=1,0.9,0)</f>
        <v/>
      </c>
      <c r="E1681" s="6">
        <f>IF(I1681=1,0.8,0)</f>
        <v/>
      </c>
      <c r="F1681" s="6">
        <f>IF(I1681=1,0.8,0)</f>
        <v/>
      </c>
      <c r="G1681" s="5" t="s">
        <v>23</v>
      </c>
      <c r="H1681" s="5" t="s">
        <v>23</v>
      </c>
      <c r="I1681" s="8">
        <f>IF(OR(LOOKUP(A1681,characters!A:A,characters!B:B)=-1, LOOKUP(A1681,characters!A:A,characters!B:B)+0.1&gt;=B1681),1,0)</f>
        <v/>
      </c>
    </row>
    <row r="1682" spans="1:9">
      <c r="A1682" s="4" t="s">
        <v>36</v>
      </c>
      <c r="B1682" s="7">
        <v>2</v>
      </c>
      <c r="C1682" s="6">
        <f>IF(I1682=1,1.0,0)</f>
        <v/>
      </c>
      <c r="D1682" s="6">
        <f>IF(I1682=1,0.8,0)</f>
        <v/>
      </c>
      <c r="E1682" s="6">
        <f>IF(I1682=1,0.7,0)</f>
        <v/>
      </c>
      <c r="F1682" s="6">
        <f>IF(I1682=1,0.8,0)</f>
        <v/>
      </c>
      <c r="G1682" s="6">
        <f>IF(I1682=1,0.9,0)</f>
        <v/>
      </c>
      <c r="H1682" s="5" t="s">
        <v>23</v>
      </c>
      <c r="I1682" s="8">
        <f>IF(OR(LOOKUP(A1682,characters!A:A,characters!B:B)=-1, LOOKUP(A1682,characters!A:A,characters!B:B)+0.1&gt;=B1682),1,0)</f>
        <v/>
      </c>
    </row>
    <row r="1683" spans="1:9">
      <c r="A1683" s="4" t="s">
        <v>37</v>
      </c>
      <c r="B1683" s="7">
        <v>2</v>
      </c>
      <c r="C1683" s="6">
        <f>IF(I1683=1,1.0,0)</f>
        <v/>
      </c>
      <c r="D1683" s="6">
        <f>IF(I1683=1,0.9,0)</f>
        <v/>
      </c>
      <c r="E1683" s="6">
        <f>IF(I1683=1,0.8,0)</f>
        <v/>
      </c>
      <c r="F1683" s="6">
        <f>IF(I1683=1,0.7,0)</f>
        <v/>
      </c>
      <c r="G1683" s="5" t="s">
        <v>23</v>
      </c>
      <c r="H1683" s="5" t="s">
        <v>23</v>
      </c>
      <c r="I1683" s="8">
        <f>IF(OR(LOOKUP(A1683,characters!A:A,characters!B:B)=-1, LOOKUP(A1683,characters!A:A,characters!B:B)+0.1&gt;=B1683),1,0)</f>
        <v/>
      </c>
    </row>
    <row r="1684" spans="1:9">
      <c r="A1684" s="4" t="s">
        <v>39</v>
      </c>
      <c r="B1684" s="7">
        <v>2</v>
      </c>
      <c r="C1684" s="6">
        <f>IF(I1684=1,1.0,0)</f>
        <v/>
      </c>
      <c r="D1684" s="6">
        <f>IF(I1684=1,0.9,0)</f>
        <v/>
      </c>
      <c r="E1684" s="6">
        <f>IF(I1684=1,0.8,0)</f>
        <v/>
      </c>
      <c r="F1684" s="6">
        <f>IF(I1684=1,0.8,0)</f>
        <v/>
      </c>
      <c r="G1684" s="5" t="s">
        <v>23</v>
      </c>
      <c r="H1684" s="5" t="s">
        <v>23</v>
      </c>
      <c r="I1684" s="8">
        <f>IF(OR(LOOKUP(A1684,characters!A:A,characters!B:B)=-1, LOOKUP(A1684,characters!A:A,characters!B:B)+0.1&gt;=B1684),1,0)</f>
        <v/>
      </c>
    </row>
    <row r="1686" spans="1:9">
      <c r="A1686" s="3" t="s">
        <v>49</v>
      </c>
      <c r="B1686" s="3" t="s">
        <v>9</v>
      </c>
      <c r="C1686" s="3" t="s">
        <v>50</v>
      </c>
      <c r="D1686" s="3" t="s">
        <v>13</v>
      </c>
    </row>
    <row r="1687" spans="1:9">
      <c r="A1687" s="4" t="s">
        <v>22</v>
      </c>
      <c r="B1687" s="5" t="s">
        <v>23</v>
      </c>
      <c r="C1687" s="6">
        <f>IF(SUM(E1688:E1693)=0,0,SUM(C1688:C1693)/SUM(E1688:E1693))</f>
        <v/>
      </c>
      <c r="D1687" s="6">
        <f>IF(SUM(E1688:E1693)=0,0,SUM(D1688:D1693)/SUM(E1688:E1693))</f>
        <v/>
      </c>
    </row>
    <row r="1688" spans="1:9">
      <c r="A1688" s="4" t="s">
        <v>26</v>
      </c>
      <c r="B1688" s="7">
        <v>2</v>
      </c>
      <c r="C1688" s="6">
        <f>IF(E1688=1,1.0,0)</f>
        <v/>
      </c>
      <c r="D1688" s="6">
        <f>IF(E1688=1,0.9,0)</f>
        <v/>
      </c>
      <c r="E1688" s="8">
        <f>IF(OR(LOOKUP(A1688,characters!A:A,characters!B:B)=-1, LOOKUP(A1688,characters!A:A,characters!B:B)+0.1&gt;=B1688),1,0)</f>
        <v/>
      </c>
    </row>
    <row r="1689" spans="1:9">
      <c r="A1689" s="4" t="s">
        <v>33</v>
      </c>
      <c r="B1689" s="7">
        <v>0</v>
      </c>
      <c r="C1689" s="6">
        <f>IF(E1689=1,1.0,0)</f>
        <v/>
      </c>
      <c r="D1689" s="6">
        <f>IF(E1689=1,0.9,0)</f>
        <v/>
      </c>
      <c r="E1689" s="8">
        <f>IF(OR(LOOKUP(A1689,characters!A:A,characters!B:B)=-1, LOOKUP(A1689,characters!A:A,characters!B:B)+0.1&gt;=B1689),1,0)</f>
        <v/>
      </c>
    </row>
    <row r="1690" spans="1:9">
      <c r="A1690" s="4" t="s">
        <v>35</v>
      </c>
      <c r="B1690" s="7">
        <v>0</v>
      </c>
      <c r="C1690" s="6">
        <f>IF(E1690=1,1.0,0)</f>
        <v/>
      </c>
      <c r="D1690" s="5" t="s">
        <v>23</v>
      </c>
      <c r="E1690" s="8">
        <f>IF(OR(LOOKUP(A1690,characters!A:A,characters!B:B)=-1, LOOKUP(A1690,characters!A:A,characters!B:B)+0.1&gt;=B1690),1,0)</f>
        <v/>
      </c>
    </row>
    <row r="1691" spans="1:9">
      <c r="A1691" s="4" t="s">
        <v>36</v>
      </c>
      <c r="B1691" s="7">
        <v>2</v>
      </c>
      <c r="C1691" s="6">
        <f>IF(E1691=1,1.0,0)</f>
        <v/>
      </c>
      <c r="D1691" s="5" t="s">
        <v>23</v>
      </c>
      <c r="E1691" s="8">
        <f>IF(OR(LOOKUP(A1691,characters!A:A,characters!B:B)=-1, LOOKUP(A1691,characters!A:A,characters!B:B)+0.1&gt;=B1691),1,0)</f>
        <v/>
      </c>
    </row>
    <row r="1692" spans="1:9">
      <c r="A1692" s="4" t="s">
        <v>37</v>
      </c>
      <c r="B1692" s="7">
        <v>2</v>
      </c>
      <c r="C1692" s="6">
        <f>IF(E1692=1,1.0,0)</f>
        <v/>
      </c>
      <c r="D1692" s="6">
        <f>IF(E1692=1,0.9,0)</f>
        <v/>
      </c>
      <c r="E1692" s="8">
        <f>IF(OR(LOOKUP(A1692,characters!A:A,characters!B:B)=-1, LOOKUP(A1692,characters!A:A,characters!B:B)+0.1&gt;=B1692),1,0)</f>
        <v/>
      </c>
    </row>
    <row r="1693" spans="1:9">
      <c r="A1693" s="4" t="s">
        <v>39</v>
      </c>
      <c r="B1693" s="7">
        <v>2</v>
      </c>
      <c r="C1693" s="6">
        <f>IF(E1693=1,1.0,0)</f>
        <v/>
      </c>
      <c r="D1693" s="6">
        <f>IF(E1693=1,0.9,0)</f>
        <v/>
      </c>
      <c r="E1693" s="8">
        <f>IF(OR(LOOKUP(A1693,characters!A:A,characters!B:B)=-1, LOOKUP(A1693,characters!A:A,characters!B:B)+0.1&gt;=B1693),1,0)</f>
        <v/>
      </c>
    </row>
    <row r="1695" spans="1:9">
      <c r="A1695" s="3" t="s">
        <v>52</v>
      </c>
      <c r="B1695" s="3" t="s">
        <v>9</v>
      </c>
      <c r="C1695" s="3" t="s">
        <v>10</v>
      </c>
    </row>
    <row r="1696" spans="1:9">
      <c r="A1696" s="4" t="s">
        <v>22</v>
      </c>
      <c r="B1696" s="5" t="s">
        <v>23</v>
      </c>
      <c r="C1696" s="6">
        <f>IF(SUM(D1697:D1702)=0,0,SUM(C1697:C1702)/SUM(D1697:D1702))</f>
        <v/>
      </c>
    </row>
    <row r="1697" spans="1:8">
      <c r="A1697" s="4" t="s">
        <v>26</v>
      </c>
      <c r="B1697" s="7">
        <v>2</v>
      </c>
      <c r="C1697" s="6">
        <f>IF(D1697=1,1.0,0)</f>
        <v/>
      </c>
      <c r="D1697" s="8">
        <f>IF(OR(LOOKUP(A1697,characters!A:A,characters!B:B)=-1, LOOKUP(A1697,characters!A:A,characters!B:B)+0.1&gt;=B1697),1,0)</f>
        <v/>
      </c>
    </row>
    <row r="1698" spans="1:8">
      <c r="A1698" s="4" t="s">
        <v>33</v>
      </c>
      <c r="B1698" s="7">
        <v>0</v>
      </c>
      <c r="C1698" s="6">
        <f>IF(D1698=1,1.0,0)</f>
        <v/>
      </c>
      <c r="D1698" s="8">
        <f>IF(OR(LOOKUP(A1698,characters!A:A,characters!B:B)=-1, LOOKUP(A1698,characters!A:A,characters!B:B)+0.1&gt;=B1698),1,0)</f>
        <v/>
      </c>
    </row>
    <row r="1699" spans="1:8">
      <c r="A1699" s="4" t="s">
        <v>35</v>
      </c>
      <c r="B1699" s="7">
        <v>0</v>
      </c>
      <c r="C1699" s="6">
        <f>IF(D1699=1,1.0,0)</f>
        <v/>
      </c>
      <c r="D1699" s="8">
        <f>IF(OR(LOOKUP(A1699,characters!A:A,characters!B:B)=-1, LOOKUP(A1699,characters!A:A,characters!B:B)+0.1&gt;=B1699),1,0)</f>
        <v/>
      </c>
    </row>
    <row r="1700" spans="1:8">
      <c r="A1700" s="4" t="s">
        <v>36</v>
      </c>
      <c r="B1700" s="7">
        <v>2</v>
      </c>
      <c r="C1700" s="6">
        <f>IF(D1700=1,1.0,0)</f>
        <v/>
      </c>
      <c r="D1700" s="8">
        <f>IF(OR(LOOKUP(A1700,characters!A:A,characters!B:B)=-1, LOOKUP(A1700,characters!A:A,characters!B:B)+0.1&gt;=B1700),1,0)</f>
        <v/>
      </c>
    </row>
    <row r="1701" spans="1:8">
      <c r="A1701" s="4" t="s">
        <v>37</v>
      </c>
      <c r="B1701" s="7">
        <v>2</v>
      </c>
      <c r="C1701" s="6">
        <f>IF(D1701=1,1.0,0)</f>
        <v/>
      </c>
      <c r="D1701" s="8">
        <f>IF(OR(LOOKUP(A1701,characters!A:A,characters!B:B)=-1, LOOKUP(A1701,characters!A:A,characters!B:B)+0.1&gt;=B1701),1,0)</f>
        <v/>
      </c>
    </row>
    <row r="1702" spans="1:8">
      <c r="A1702" s="4" t="s">
        <v>39</v>
      </c>
      <c r="B1702" s="7">
        <v>2</v>
      </c>
      <c r="C1702" s="6">
        <f>IF(D1702=1,1.0,0)</f>
        <v/>
      </c>
      <c r="D1702" s="8">
        <f>IF(OR(LOOKUP(A1702,characters!A:A,characters!B:B)=-1, LOOKUP(A1702,characters!A:A,characters!B:B)+0.1&gt;=B1702),1,0)</f>
        <v/>
      </c>
    </row>
    <row r="1709" spans="1:8">
      <c r="A1709" s="3" t="s">
        <v>141</v>
      </c>
    </row>
    <row r="1710" spans="1:8">
      <c r="A1710" s="3" t="s">
        <v>8</v>
      </c>
      <c r="B1710" s="3" t="s">
        <v>9</v>
      </c>
      <c r="C1710" s="3" t="s">
        <v>18</v>
      </c>
      <c r="D1710" s="3" t="s">
        <v>10</v>
      </c>
      <c r="E1710" s="3" t="s">
        <v>13</v>
      </c>
      <c r="F1710" s="3" t="s">
        <v>12</v>
      </c>
      <c r="G1710" s="3" t="s">
        <v>11</v>
      </c>
    </row>
    <row r="1711" spans="1:8">
      <c r="A1711" s="4" t="s">
        <v>22</v>
      </c>
      <c r="B1711" s="5" t="s">
        <v>23</v>
      </c>
      <c r="C1711" s="6">
        <f>IF(SUM(H1712:H1713)=0,0,SUM(C1712:C1713)/SUM(H1712:H1713))</f>
        <v/>
      </c>
      <c r="D1711" s="6">
        <f>IF(SUM(H1712:H1713)=0,0,SUM(D1712:D1713)/SUM(H1712:H1713))</f>
        <v/>
      </c>
      <c r="E1711" s="6">
        <f>IF(SUM(H1712:H1713)=0,0,SUM(E1712:E1713)/SUM(H1712:H1713))</f>
        <v/>
      </c>
      <c r="F1711" s="6">
        <f>IF(SUM(H1712:H1713)=0,0,SUM(F1712:F1713)/SUM(H1712:H1713))</f>
        <v/>
      </c>
      <c r="G1711" s="6">
        <f>IF(SUM(H1712:H1713)=0,0,SUM(G1712:G1713)/SUM(H1712:H1713))</f>
        <v/>
      </c>
    </row>
    <row r="1712" spans="1:8">
      <c r="A1712" s="4" t="s">
        <v>42</v>
      </c>
      <c r="B1712" s="7">
        <v>0</v>
      </c>
      <c r="C1712" s="6">
        <f>IF(H1712=1,1.0,0)</f>
        <v/>
      </c>
      <c r="D1712" s="6">
        <f>IF(H1712=1,0.9,0)</f>
        <v/>
      </c>
      <c r="E1712" s="6">
        <f>IF(H1712=1,0.8,0)</f>
        <v/>
      </c>
      <c r="F1712" s="6">
        <f>IF(H1712=1,0.8,0)</f>
        <v/>
      </c>
      <c r="G1712" s="6">
        <f>IF(H1712=1,0.7,0)</f>
        <v/>
      </c>
      <c r="H1712" s="8">
        <f>IF(OR(LOOKUP(A1712,characters!A:A,characters!B:B)=-1, LOOKUP(A1712,characters!A:A,characters!B:B)+0.1&gt;=B1712),1,0)</f>
        <v/>
      </c>
    </row>
    <row r="1713" spans="1:8">
      <c r="A1713" s="4" t="s">
        <v>46</v>
      </c>
      <c r="B1713" s="7">
        <v>0</v>
      </c>
      <c r="C1713" s="6">
        <f>IF(H1713=1,1.0,0)</f>
        <v/>
      </c>
      <c r="D1713" s="6">
        <f>IF(H1713=1,1.0,0)</f>
        <v/>
      </c>
      <c r="E1713" s="6">
        <f>IF(H1713=1,0.9,0)</f>
        <v/>
      </c>
      <c r="F1713" s="6">
        <f>IF(H1713=1,0.9,0)</f>
        <v/>
      </c>
      <c r="G1713" s="5" t="s">
        <v>23</v>
      </c>
      <c r="H1713" s="8">
        <f>IF(OR(LOOKUP(A1713,characters!A:A,characters!B:B)=-1, LOOKUP(A1713,characters!A:A,characters!B:B)+0.1&gt;=B1713),1,0)</f>
        <v/>
      </c>
    </row>
    <row r="1715" spans="1:8">
      <c r="A1715" s="3" t="s">
        <v>49</v>
      </c>
      <c r="B1715" s="3" t="s">
        <v>9</v>
      </c>
      <c r="C1715" s="3" t="s">
        <v>13</v>
      </c>
      <c r="D1715" s="3" t="s">
        <v>12</v>
      </c>
    </row>
    <row r="1716" spans="1:8">
      <c r="A1716" s="4" t="s">
        <v>22</v>
      </c>
      <c r="B1716" s="5" t="s">
        <v>23</v>
      </c>
      <c r="C1716" s="6">
        <f>IF(SUM(E1717:E1718)=0,0,SUM(C1717:C1718)/SUM(E1717:E1718))</f>
        <v/>
      </c>
      <c r="D1716" s="6">
        <f>IF(SUM(E1717:E1718)=0,0,SUM(D1717:D1718)/SUM(E1717:E1718))</f>
        <v/>
      </c>
    </row>
    <row r="1717" spans="1:8">
      <c r="A1717" s="4" t="s">
        <v>42</v>
      </c>
      <c r="B1717" s="7">
        <v>0</v>
      </c>
      <c r="C1717" s="6">
        <f>IF(E1717=1,1.0,0)</f>
        <v/>
      </c>
      <c r="D1717" s="6">
        <f>IF(E1717=1,0.9,0)</f>
        <v/>
      </c>
      <c r="E1717" s="8">
        <f>IF(OR(LOOKUP(A1717,characters!A:A,characters!B:B)=-1, LOOKUP(A1717,characters!A:A,characters!B:B)+0.1&gt;=B1717),1,0)</f>
        <v/>
      </c>
    </row>
    <row r="1718" spans="1:8">
      <c r="A1718" s="4" t="s">
        <v>46</v>
      </c>
      <c r="B1718" s="7">
        <v>0</v>
      </c>
      <c r="C1718" s="6">
        <f>IF(E1718=1,1.0,0)</f>
        <v/>
      </c>
      <c r="D1718" s="6">
        <f>IF(E1718=1,0.9,0)</f>
        <v/>
      </c>
      <c r="E1718" s="8">
        <f>IF(OR(LOOKUP(A1718,characters!A:A,characters!B:B)=-1, LOOKUP(A1718,characters!A:A,characters!B:B)+0.1&gt;=B1718),1,0)</f>
        <v/>
      </c>
    </row>
    <row r="1720" spans="1:8">
      <c r="A1720" s="3" t="s">
        <v>52</v>
      </c>
      <c r="B1720" s="3" t="s">
        <v>9</v>
      </c>
      <c r="C1720" s="3" t="s">
        <v>10</v>
      </c>
    </row>
    <row r="1721" spans="1:8">
      <c r="A1721" s="4" t="s">
        <v>22</v>
      </c>
      <c r="B1721" s="5" t="s">
        <v>23</v>
      </c>
      <c r="C1721" s="6">
        <f>IF(SUM(D1722:D1723)=0,0,SUM(C1722:C1723)/SUM(D1722:D1723))</f>
        <v/>
      </c>
    </row>
    <row r="1722" spans="1:8">
      <c r="A1722" s="4" t="s">
        <v>42</v>
      </c>
      <c r="B1722" s="7">
        <v>0</v>
      </c>
      <c r="C1722" s="6">
        <f>IF(D1722=1,1.0,0)</f>
        <v/>
      </c>
      <c r="D1722" s="8">
        <f>IF(OR(LOOKUP(A1722,characters!A:A,characters!B:B)=-1, LOOKUP(A1722,characters!A:A,characters!B:B)+0.1&gt;=B1722),1,0)</f>
        <v/>
      </c>
    </row>
    <row r="1723" spans="1:8">
      <c r="A1723" s="4" t="s">
        <v>46</v>
      </c>
      <c r="B1723" s="7">
        <v>0</v>
      </c>
      <c r="C1723" s="6">
        <f>IF(D1723=1,1.0,0)</f>
        <v/>
      </c>
      <c r="D1723" s="8">
        <f>IF(OR(LOOKUP(A1723,characters!A:A,characters!B:B)=-1, LOOKUP(A1723,characters!A:A,characters!B:B)+0.1&gt;=B1723),1,0)</f>
        <v/>
      </c>
    </row>
    <row r="1730" spans="1:8">
      <c r="A1730" s="3" t="s">
        <v>142</v>
      </c>
    </row>
    <row r="1731" spans="1:8">
      <c r="A1731" s="3" t="s">
        <v>8</v>
      </c>
      <c r="B1731" s="3" t="s">
        <v>9</v>
      </c>
      <c r="C1731" s="3" t="s">
        <v>10</v>
      </c>
      <c r="D1731" s="3" t="s">
        <v>19</v>
      </c>
      <c r="E1731" s="3" t="s">
        <v>14</v>
      </c>
      <c r="F1731" s="3" t="s">
        <v>15</v>
      </c>
      <c r="G1731" s="3" t="s">
        <v>11</v>
      </c>
    </row>
    <row r="1732" spans="1:8">
      <c r="A1732" s="4" t="s">
        <v>22</v>
      </c>
      <c r="B1732" s="5" t="s">
        <v>23</v>
      </c>
      <c r="C1732" s="6">
        <f>IF(SUM(H1733:H1734)=0,0,SUM(C1733:C1734)/SUM(H1733:H1734))</f>
        <v/>
      </c>
      <c r="D1732" s="6">
        <f>IF(SUM(H1733:H1734)=0,0,SUM(D1733:D1734)/SUM(H1733:H1734))</f>
        <v/>
      </c>
      <c r="E1732" s="6">
        <f>IF(SUM(H1733:H1734)=0,0,SUM(E1733:E1734)/SUM(H1733:H1734))</f>
        <v/>
      </c>
      <c r="F1732" s="6">
        <f>IF(SUM(H1733:H1734)=0,0,SUM(F1733:F1734)/SUM(H1733:H1734))</f>
        <v/>
      </c>
      <c r="G1732" s="6">
        <f>IF(SUM(H1733:H1734)=0,0,SUM(G1733:G1734)/SUM(H1733:H1734))</f>
        <v/>
      </c>
    </row>
    <row r="1733" spans="1:8">
      <c r="A1733" s="4" t="s">
        <v>27</v>
      </c>
      <c r="B1733" s="7">
        <v>1</v>
      </c>
      <c r="C1733" s="6">
        <f>IF(H1733=1,1.0,0)</f>
        <v/>
      </c>
      <c r="D1733" s="6">
        <f>IF(H1733=1,0.9,0)</f>
        <v/>
      </c>
      <c r="E1733" s="6">
        <f>IF(H1733=1,0.8,0)</f>
        <v/>
      </c>
      <c r="F1733" s="6">
        <f>IF(H1733=1,0.8,0)</f>
        <v/>
      </c>
      <c r="G1733" s="6">
        <f>IF(H1733=1,0.7,0)</f>
        <v/>
      </c>
      <c r="H1733" s="8">
        <f>IF(OR(LOOKUP(A1733,characters!A:A,characters!B:B)=-1, LOOKUP(A1733,characters!A:A,characters!B:B)+0.1&gt;=B1733),1,0)</f>
        <v/>
      </c>
    </row>
    <row r="1734" spans="1:8">
      <c r="A1734" s="4" t="s">
        <v>44</v>
      </c>
      <c r="B1734" s="7">
        <v>2</v>
      </c>
      <c r="C1734" s="6">
        <f>IF(H1734=1,1.0,0)</f>
        <v/>
      </c>
      <c r="D1734" s="6">
        <f>IF(H1734=1,0.9,0)</f>
        <v/>
      </c>
      <c r="E1734" s="6">
        <f>IF(H1734=1,0.8,0)</f>
        <v/>
      </c>
      <c r="F1734" s="6">
        <f>IF(H1734=1,0.8,0)</f>
        <v/>
      </c>
      <c r="G1734" s="6">
        <f>IF(H1734=1,0.8,0)</f>
        <v/>
      </c>
      <c r="H1734" s="8">
        <f>IF(OR(LOOKUP(A1734,characters!A:A,characters!B:B)=-1, LOOKUP(A1734,characters!A:A,characters!B:B)+0.1&gt;=B1734),1,0)</f>
        <v/>
      </c>
    </row>
    <row r="1736" spans="1:8">
      <c r="A1736" s="3" t="s">
        <v>49</v>
      </c>
      <c r="B1736" s="3" t="s">
        <v>9</v>
      </c>
      <c r="C1736" s="3" t="s">
        <v>19</v>
      </c>
    </row>
    <row r="1737" spans="1:8">
      <c r="A1737" s="4" t="s">
        <v>22</v>
      </c>
      <c r="B1737" s="5" t="s">
        <v>23</v>
      </c>
      <c r="C1737" s="6">
        <f>IF(SUM(D1738:D1739)=0,0,SUM(C1738:C1739)/SUM(D1738:D1739))</f>
        <v/>
      </c>
    </row>
    <row r="1738" spans="1:8">
      <c r="A1738" s="4" t="s">
        <v>27</v>
      </c>
      <c r="B1738" s="7">
        <v>1</v>
      </c>
      <c r="C1738" s="6">
        <f>IF(D1738=1,1.0,0)</f>
        <v/>
      </c>
      <c r="D1738" s="8">
        <f>IF(OR(LOOKUP(A1738,characters!A:A,characters!B:B)=-1, LOOKUP(A1738,characters!A:A,characters!B:B)+0.1&gt;=B1738),1,0)</f>
        <v/>
      </c>
    </row>
    <row r="1739" spans="1:8">
      <c r="A1739" s="4" t="s">
        <v>44</v>
      </c>
      <c r="B1739" s="7">
        <v>2</v>
      </c>
      <c r="C1739" s="6">
        <f>IF(D1739=1,1.0,0)</f>
        <v/>
      </c>
      <c r="D1739" s="8">
        <f>IF(OR(LOOKUP(A1739,characters!A:A,characters!B:B)=-1, LOOKUP(A1739,characters!A:A,characters!B:B)+0.1&gt;=B1739),1,0)</f>
        <v/>
      </c>
    </row>
    <row r="1741" spans="1:8">
      <c r="A1741" s="3" t="s">
        <v>52</v>
      </c>
      <c r="B1741" s="3" t="s">
        <v>9</v>
      </c>
      <c r="C1741" s="3" t="s">
        <v>10</v>
      </c>
    </row>
    <row r="1742" spans="1:8">
      <c r="A1742" s="4" t="s">
        <v>22</v>
      </c>
      <c r="B1742" s="5" t="s">
        <v>23</v>
      </c>
      <c r="C1742" s="6">
        <f>IF(SUM(D1743:D1744)=0,0,SUM(C1743:C1744)/SUM(D1743:D1744))</f>
        <v/>
      </c>
    </row>
    <row r="1743" spans="1:8">
      <c r="A1743" s="4" t="s">
        <v>27</v>
      </c>
      <c r="B1743" s="7">
        <v>1</v>
      </c>
      <c r="C1743" s="6">
        <f>IF(D1743=1,1.0,0)</f>
        <v/>
      </c>
      <c r="D1743" s="8">
        <f>IF(OR(LOOKUP(A1743,characters!A:A,characters!B:B)=-1, LOOKUP(A1743,characters!A:A,characters!B:B)+0.1&gt;=B1743),1,0)</f>
        <v/>
      </c>
    </row>
    <row r="1744" spans="1:8">
      <c r="A1744" s="4" t="s">
        <v>44</v>
      </c>
      <c r="B1744" s="7">
        <v>2</v>
      </c>
      <c r="C1744" s="6">
        <f>IF(D1744=1,1.0,0)</f>
        <v/>
      </c>
      <c r="D1744" s="8">
        <f>IF(OR(LOOKUP(A1744,characters!A:A,characters!B:B)=-1, LOOKUP(A1744,characters!A:A,characters!B:B)+0.1&gt;=B1744),1,0)</f>
        <v/>
      </c>
    </row>
    <row r="1751" spans="1:9">
      <c r="A1751" s="3" t="s">
        <v>143</v>
      </c>
    </row>
    <row r="1752" spans="1:9">
      <c r="A1752" s="3" t="s">
        <v>8</v>
      </c>
      <c r="B1752" s="3" t="s">
        <v>9</v>
      </c>
      <c r="C1752" s="3" t="s">
        <v>10</v>
      </c>
      <c r="D1752" s="3" t="s">
        <v>13</v>
      </c>
      <c r="E1752" s="3" t="s">
        <v>11</v>
      </c>
      <c r="F1752" s="3" t="s">
        <v>12</v>
      </c>
      <c r="G1752" s="3" t="s">
        <v>18</v>
      </c>
      <c r="H1752" s="3" t="s">
        <v>17</v>
      </c>
    </row>
    <row r="1753" spans="1:9">
      <c r="A1753" s="4" t="s">
        <v>22</v>
      </c>
      <c r="B1753" s="5" t="s">
        <v>23</v>
      </c>
      <c r="C1753" s="6">
        <f>IF(SUM(I1754:I1758)=0,0,SUM(C1754:C1758)/SUM(I1754:I1758))</f>
        <v/>
      </c>
      <c r="D1753" s="6">
        <f>IF(SUM(I1754:I1758)=0,0,SUM(D1754:D1758)/SUM(I1754:I1758))</f>
        <v/>
      </c>
      <c r="E1753" s="6">
        <f>IF(SUM(I1754:I1758)=0,0,SUM(E1754:E1758)/SUM(I1754:I1758))</f>
        <v/>
      </c>
      <c r="F1753" s="6">
        <f>IF(SUM(I1754:I1758)=0,0,SUM(F1754:F1758)/SUM(I1754:I1758))</f>
        <v/>
      </c>
      <c r="G1753" s="6">
        <f>IF(SUM(I1754:I1758)=0,0,SUM(G1754:G1758)/SUM(I1754:I1758))</f>
        <v/>
      </c>
      <c r="H1753" s="6">
        <f>IF(SUM(I1754:I1758)=0,0,SUM(H1754:H1758)/SUM(I1754:I1758))</f>
        <v/>
      </c>
    </row>
    <row r="1754" spans="1:9">
      <c r="A1754" s="4" t="s">
        <v>36</v>
      </c>
      <c r="B1754" s="7">
        <v>1</v>
      </c>
      <c r="C1754" s="6">
        <f>IF(I1754=1,1.0,0)</f>
        <v/>
      </c>
      <c r="D1754" s="6">
        <f>IF(I1754=1,0.8,0)</f>
        <v/>
      </c>
      <c r="E1754" s="6">
        <f>IF(I1754=1,0.7,0)</f>
        <v/>
      </c>
      <c r="F1754" s="6">
        <f>IF(I1754=1,0.8,0)</f>
        <v/>
      </c>
      <c r="G1754" s="5" t="s">
        <v>23</v>
      </c>
      <c r="H1754" s="6">
        <f>IF(I1754=1,0.9,0)</f>
        <v/>
      </c>
      <c r="I1754" s="8">
        <f>IF(OR(LOOKUP(A1754,characters!A:A,characters!B:B)=-1, LOOKUP(A1754,characters!A:A,characters!B:B)+0.1&gt;=B1754),1,0)</f>
        <v/>
      </c>
    </row>
    <row r="1755" spans="1:9">
      <c r="A1755" s="4" t="s">
        <v>29</v>
      </c>
      <c r="B1755" s="7">
        <v>2</v>
      </c>
      <c r="C1755" s="6">
        <f>IF(I1755=1,1.0,0)</f>
        <v/>
      </c>
      <c r="D1755" s="6">
        <f>IF(I1755=1,0.7,0)</f>
        <v/>
      </c>
      <c r="E1755" s="6">
        <f>IF(I1755=1,0.8,0)</f>
        <v/>
      </c>
      <c r="F1755" s="6">
        <f>IF(I1755=1,0.7,0)</f>
        <v/>
      </c>
      <c r="G1755" s="6">
        <f>IF(I1755=1,0.9,0)</f>
        <v/>
      </c>
      <c r="H1755" s="5" t="s">
        <v>23</v>
      </c>
      <c r="I1755" s="8">
        <f>IF(OR(LOOKUP(A1755,characters!A:A,characters!B:B)=-1, LOOKUP(A1755,characters!A:A,characters!B:B)+0.1&gt;=B1755),1,0)</f>
        <v/>
      </c>
    </row>
    <row r="1756" spans="1:9">
      <c r="A1756" s="4" t="s">
        <v>26</v>
      </c>
      <c r="B1756" s="7">
        <v>3</v>
      </c>
      <c r="C1756" s="6">
        <f>IF(I1756=1,1.0,0)</f>
        <v/>
      </c>
      <c r="D1756" s="6">
        <f>IF(I1756=1,0.9,0)</f>
        <v/>
      </c>
      <c r="E1756" s="6">
        <f>IF(I1756=1,0.8,0)</f>
        <v/>
      </c>
      <c r="F1756" s="6">
        <f>IF(I1756=1,0.8,0)</f>
        <v/>
      </c>
      <c r="G1756" s="5" t="s">
        <v>23</v>
      </c>
      <c r="H1756" s="5" t="s">
        <v>23</v>
      </c>
      <c r="I1756" s="8">
        <f>IF(OR(LOOKUP(A1756,characters!A:A,characters!B:B)=-1, LOOKUP(A1756,characters!A:A,characters!B:B)+0.1&gt;=B1756),1,0)</f>
        <v/>
      </c>
    </row>
    <row r="1757" spans="1:9">
      <c r="A1757" s="4" t="s">
        <v>37</v>
      </c>
      <c r="B1757" s="7">
        <v>3</v>
      </c>
      <c r="C1757" s="6">
        <f>IF(I1757=1,1.0,0)</f>
        <v/>
      </c>
      <c r="D1757" s="6">
        <f>IF(I1757=1,0.9,0)</f>
        <v/>
      </c>
      <c r="E1757" s="6">
        <f>IF(I1757=1,0.8,0)</f>
        <v/>
      </c>
      <c r="F1757" s="6">
        <f>IF(I1757=1,0.7,0)</f>
        <v/>
      </c>
      <c r="G1757" s="5" t="s">
        <v>23</v>
      </c>
      <c r="H1757" s="5" t="s">
        <v>23</v>
      </c>
      <c r="I1757" s="8">
        <f>IF(OR(LOOKUP(A1757,characters!A:A,characters!B:B)=-1, LOOKUP(A1757,characters!A:A,characters!B:B)+0.1&gt;=B1757),1,0)</f>
        <v/>
      </c>
    </row>
    <row r="1758" spans="1:9">
      <c r="A1758" s="4" t="s">
        <v>39</v>
      </c>
      <c r="B1758" s="7">
        <v>3</v>
      </c>
      <c r="C1758" s="6">
        <f>IF(I1758=1,1.0,0)</f>
        <v/>
      </c>
      <c r="D1758" s="6">
        <f>IF(I1758=1,0.9,0)</f>
        <v/>
      </c>
      <c r="E1758" s="6">
        <f>IF(I1758=1,0.8,0)</f>
        <v/>
      </c>
      <c r="F1758" s="6">
        <f>IF(I1758=1,0.8,0)</f>
        <v/>
      </c>
      <c r="G1758" s="5" t="s">
        <v>23</v>
      </c>
      <c r="H1758" s="5" t="s">
        <v>23</v>
      </c>
      <c r="I1758" s="8">
        <f>IF(OR(LOOKUP(A1758,characters!A:A,characters!B:B)=-1, LOOKUP(A1758,characters!A:A,characters!B:B)+0.1&gt;=B1758),1,0)</f>
        <v/>
      </c>
    </row>
    <row r="1760" spans="1:9">
      <c r="A1760" s="3" t="s">
        <v>49</v>
      </c>
      <c r="B1760" s="3" t="s">
        <v>9</v>
      </c>
      <c r="C1760" s="3" t="s">
        <v>50</v>
      </c>
      <c r="D1760" s="3" t="s">
        <v>13</v>
      </c>
    </row>
    <row r="1761" spans="1:5">
      <c r="A1761" s="4" t="s">
        <v>22</v>
      </c>
      <c r="B1761" s="5" t="s">
        <v>23</v>
      </c>
      <c r="C1761" s="6">
        <f>IF(SUM(E1762:E1766)=0,0,SUM(C1762:C1766)/SUM(E1762:E1766))</f>
        <v/>
      </c>
      <c r="D1761" s="6">
        <f>IF(SUM(E1762:E1766)=0,0,SUM(D1762:D1766)/SUM(E1762:E1766))</f>
        <v/>
      </c>
    </row>
    <row r="1762" spans="1:5">
      <c r="A1762" s="4" t="s">
        <v>26</v>
      </c>
      <c r="B1762" s="7">
        <v>3</v>
      </c>
      <c r="C1762" s="6">
        <f>IF(E1762=1,1.0,0)</f>
        <v/>
      </c>
      <c r="D1762" s="6">
        <f>IF(E1762=1,0.9,0)</f>
        <v/>
      </c>
      <c r="E1762" s="8">
        <f>IF(OR(LOOKUP(A1762,characters!A:A,characters!B:B)=-1, LOOKUP(A1762,characters!A:A,characters!B:B)+0.1&gt;=B1762),1,0)</f>
        <v/>
      </c>
    </row>
    <row r="1763" spans="1:5">
      <c r="A1763" s="4" t="s">
        <v>29</v>
      </c>
      <c r="B1763" s="7">
        <v>2</v>
      </c>
      <c r="C1763" s="6">
        <f>IF(E1763=1,1.0,0)</f>
        <v/>
      </c>
      <c r="D1763" s="5" t="s">
        <v>23</v>
      </c>
      <c r="E1763" s="8">
        <f>IF(OR(LOOKUP(A1763,characters!A:A,characters!B:B)=-1, LOOKUP(A1763,characters!A:A,characters!B:B)+0.1&gt;=B1763),1,0)</f>
        <v/>
      </c>
    </row>
    <row r="1764" spans="1:5">
      <c r="A1764" s="4" t="s">
        <v>36</v>
      </c>
      <c r="B1764" s="7">
        <v>1</v>
      </c>
      <c r="C1764" s="6">
        <f>IF(E1764=1,1.0,0)</f>
        <v/>
      </c>
      <c r="D1764" s="5" t="s">
        <v>23</v>
      </c>
      <c r="E1764" s="8">
        <f>IF(OR(LOOKUP(A1764,characters!A:A,characters!B:B)=-1, LOOKUP(A1764,characters!A:A,characters!B:B)+0.1&gt;=B1764),1,0)</f>
        <v/>
      </c>
    </row>
    <row r="1765" spans="1:5">
      <c r="A1765" s="4" t="s">
        <v>37</v>
      </c>
      <c r="B1765" s="7">
        <v>3</v>
      </c>
      <c r="C1765" s="6">
        <f>IF(E1765=1,1.0,0)</f>
        <v/>
      </c>
      <c r="D1765" s="6">
        <f>IF(E1765=1,0.9,0)</f>
        <v/>
      </c>
      <c r="E1765" s="8">
        <f>IF(OR(LOOKUP(A1765,characters!A:A,characters!B:B)=-1, LOOKUP(A1765,characters!A:A,characters!B:B)+0.1&gt;=B1765),1,0)</f>
        <v/>
      </c>
    </row>
    <row r="1766" spans="1:5">
      <c r="A1766" s="4" t="s">
        <v>39</v>
      </c>
      <c r="B1766" s="7">
        <v>3</v>
      </c>
      <c r="C1766" s="6">
        <f>IF(E1766=1,1.0,0)</f>
        <v/>
      </c>
      <c r="D1766" s="6">
        <f>IF(E1766=1,0.9,0)</f>
        <v/>
      </c>
      <c r="E1766" s="8">
        <f>IF(OR(LOOKUP(A1766,characters!A:A,characters!B:B)=-1, LOOKUP(A1766,characters!A:A,characters!B:B)+0.1&gt;=B1766),1,0)</f>
        <v/>
      </c>
    </row>
    <row r="1768" spans="1:5">
      <c r="A1768" s="3" t="s">
        <v>52</v>
      </c>
      <c r="B1768" s="3" t="s">
        <v>9</v>
      </c>
      <c r="C1768" s="3" t="s">
        <v>10</v>
      </c>
    </row>
    <row r="1769" spans="1:5">
      <c r="A1769" s="4" t="s">
        <v>22</v>
      </c>
      <c r="B1769" s="5" t="s">
        <v>23</v>
      </c>
      <c r="C1769" s="6">
        <f>IF(SUM(D1770:D1774)=0,0,SUM(C1770:C1774)/SUM(D1770:D1774))</f>
        <v/>
      </c>
    </row>
    <row r="1770" spans="1:5">
      <c r="A1770" s="4" t="s">
        <v>26</v>
      </c>
      <c r="B1770" s="7">
        <v>3</v>
      </c>
      <c r="C1770" s="6">
        <f>IF(D1770=1,1.0,0)</f>
        <v/>
      </c>
      <c r="D1770" s="8">
        <f>IF(OR(LOOKUP(A1770,characters!A:A,characters!B:B)=-1, LOOKUP(A1770,characters!A:A,characters!B:B)+0.1&gt;=B1770),1,0)</f>
        <v/>
      </c>
    </row>
    <row r="1771" spans="1:5">
      <c r="A1771" s="4" t="s">
        <v>29</v>
      </c>
      <c r="B1771" s="7">
        <v>2</v>
      </c>
      <c r="C1771" s="6">
        <f>IF(D1771=1,1.0,0)</f>
        <v/>
      </c>
      <c r="D1771" s="8">
        <f>IF(OR(LOOKUP(A1771,characters!A:A,characters!B:B)=-1, LOOKUP(A1771,characters!A:A,characters!B:B)+0.1&gt;=B1771),1,0)</f>
        <v/>
      </c>
    </row>
    <row r="1772" spans="1:5">
      <c r="A1772" s="4" t="s">
        <v>36</v>
      </c>
      <c r="B1772" s="7">
        <v>1</v>
      </c>
      <c r="C1772" s="6">
        <f>IF(D1772=1,1.0,0)</f>
        <v/>
      </c>
      <c r="D1772" s="8">
        <f>IF(OR(LOOKUP(A1772,characters!A:A,characters!B:B)=-1, LOOKUP(A1772,characters!A:A,characters!B:B)+0.1&gt;=B1772),1,0)</f>
        <v/>
      </c>
    </row>
    <row r="1773" spans="1:5">
      <c r="A1773" s="4" t="s">
        <v>37</v>
      </c>
      <c r="B1773" s="7">
        <v>3</v>
      </c>
      <c r="C1773" s="6">
        <f>IF(D1773=1,1.0,0)</f>
        <v/>
      </c>
      <c r="D1773" s="8">
        <f>IF(OR(LOOKUP(A1773,characters!A:A,characters!B:B)=-1, LOOKUP(A1773,characters!A:A,characters!B:B)+0.1&gt;=B1773),1,0)</f>
        <v/>
      </c>
    </row>
    <row r="1774" spans="1:5">
      <c r="A1774" s="4" t="s">
        <v>39</v>
      </c>
      <c r="B1774" s="7">
        <v>3</v>
      </c>
      <c r="C1774" s="6">
        <f>IF(D1774=1,1.0,0)</f>
        <v/>
      </c>
      <c r="D1774" s="8">
        <f>IF(OR(LOOKUP(A1774,characters!A:A,characters!B:B)=-1, LOOKUP(A1774,characters!A:A,characters!B:B)+0.1&gt;=B1774),1,0)</f>
        <v/>
      </c>
    </row>
    <row r="1781" spans="1:11">
      <c r="A1781" s="3" t="s">
        <v>144</v>
      </c>
    </row>
    <row r="1782" spans="1:11">
      <c r="A1782" s="3" t="s">
        <v>8</v>
      </c>
      <c r="B1782" s="3" t="s">
        <v>9</v>
      </c>
      <c r="C1782" s="3" t="s">
        <v>10</v>
      </c>
      <c r="D1782" s="3" t="s">
        <v>17</v>
      </c>
      <c r="E1782" s="3" t="s">
        <v>19</v>
      </c>
      <c r="F1782" s="3" t="s">
        <v>21</v>
      </c>
      <c r="G1782" s="3" t="s">
        <v>16</v>
      </c>
      <c r="H1782" s="3" t="s">
        <v>18</v>
      </c>
      <c r="I1782" s="3" t="s">
        <v>12</v>
      </c>
      <c r="J1782" s="3" t="s">
        <v>11</v>
      </c>
    </row>
    <row r="1783" spans="1:11">
      <c r="A1783" s="4" t="s">
        <v>22</v>
      </c>
      <c r="B1783" s="5" t="s">
        <v>23</v>
      </c>
      <c r="C1783" s="6">
        <f>IF(SUM(K1784:K1799)=0,0,SUM(C1784:C1799)/SUM(K1784:K1799))</f>
        <v/>
      </c>
      <c r="D1783" s="6">
        <f>IF(SUM(K1784:K1799)=0,0,SUM(D1784:D1799)/SUM(K1784:K1799))</f>
        <v/>
      </c>
      <c r="E1783" s="6">
        <f>IF(SUM(K1784:K1799)=0,0,SUM(E1784:E1799)/SUM(K1784:K1799))</f>
        <v/>
      </c>
      <c r="F1783" s="6">
        <f>IF(SUM(K1784:K1799)=0,0,SUM(F1784:F1799)/SUM(K1784:K1799))</f>
        <v/>
      </c>
      <c r="G1783" s="6">
        <f>IF(SUM(K1784:K1799)=0,0,SUM(G1784:G1799)/SUM(K1784:K1799))</f>
        <v/>
      </c>
      <c r="H1783" s="6">
        <f>IF(SUM(K1784:K1799)=0,0,SUM(H1784:H1799)/SUM(K1784:K1799))</f>
        <v/>
      </c>
      <c r="I1783" s="6">
        <f>IF(SUM(K1784:K1799)=0,0,SUM(I1784:I1799)/SUM(K1784:K1799))</f>
        <v/>
      </c>
      <c r="J1783" s="6">
        <f>IF(SUM(K1784:K1799)=0,0,SUM(J1784:J1799)/SUM(K1784:K1799))</f>
        <v/>
      </c>
    </row>
    <row r="1784" spans="1:11">
      <c r="A1784" s="4" t="s">
        <v>61</v>
      </c>
      <c r="B1784" s="7">
        <v>0</v>
      </c>
      <c r="C1784" s="6">
        <f>IF(K1784=1,1.0,0)</f>
        <v/>
      </c>
      <c r="D1784" s="6">
        <f>IF(K1784=1,0.8,0)</f>
        <v/>
      </c>
      <c r="E1784" s="6">
        <f>IF(K1784=1,0.9,0)</f>
        <v/>
      </c>
      <c r="F1784" s="6">
        <f>IF(K1784=1,0.9,0)</f>
        <v/>
      </c>
      <c r="G1784" s="5" t="s">
        <v>23</v>
      </c>
      <c r="H1784" s="5" t="s">
        <v>23</v>
      </c>
      <c r="I1784" s="5" t="s">
        <v>23</v>
      </c>
      <c r="J1784" s="5" t="s">
        <v>23</v>
      </c>
      <c r="K1784" s="8">
        <f>IF(OR(LOOKUP(A1784,characters!A:A,characters!B:B)=-1, LOOKUP(A1784,characters!A:A,characters!B:B)+0.1&gt;=B1784),1,0)</f>
        <v/>
      </c>
    </row>
    <row r="1785" spans="1:11">
      <c r="A1785" s="4" t="s">
        <v>25</v>
      </c>
      <c r="B1785" s="7">
        <v>0</v>
      </c>
      <c r="C1785" s="6">
        <f>IF(K1785=1,0.99,0)</f>
        <v/>
      </c>
      <c r="D1785" s="5" t="s">
        <v>23</v>
      </c>
      <c r="E1785" s="6">
        <f>IF(K1785=1,0.89,0)</f>
        <v/>
      </c>
      <c r="F1785" s="6">
        <f>IF(K1785=1,0.79,0)</f>
        <v/>
      </c>
      <c r="G1785" s="5" t="s">
        <v>23</v>
      </c>
      <c r="H1785" s="5" t="s">
        <v>23</v>
      </c>
      <c r="I1785" s="6">
        <f>IF(K1785=1,1.0,0)</f>
        <v/>
      </c>
      <c r="J1785" s="6">
        <f>IF(K1785=1,0.69,0)</f>
        <v/>
      </c>
      <c r="K1785" s="8">
        <f>IF(OR(LOOKUP(A1785,characters!A:A,characters!B:B)=-1, LOOKUP(A1785,characters!A:A,characters!B:B)+0.1&gt;=B1785),1,0)</f>
        <v/>
      </c>
    </row>
    <row r="1786" spans="1:11">
      <c r="A1786" s="4" t="s">
        <v>104</v>
      </c>
      <c r="B1786" s="7">
        <v>0</v>
      </c>
      <c r="C1786" s="6">
        <f>IF(K1786=1,1.0,0)</f>
        <v/>
      </c>
      <c r="D1786" s="6">
        <f>IF(K1786=1,0.9,0)</f>
        <v/>
      </c>
      <c r="E1786" s="6">
        <f>IF(K1786=1,1.0,0)</f>
        <v/>
      </c>
      <c r="F1786" s="6">
        <f>IF(K1786=1,1.0,0)</f>
        <v/>
      </c>
      <c r="G1786" s="5" t="s">
        <v>23</v>
      </c>
      <c r="H1786" s="5" t="s">
        <v>23</v>
      </c>
      <c r="I1786" s="5" t="s">
        <v>23</v>
      </c>
      <c r="J1786" s="5" t="s">
        <v>23</v>
      </c>
      <c r="K1786" s="8">
        <f>IF(OR(LOOKUP(A1786,characters!A:A,characters!B:B)=-1, LOOKUP(A1786,characters!A:A,characters!B:B)+0.1&gt;=B1786),1,0)</f>
        <v/>
      </c>
    </row>
    <row r="1787" spans="1:11">
      <c r="A1787" s="4" t="s">
        <v>81</v>
      </c>
      <c r="B1787" s="7">
        <v>0</v>
      </c>
      <c r="C1787" s="6">
        <f>IF(K1787=1,1.0,0)</f>
        <v/>
      </c>
      <c r="D1787" s="6">
        <f>IF(K1787=1,0.8,0)</f>
        <v/>
      </c>
      <c r="E1787" s="6">
        <f>IF(K1787=1,0.9,0)</f>
        <v/>
      </c>
      <c r="F1787" s="6">
        <f>IF(K1787=1,0.9,0)</f>
        <v/>
      </c>
      <c r="G1787" s="5" t="s">
        <v>23</v>
      </c>
      <c r="H1787" s="5" t="s">
        <v>23</v>
      </c>
      <c r="I1787" s="5" t="s">
        <v>23</v>
      </c>
      <c r="J1787" s="5" t="s">
        <v>23</v>
      </c>
      <c r="K1787" s="8">
        <f>IF(OR(LOOKUP(A1787,characters!A:A,characters!B:B)=-1, LOOKUP(A1787,characters!A:A,characters!B:B)+0.1&gt;=B1787),1,0)</f>
        <v/>
      </c>
    </row>
    <row r="1788" spans="1:11">
      <c r="A1788" s="4" t="s">
        <v>101</v>
      </c>
      <c r="B1788" s="7">
        <v>0</v>
      </c>
      <c r="C1788" s="6">
        <f>IF(K1788=1,1.0,0)</f>
        <v/>
      </c>
      <c r="D1788" s="6">
        <f>IF(K1788=1,0.8,0)</f>
        <v/>
      </c>
      <c r="E1788" s="6">
        <f>IF(K1788=1,0.9,0)</f>
        <v/>
      </c>
      <c r="F1788" s="6">
        <f>IF(K1788=1,0.9,0)</f>
        <v/>
      </c>
      <c r="G1788" s="5" t="s">
        <v>23</v>
      </c>
      <c r="H1788" s="5" t="s">
        <v>23</v>
      </c>
      <c r="I1788" s="5" t="s">
        <v>23</v>
      </c>
      <c r="J1788" s="5" t="s">
        <v>23</v>
      </c>
      <c r="K1788" s="8">
        <f>IF(OR(LOOKUP(A1788,characters!A:A,characters!B:B)=-1, LOOKUP(A1788,characters!A:A,characters!B:B)+0.1&gt;=B1788),1,0)</f>
        <v/>
      </c>
    </row>
    <row r="1789" spans="1:11">
      <c r="A1789" s="4" t="s">
        <v>107</v>
      </c>
      <c r="B1789" s="7">
        <v>0</v>
      </c>
      <c r="C1789" s="6">
        <f>IF(K1789=1,1.0,0)</f>
        <v/>
      </c>
      <c r="D1789" s="6">
        <f>IF(K1789=1,0.8,0)</f>
        <v/>
      </c>
      <c r="E1789" s="6">
        <f>IF(K1789=1,0.9,0)</f>
        <v/>
      </c>
      <c r="F1789" s="6">
        <f>IF(K1789=1,0.9,0)</f>
        <v/>
      </c>
      <c r="G1789" s="5" t="s">
        <v>23</v>
      </c>
      <c r="H1789" s="5" t="s">
        <v>23</v>
      </c>
      <c r="I1789" s="5" t="s">
        <v>23</v>
      </c>
      <c r="J1789" s="5" t="s">
        <v>23</v>
      </c>
      <c r="K1789" s="8">
        <f>IF(OR(LOOKUP(A1789,characters!A:A,characters!B:B)=-1, LOOKUP(A1789,characters!A:A,characters!B:B)+0.1&gt;=B1789),1,0)</f>
        <v/>
      </c>
    </row>
    <row r="1790" spans="1:11">
      <c r="A1790" s="4" t="s">
        <v>83</v>
      </c>
      <c r="B1790" s="7">
        <v>0</v>
      </c>
      <c r="C1790" s="6">
        <f>IF(K1790=1,1.0,0)</f>
        <v/>
      </c>
      <c r="D1790" s="6">
        <f>IF(K1790=1,0.89,0)</f>
        <v/>
      </c>
      <c r="E1790" s="6">
        <f>IF(K1790=1,0.99,0)</f>
        <v/>
      </c>
      <c r="F1790" s="6">
        <f>IF(K1790=1,1.0,0)</f>
        <v/>
      </c>
      <c r="G1790" s="5" t="s">
        <v>23</v>
      </c>
      <c r="H1790" s="5" t="s">
        <v>23</v>
      </c>
      <c r="I1790" s="5" t="s">
        <v>23</v>
      </c>
      <c r="J1790" s="5" t="s">
        <v>23</v>
      </c>
      <c r="K1790" s="8">
        <f>IF(OR(LOOKUP(A1790,characters!A:A,characters!B:B)=-1, LOOKUP(A1790,characters!A:A,characters!B:B)+0.1&gt;=B1790),1,0)</f>
        <v/>
      </c>
    </row>
    <row r="1791" spans="1:11">
      <c r="A1791" s="4" t="s">
        <v>60</v>
      </c>
      <c r="B1791" s="7">
        <v>0</v>
      </c>
      <c r="C1791" s="6">
        <f>IF(K1791=1,1.0,0)</f>
        <v/>
      </c>
      <c r="D1791" s="6">
        <f>IF(K1791=1,0.8,0)</f>
        <v/>
      </c>
      <c r="E1791" s="6">
        <f>IF(K1791=1,0.9,0)</f>
        <v/>
      </c>
      <c r="F1791" s="6">
        <f>IF(K1791=1,0.9,0)</f>
        <v/>
      </c>
      <c r="G1791" s="5" t="s">
        <v>23</v>
      </c>
      <c r="H1791" s="5" t="s">
        <v>23</v>
      </c>
      <c r="I1791" s="5" t="s">
        <v>23</v>
      </c>
      <c r="J1791" s="5" t="s">
        <v>23</v>
      </c>
      <c r="K1791" s="8">
        <f>IF(OR(LOOKUP(A1791,characters!A:A,characters!B:B)=-1, LOOKUP(A1791,characters!A:A,characters!B:B)+0.1&gt;=B1791),1,0)</f>
        <v/>
      </c>
    </row>
    <row r="1792" spans="1:11">
      <c r="A1792" s="4" t="s">
        <v>111</v>
      </c>
      <c r="B1792" s="7">
        <v>0</v>
      </c>
      <c r="C1792" s="6">
        <f>IF(K1792=1,1.0,0)</f>
        <v/>
      </c>
      <c r="D1792" s="6">
        <f>IF(K1792=1,0.8,0)</f>
        <v/>
      </c>
      <c r="E1792" s="6">
        <f>IF(K1792=1,0.9,0)</f>
        <v/>
      </c>
      <c r="F1792" s="6">
        <f>IF(K1792=1,0.9,0)</f>
        <v/>
      </c>
      <c r="G1792" s="6">
        <f>IF(K1792=1,1.0,0)</f>
        <v/>
      </c>
      <c r="H1792" s="5" t="s">
        <v>23</v>
      </c>
      <c r="I1792" s="5" t="s">
        <v>23</v>
      </c>
      <c r="J1792" s="5" t="s">
        <v>23</v>
      </c>
      <c r="K1792" s="8">
        <f>IF(OR(LOOKUP(A1792,characters!A:A,characters!B:B)=-1, LOOKUP(A1792,characters!A:A,characters!B:B)+0.1&gt;=B1792),1,0)</f>
        <v/>
      </c>
    </row>
    <row r="1793" spans="1:11">
      <c r="A1793" s="4" t="s">
        <v>92</v>
      </c>
      <c r="B1793" s="7">
        <v>1</v>
      </c>
      <c r="C1793" s="6">
        <f>IF(K1793=1,0.9,0)</f>
        <v/>
      </c>
      <c r="D1793" s="6">
        <f>IF(K1793=1,0.8,0)</f>
        <v/>
      </c>
      <c r="E1793" s="5" t="s">
        <v>23</v>
      </c>
      <c r="F1793" s="5" t="s">
        <v>23</v>
      </c>
      <c r="G1793" s="6">
        <f>IF(K1793=1,1.0,0)</f>
        <v/>
      </c>
      <c r="H1793" s="6">
        <f>IF(K1793=1,0.7,0)</f>
        <v/>
      </c>
      <c r="I1793" s="5" t="s">
        <v>23</v>
      </c>
      <c r="J1793" s="5" t="s">
        <v>23</v>
      </c>
      <c r="K1793" s="8">
        <f>IF(OR(LOOKUP(A1793,characters!A:A,characters!B:B)=-1, LOOKUP(A1793,characters!A:A,characters!B:B)+0.1&gt;=B1793),1,0)</f>
        <v/>
      </c>
    </row>
    <row r="1794" spans="1:11">
      <c r="A1794" s="4" t="s">
        <v>100</v>
      </c>
      <c r="B1794" s="7">
        <v>1</v>
      </c>
      <c r="C1794" s="6">
        <f>IF(K1794=1,1.0,0)</f>
        <v/>
      </c>
      <c r="D1794" s="6">
        <f>IF(K1794=1,0.9,0)</f>
        <v/>
      </c>
      <c r="E1794" s="6">
        <f>IF(K1794=1,1.0,0)</f>
        <v/>
      </c>
      <c r="F1794" s="6">
        <f>IF(K1794=1,1.0,0)</f>
        <v/>
      </c>
      <c r="G1794" s="5" t="s">
        <v>23</v>
      </c>
      <c r="H1794" s="5" t="s">
        <v>23</v>
      </c>
      <c r="I1794" s="5" t="s">
        <v>23</v>
      </c>
      <c r="J1794" s="5" t="s">
        <v>23</v>
      </c>
      <c r="K1794" s="8">
        <f>IF(OR(LOOKUP(A1794,characters!A:A,characters!B:B)=-1, LOOKUP(A1794,characters!A:A,characters!B:B)+0.1&gt;=B1794),1,0)</f>
        <v/>
      </c>
    </row>
    <row r="1795" spans="1:11">
      <c r="A1795" s="4" t="s">
        <v>93</v>
      </c>
      <c r="B1795" s="7">
        <v>1</v>
      </c>
      <c r="C1795" s="6">
        <f>IF(K1795=1,1.0,0)</f>
        <v/>
      </c>
      <c r="D1795" s="6">
        <f>IF(K1795=1,0.9,0)</f>
        <v/>
      </c>
      <c r="E1795" s="5" t="s">
        <v>23</v>
      </c>
      <c r="F1795" s="5" t="s">
        <v>23</v>
      </c>
      <c r="G1795" s="6">
        <f>IF(K1795=1,1.0,0)</f>
        <v/>
      </c>
      <c r="H1795" s="6">
        <f>IF(K1795=1,0.8,0)</f>
        <v/>
      </c>
      <c r="I1795" s="5" t="s">
        <v>23</v>
      </c>
      <c r="J1795" s="5" t="s">
        <v>23</v>
      </c>
      <c r="K1795" s="8">
        <f>IF(OR(LOOKUP(A1795,characters!A:A,characters!B:B)=-1, LOOKUP(A1795,characters!A:A,characters!B:B)+0.1&gt;=B1795),1,0)</f>
        <v/>
      </c>
    </row>
    <row r="1796" spans="1:11">
      <c r="A1796" s="4" t="s">
        <v>73</v>
      </c>
      <c r="B1796" s="7">
        <v>1</v>
      </c>
      <c r="C1796" s="6">
        <f>IF(K1796=1,1.0,0)</f>
        <v/>
      </c>
      <c r="D1796" s="6">
        <f>IF(K1796=1,0.79,0)</f>
        <v/>
      </c>
      <c r="E1796" s="6">
        <f>IF(K1796=1,0.89,0)</f>
        <v/>
      </c>
      <c r="F1796" s="6">
        <f>IF(K1796=1,0.89,0)</f>
        <v/>
      </c>
      <c r="G1796" s="5" t="s">
        <v>23</v>
      </c>
      <c r="H1796" s="6">
        <f>IF(K1796=1,0.9,0)</f>
        <v/>
      </c>
      <c r="I1796" s="5" t="s">
        <v>23</v>
      </c>
      <c r="J1796" s="5" t="s">
        <v>23</v>
      </c>
      <c r="K1796" s="8">
        <f>IF(OR(LOOKUP(A1796,characters!A:A,characters!B:B)=-1, LOOKUP(A1796,characters!A:A,characters!B:B)+0.1&gt;=B1796),1,0)</f>
        <v/>
      </c>
    </row>
    <row r="1797" spans="1:11">
      <c r="A1797" s="4" t="s">
        <v>84</v>
      </c>
      <c r="B1797" s="7">
        <v>1</v>
      </c>
      <c r="C1797" s="6">
        <f>IF(K1797=1,1.0,0)</f>
        <v/>
      </c>
      <c r="D1797" s="6">
        <f>IF(K1797=1,0.8,0)</f>
        <v/>
      </c>
      <c r="E1797" s="6">
        <f>IF(K1797=1,0.9,0)</f>
        <v/>
      </c>
      <c r="F1797" s="6">
        <f>IF(K1797=1,0.9,0)</f>
        <v/>
      </c>
      <c r="G1797" s="5" t="s">
        <v>23</v>
      </c>
      <c r="H1797" s="5" t="s">
        <v>23</v>
      </c>
      <c r="I1797" s="5" t="s">
        <v>23</v>
      </c>
      <c r="J1797" s="5" t="s">
        <v>23</v>
      </c>
      <c r="K1797" s="8">
        <f>IF(OR(LOOKUP(A1797,characters!A:A,characters!B:B)=-1, LOOKUP(A1797,characters!A:A,characters!B:B)+0.1&gt;=B1797),1,0)</f>
        <v/>
      </c>
    </row>
    <row r="1798" spans="1:11">
      <c r="A1798" s="4" t="s">
        <v>59</v>
      </c>
      <c r="B1798" s="7">
        <v>2</v>
      </c>
      <c r="C1798" s="6">
        <f>IF(K1798=1,1.0,0)</f>
        <v/>
      </c>
      <c r="D1798" s="6">
        <f>IF(K1798=1,0.9,0)</f>
        <v/>
      </c>
      <c r="E1798" s="5" t="s">
        <v>23</v>
      </c>
      <c r="F1798" s="5" t="s">
        <v>23</v>
      </c>
      <c r="G1798" s="6">
        <f>IF(K1798=1,1.0,0)</f>
        <v/>
      </c>
      <c r="H1798" s="6">
        <f>IF(K1798=1,0.8,0)</f>
        <v/>
      </c>
      <c r="I1798" s="5" t="s">
        <v>23</v>
      </c>
      <c r="J1798" s="5" t="s">
        <v>23</v>
      </c>
      <c r="K1798" s="8">
        <f>IF(OR(LOOKUP(A1798,characters!A:A,characters!B:B)=-1, LOOKUP(A1798,characters!A:A,characters!B:B)+0.1&gt;=B1798),1,0)</f>
        <v/>
      </c>
    </row>
    <row r="1799" spans="1:11">
      <c r="A1799" s="4" t="s">
        <v>76</v>
      </c>
      <c r="B1799" s="7">
        <v>3</v>
      </c>
      <c r="C1799" s="6">
        <f>IF(K1799=1,1.0,0)</f>
        <v/>
      </c>
      <c r="D1799" s="6">
        <f>IF(K1799=1,0.89,0)</f>
        <v/>
      </c>
      <c r="E1799" s="5" t="s">
        <v>23</v>
      </c>
      <c r="F1799" s="5" t="s">
        <v>23</v>
      </c>
      <c r="G1799" s="6">
        <f>IF(K1799=1,1.0,0)</f>
        <v/>
      </c>
      <c r="H1799" s="6">
        <f>IF(K1799=1,0.9,0)</f>
        <v/>
      </c>
      <c r="I1799" s="5" t="s">
        <v>23</v>
      </c>
      <c r="J1799" s="5" t="s">
        <v>23</v>
      </c>
      <c r="K1799" s="8">
        <f>IF(OR(LOOKUP(A1799,characters!A:A,characters!B:B)=-1, LOOKUP(A1799,characters!A:A,characters!B:B)+0.1&gt;=B1799),1,0)</f>
        <v/>
      </c>
    </row>
    <row r="1801" spans="1:11">
      <c r="A1801" s="3" t="s">
        <v>49</v>
      </c>
      <c r="B1801" s="3" t="s">
        <v>9</v>
      </c>
      <c r="C1801" s="3" t="s">
        <v>21</v>
      </c>
      <c r="D1801" s="3" t="s">
        <v>19</v>
      </c>
      <c r="E1801" s="3" t="s">
        <v>12</v>
      </c>
      <c r="F1801" s="3" t="s">
        <v>16</v>
      </c>
      <c r="G1801" s="3" t="s">
        <v>17</v>
      </c>
    </row>
    <row r="1802" spans="1:11">
      <c r="A1802" s="4" t="s">
        <v>22</v>
      </c>
      <c r="B1802" s="5" t="s">
        <v>23</v>
      </c>
      <c r="C1802" s="6">
        <f>IF(SUM(H1803:H1818)=0,0,SUM(C1803:C1818)/SUM(H1803:H1818))</f>
        <v/>
      </c>
      <c r="D1802" s="6">
        <f>IF(SUM(H1803:H1818)=0,0,SUM(D1803:D1818)/SUM(H1803:H1818))</f>
        <v/>
      </c>
      <c r="E1802" s="6">
        <f>IF(SUM(H1803:H1818)=0,0,SUM(E1803:E1818)/SUM(H1803:H1818))</f>
        <v/>
      </c>
      <c r="F1802" s="6">
        <f>IF(SUM(H1803:H1818)=0,0,SUM(F1803:F1818)/SUM(H1803:H1818))</f>
        <v/>
      </c>
      <c r="G1802" s="6">
        <f>IF(SUM(H1803:H1818)=0,0,SUM(G1803:G1818)/SUM(H1803:H1818))</f>
        <v/>
      </c>
    </row>
    <row r="1803" spans="1:11">
      <c r="A1803" s="4" t="s">
        <v>61</v>
      </c>
      <c r="B1803" s="7">
        <v>0</v>
      </c>
      <c r="C1803" s="6">
        <f>IF(H1803=1,1.0,0)</f>
        <v/>
      </c>
      <c r="D1803" s="6">
        <f>IF(H1803=1,0.99,0)</f>
        <v/>
      </c>
      <c r="E1803" s="5" t="s">
        <v>23</v>
      </c>
      <c r="F1803" s="5" t="s">
        <v>23</v>
      </c>
      <c r="G1803" s="5" t="s">
        <v>23</v>
      </c>
      <c r="H1803" s="8">
        <f>IF(OR(LOOKUP(A1803,characters!A:A,characters!B:B)=-1, LOOKUP(A1803,characters!A:A,characters!B:B)+0.1&gt;=B1803),1,0)</f>
        <v/>
      </c>
    </row>
    <row r="1804" spans="1:11">
      <c r="A1804" s="4" t="s">
        <v>25</v>
      </c>
      <c r="B1804" s="7">
        <v>0</v>
      </c>
      <c r="C1804" s="5" t="s">
        <v>23</v>
      </c>
      <c r="D1804" s="6">
        <f>IF(H1804=1,1.0,0)</f>
        <v/>
      </c>
      <c r="E1804" s="6">
        <f>IF(H1804=1,1.0,0)</f>
        <v/>
      </c>
      <c r="F1804" s="5" t="s">
        <v>23</v>
      </c>
      <c r="G1804" s="5" t="s">
        <v>23</v>
      </c>
      <c r="H1804" s="8">
        <f>IF(OR(LOOKUP(A1804,characters!A:A,characters!B:B)=-1, LOOKUP(A1804,characters!A:A,characters!B:B)+0.1&gt;=B1804),1,0)</f>
        <v/>
      </c>
    </row>
    <row r="1805" spans="1:11">
      <c r="A1805" s="4" t="s">
        <v>92</v>
      </c>
      <c r="B1805" s="7">
        <v>1</v>
      </c>
      <c r="C1805" s="5" t="s">
        <v>23</v>
      </c>
      <c r="D1805" s="5" t="s">
        <v>23</v>
      </c>
      <c r="E1805" s="5" t="s">
        <v>23</v>
      </c>
      <c r="F1805" s="6">
        <f>IF(H1805=1,1.0,0)</f>
        <v/>
      </c>
      <c r="G1805" s="6">
        <f>IF(H1805=1,0.9,0)</f>
        <v/>
      </c>
      <c r="H1805" s="8">
        <f>IF(OR(LOOKUP(A1805,characters!A:A,characters!B:B)=-1, LOOKUP(A1805,characters!A:A,characters!B:B)+0.1&gt;=B1805),1,0)</f>
        <v/>
      </c>
    </row>
    <row r="1806" spans="1:11">
      <c r="A1806" s="4" t="s">
        <v>104</v>
      </c>
      <c r="B1806" s="7">
        <v>0</v>
      </c>
      <c r="C1806" s="6">
        <f>IF(H1806=1,1.0,0)</f>
        <v/>
      </c>
      <c r="D1806" s="6">
        <f>IF(H1806=1,0.99,0)</f>
        <v/>
      </c>
      <c r="E1806" s="5" t="s">
        <v>23</v>
      </c>
      <c r="F1806" s="5" t="s">
        <v>23</v>
      </c>
      <c r="G1806" s="5" t="s">
        <v>23</v>
      </c>
      <c r="H1806" s="8">
        <f>IF(OR(LOOKUP(A1806,characters!A:A,characters!B:B)=-1, LOOKUP(A1806,characters!A:A,characters!B:B)+0.1&gt;=B1806),1,0)</f>
        <v/>
      </c>
    </row>
    <row r="1807" spans="1:11">
      <c r="A1807" s="4" t="s">
        <v>81</v>
      </c>
      <c r="B1807" s="7">
        <v>0</v>
      </c>
      <c r="C1807" s="6">
        <f>IF(H1807=1,1.0,0)</f>
        <v/>
      </c>
      <c r="D1807" s="6">
        <f>IF(H1807=1,0.99,0)</f>
        <v/>
      </c>
      <c r="E1807" s="5" t="s">
        <v>23</v>
      </c>
      <c r="F1807" s="5" t="s">
        <v>23</v>
      </c>
      <c r="G1807" s="5" t="s">
        <v>23</v>
      </c>
      <c r="H1807" s="8">
        <f>IF(OR(LOOKUP(A1807,characters!A:A,characters!B:B)=-1, LOOKUP(A1807,characters!A:A,characters!B:B)+0.1&gt;=B1807),1,0)</f>
        <v/>
      </c>
    </row>
    <row r="1808" spans="1:11">
      <c r="A1808" s="4" t="s">
        <v>100</v>
      </c>
      <c r="B1808" s="7">
        <v>1</v>
      </c>
      <c r="C1808" s="6">
        <f>IF(H1808=1,1.0,0)</f>
        <v/>
      </c>
      <c r="D1808" s="6">
        <f>IF(H1808=1,0.99,0)</f>
        <v/>
      </c>
      <c r="E1808" s="5" t="s">
        <v>23</v>
      </c>
      <c r="F1808" s="5" t="s">
        <v>23</v>
      </c>
      <c r="G1808" s="5" t="s">
        <v>23</v>
      </c>
      <c r="H1808" s="8">
        <f>IF(OR(LOOKUP(A1808,characters!A:A,characters!B:B)=-1, LOOKUP(A1808,characters!A:A,characters!B:B)+0.1&gt;=B1808),1,0)</f>
        <v/>
      </c>
    </row>
    <row r="1809" spans="1:8">
      <c r="A1809" s="4" t="s">
        <v>101</v>
      </c>
      <c r="B1809" s="7">
        <v>0</v>
      </c>
      <c r="C1809" s="6">
        <f>IF(H1809=1,1.0,0)</f>
        <v/>
      </c>
      <c r="D1809" s="6">
        <f>IF(H1809=1,0.99,0)</f>
        <v/>
      </c>
      <c r="E1809" s="5" t="s">
        <v>23</v>
      </c>
      <c r="F1809" s="5" t="s">
        <v>23</v>
      </c>
      <c r="G1809" s="5" t="s">
        <v>23</v>
      </c>
      <c r="H1809" s="8">
        <f>IF(OR(LOOKUP(A1809,characters!A:A,characters!B:B)=-1, LOOKUP(A1809,characters!A:A,characters!B:B)+0.1&gt;=B1809),1,0)</f>
        <v/>
      </c>
    </row>
    <row r="1810" spans="1:8">
      <c r="A1810" s="4" t="s">
        <v>59</v>
      </c>
      <c r="B1810" s="7">
        <v>2</v>
      </c>
      <c r="C1810" s="5" t="s">
        <v>23</v>
      </c>
      <c r="D1810" s="5" t="s">
        <v>23</v>
      </c>
      <c r="E1810" s="5" t="s">
        <v>23</v>
      </c>
      <c r="F1810" s="5" t="s">
        <v>23</v>
      </c>
      <c r="G1810" s="6">
        <f>IF(H1810=1,1.0,0)</f>
        <v/>
      </c>
      <c r="H1810" s="8">
        <f>IF(OR(LOOKUP(A1810,characters!A:A,characters!B:B)=-1, LOOKUP(A1810,characters!A:A,characters!B:B)+0.1&gt;=B1810),1,0)</f>
        <v/>
      </c>
    </row>
    <row r="1811" spans="1:8">
      <c r="A1811" s="4" t="s">
        <v>76</v>
      </c>
      <c r="B1811" s="7">
        <v>3</v>
      </c>
      <c r="C1811" s="5" t="s">
        <v>23</v>
      </c>
      <c r="D1811" s="5" t="s">
        <v>23</v>
      </c>
      <c r="E1811" s="5" t="s">
        <v>23</v>
      </c>
      <c r="F1811" s="6">
        <f>IF(H1811=1,1.0,0)</f>
        <v/>
      </c>
      <c r="G1811" s="6">
        <f>IF(H1811=1,0.9,0)</f>
        <v/>
      </c>
      <c r="H1811" s="8">
        <f>IF(OR(LOOKUP(A1811,characters!A:A,characters!B:B)=-1, LOOKUP(A1811,characters!A:A,characters!B:B)+0.1&gt;=B1811),1,0)</f>
        <v/>
      </c>
    </row>
    <row r="1812" spans="1:8">
      <c r="A1812" s="4" t="s">
        <v>107</v>
      </c>
      <c r="B1812" s="7">
        <v>0</v>
      </c>
      <c r="C1812" s="6">
        <f>IF(H1812=1,1.0,0)</f>
        <v/>
      </c>
      <c r="D1812" s="6">
        <f>IF(H1812=1,0.99,0)</f>
        <v/>
      </c>
      <c r="E1812" s="5" t="s">
        <v>23</v>
      </c>
      <c r="F1812" s="5" t="s">
        <v>23</v>
      </c>
      <c r="G1812" s="5" t="s">
        <v>23</v>
      </c>
      <c r="H1812" s="8">
        <f>IF(OR(LOOKUP(A1812,characters!A:A,characters!B:B)=-1, LOOKUP(A1812,characters!A:A,characters!B:B)+0.1&gt;=B1812),1,0)</f>
        <v/>
      </c>
    </row>
    <row r="1813" spans="1:8">
      <c r="A1813" s="4" t="s">
        <v>83</v>
      </c>
      <c r="B1813" s="7">
        <v>0</v>
      </c>
      <c r="C1813" s="6">
        <f>IF(H1813=1,1.0,0)</f>
        <v/>
      </c>
      <c r="D1813" s="6">
        <f>IF(H1813=1,0.99,0)</f>
        <v/>
      </c>
      <c r="E1813" s="5" t="s">
        <v>23</v>
      </c>
      <c r="F1813" s="5" t="s">
        <v>23</v>
      </c>
      <c r="G1813" s="5" t="s">
        <v>23</v>
      </c>
      <c r="H1813" s="8">
        <f>IF(OR(LOOKUP(A1813,characters!A:A,characters!B:B)=-1, LOOKUP(A1813,characters!A:A,characters!B:B)+0.1&gt;=B1813),1,0)</f>
        <v/>
      </c>
    </row>
    <row r="1814" spans="1:8">
      <c r="A1814" s="4" t="s">
        <v>93</v>
      </c>
      <c r="B1814" s="7">
        <v>1</v>
      </c>
      <c r="C1814" s="5" t="s">
        <v>23</v>
      </c>
      <c r="D1814" s="5" t="s">
        <v>23</v>
      </c>
      <c r="E1814" s="5" t="s">
        <v>23</v>
      </c>
      <c r="F1814" s="6">
        <f>IF(H1814=1,1.0,0)</f>
        <v/>
      </c>
      <c r="G1814" s="6">
        <f>IF(H1814=1,0.99,0)</f>
        <v/>
      </c>
      <c r="H1814" s="8">
        <f>IF(OR(LOOKUP(A1814,characters!A:A,characters!B:B)=-1, LOOKUP(A1814,characters!A:A,characters!B:B)+0.1&gt;=B1814),1,0)</f>
        <v/>
      </c>
    </row>
    <row r="1815" spans="1:8">
      <c r="A1815" s="4" t="s">
        <v>60</v>
      </c>
      <c r="B1815" s="7">
        <v>0</v>
      </c>
      <c r="C1815" s="6">
        <f>IF(H1815=1,1.0,0)</f>
        <v/>
      </c>
      <c r="D1815" s="6">
        <f>IF(H1815=1,0.99,0)</f>
        <v/>
      </c>
      <c r="E1815" s="5" t="s">
        <v>23</v>
      </c>
      <c r="F1815" s="5" t="s">
        <v>23</v>
      </c>
      <c r="G1815" s="5" t="s">
        <v>23</v>
      </c>
      <c r="H1815" s="8">
        <f>IF(OR(LOOKUP(A1815,characters!A:A,characters!B:B)=-1, LOOKUP(A1815,characters!A:A,characters!B:B)+0.1&gt;=B1815),1,0)</f>
        <v/>
      </c>
    </row>
    <row r="1816" spans="1:8">
      <c r="A1816" s="4" t="s">
        <v>73</v>
      </c>
      <c r="B1816" s="7">
        <v>1</v>
      </c>
      <c r="C1816" s="6">
        <f>IF(H1816=1,1.0,0)</f>
        <v/>
      </c>
      <c r="D1816" s="6">
        <f>IF(H1816=1,0.99,0)</f>
        <v/>
      </c>
      <c r="E1816" s="5" t="s">
        <v>23</v>
      </c>
      <c r="F1816" s="5" t="s">
        <v>23</v>
      </c>
      <c r="G1816" s="5" t="s">
        <v>23</v>
      </c>
      <c r="H1816" s="8">
        <f>IF(OR(LOOKUP(A1816,characters!A:A,characters!B:B)=-1, LOOKUP(A1816,characters!A:A,characters!B:B)+0.1&gt;=B1816),1,0)</f>
        <v/>
      </c>
    </row>
    <row r="1817" spans="1:8">
      <c r="A1817" s="4" t="s">
        <v>84</v>
      </c>
      <c r="B1817" s="7">
        <v>1</v>
      </c>
      <c r="C1817" s="6">
        <f>IF(H1817=1,1.0,0)</f>
        <v/>
      </c>
      <c r="D1817" s="6">
        <f>IF(H1817=1,0.99,0)</f>
        <v/>
      </c>
      <c r="E1817" s="5" t="s">
        <v>23</v>
      </c>
      <c r="F1817" s="5" t="s">
        <v>23</v>
      </c>
      <c r="G1817" s="5" t="s">
        <v>23</v>
      </c>
      <c r="H1817" s="8">
        <f>IF(OR(LOOKUP(A1817,characters!A:A,characters!B:B)=-1, LOOKUP(A1817,characters!A:A,characters!B:B)+0.1&gt;=B1817),1,0)</f>
        <v/>
      </c>
    </row>
    <row r="1818" spans="1:8">
      <c r="A1818" s="4" t="s">
        <v>111</v>
      </c>
      <c r="B1818" s="7">
        <v>0</v>
      </c>
      <c r="C1818" s="6">
        <f>IF(H1818=1,1.0,0)</f>
        <v/>
      </c>
      <c r="D1818" s="5" t="s">
        <v>23</v>
      </c>
      <c r="E1818" s="5" t="s">
        <v>23</v>
      </c>
      <c r="F1818" s="6">
        <f>IF(H1818=1,0.9,0)</f>
        <v/>
      </c>
      <c r="G1818" s="5" t="s">
        <v>23</v>
      </c>
      <c r="H1818" s="8">
        <f>IF(OR(LOOKUP(A1818,characters!A:A,characters!B:B)=-1, LOOKUP(A1818,characters!A:A,characters!B:B)+0.1&gt;=B1818),1,0)</f>
        <v/>
      </c>
    </row>
    <row r="1820" spans="1:8">
      <c r="A1820" s="3" t="s">
        <v>52</v>
      </c>
      <c r="B1820" s="3" t="s">
        <v>9</v>
      </c>
      <c r="C1820" s="3" t="s">
        <v>17</v>
      </c>
      <c r="D1820" s="3" t="s">
        <v>10</v>
      </c>
      <c r="E1820" s="3" t="s">
        <v>12</v>
      </c>
    </row>
    <row r="1821" spans="1:8">
      <c r="A1821" s="4" t="s">
        <v>22</v>
      </c>
      <c r="B1821" s="5" t="s">
        <v>23</v>
      </c>
      <c r="C1821" s="6">
        <f>IF(SUM(F1822:F1837)=0,0,SUM(C1822:C1837)/SUM(F1822:F1837))</f>
        <v/>
      </c>
      <c r="D1821" s="6">
        <f>IF(SUM(F1822:F1837)=0,0,SUM(D1822:D1837)/SUM(F1822:F1837))</f>
        <v/>
      </c>
      <c r="E1821" s="6">
        <f>IF(SUM(F1822:F1837)=0,0,SUM(E1822:E1837)/SUM(F1822:F1837))</f>
        <v/>
      </c>
    </row>
    <row r="1822" spans="1:8">
      <c r="A1822" s="4" t="s">
        <v>61</v>
      </c>
      <c r="B1822" s="7">
        <v>0</v>
      </c>
      <c r="C1822" s="6">
        <f>IF(F1822=1,1.0,0)</f>
        <v/>
      </c>
      <c r="D1822" s="6">
        <f>IF(F1822=1,0.9,0)</f>
        <v/>
      </c>
      <c r="E1822" s="5" t="s">
        <v>23</v>
      </c>
      <c r="F1822" s="8">
        <f>IF(OR(LOOKUP(A1822,characters!A:A,characters!B:B)=-1, LOOKUP(A1822,characters!A:A,characters!B:B)+0.1&gt;=B1822),1,0)</f>
        <v/>
      </c>
    </row>
    <row r="1823" spans="1:8">
      <c r="A1823" s="4" t="s">
        <v>25</v>
      </c>
      <c r="B1823" s="7">
        <v>0</v>
      </c>
      <c r="C1823" s="5" t="s">
        <v>23</v>
      </c>
      <c r="D1823" s="6">
        <f>IF(F1823=1,1.0,0)</f>
        <v/>
      </c>
      <c r="E1823" s="6">
        <f>IF(F1823=1,0.99,0)</f>
        <v/>
      </c>
      <c r="F1823" s="8">
        <f>IF(OR(LOOKUP(A1823,characters!A:A,characters!B:B)=-1, LOOKUP(A1823,characters!A:A,characters!B:B)+0.1&gt;=B1823),1,0)</f>
        <v/>
      </c>
    </row>
    <row r="1824" spans="1:8">
      <c r="A1824" s="4" t="s">
        <v>92</v>
      </c>
      <c r="B1824" s="7">
        <v>1</v>
      </c>
      <c r="C1824" s="5" t="s">
        <v>23</v>
      </c>
      <c r="D1824" s="6">
        <f>IF(F1824=1,1.0,0)</f>
        <v/>
      </c>
      <c r="E1824" s="5" t="s">
        <v>23</v>
      </c>
      <c r="F1824" s="8">
        <f>IF(OR(LOOKUP(A1824,characters!A:A,characters!B:B)=-1, LOOKUP(A1824,characters!A:A,characters!B:B)+0.1&gt;=B1824),1,0)</f>
        <v/>
      </c>
    </row>
    <row r="1825" spans="1:6">
      <c r="A1825" s="4" t="s">
        <v>104</v>
      </c>
      <c r="B1825" s="7">
        <v>0</v>
      </c>
      <c r="C1825" s="6">
        <f>IF(F1825=1,0.99,0)</f>
        <v/>
      </c>
      <c r="D1825" s="6">
        <f>IF(F1825=1,1.0,0)</f>
        <v/>
      </c>
      <c r="E1825" s="5" t="s">
        <v>23</v>
      </c>
      <c r="F1825" s="8">
        <f>IF(OR(LOOKUP(A1825,characters!A:A,characters!B:B)=-1, LOOKUP(A1825,characters!A:A,characters!B:B)+0.1&gt;=B1825),1,0)</f>
        <v/>
      </c>
    </row>
    <row r="1826" spans="1:6">
      <c r="A1826" s="4" t="s">
        <v>81</v>
      </c>
      <c r="B1826" s="7">
        <v>0</v>
      </c>
      <c r="C1826" s="6">
        <f>IF(F1826=1,0.9,0)</f>
        <v/>
      </c>
      <c r="D1826" s="6">
        <f>IF(F1826=1,1.0,0)</f>
        <v/>
      </c>
      <c r="E1826" s="5" t="s">
        <v>23</v>
      </c>
      <c r="F1826" s="8">
        <f>IF(OR(LOOKUP(A1826,characters!A:A,characters!B:B)=-1, LOOKUP(A1826,characters!A:A,characters!B:B)+0.1&gt;=B1826),1,0)</f>
        <v/>
      </c>
    </row>
    <row r="1827" spans="1:6">
      <c r="A1827" s="4" t="s">
        <v>100</v>
      </c>
      <c r="B1827" s="7">
        <v>1</v>
      </c>
      <c r="C1827" s="6">
        <f>IF(F1827=1,1.0,0)</f>
        <v/>
      </c>
      <c r="D1827" s="5" t="s">
        <v>23</v>
      </c>
      <c r="E1827" s="5" t="s">
        <v>23</v>
      </c>
      <c r="F1827" s="8">
        <f>IF(OR(LOOKUP(A1827,characters!A:A,characters!B:B)=-1, LOOKUP(A1827,characters!A:A,characters!B:B)+0.1&gt;=B1827),1,0)</f>
        <v/>
      </c>
    </row>
    <row r="1828" spans="1:6">
      <c r="A1828" s="4" t="s">
        <v>101</v>
      </c>
      <c r="B1828" s="7">
        <v>0</v>
      </c>
      <c r="C1828" s="6">
        <f>IF(F1828=1,0.99,0)</f>
        <v/>
      </c>
      <c r="D1828" s="6">
        <f>IF(F1828=1,1.0,0)</f>
        <v/>
      </c>
      <c r="E1828" s="5" t="s">
        <v>23</v>
      </c>
      <c r="F1828" s="8">
        <f>IF(OR(LOOKUP(A1828,characters!A:A,characters!B:B)=-1, LOOKUP(A1828,characters!A:A,characters!B:B)+0.1&gt;=B1828),1,0)</f>
        <v/>
      </c>
    </row>
    <row r="1829" spans="1:6">
      <c r="A1829" s="4" t="s">
        <v>59</v>
      </c>
      <c r="B1829" s="7">
        <v>2</v>
      </c>
      <c r="C1829" s="5" t="s">
        <v>23</v>
      </c>
      <c r="D1829" s="6">
        <f>IF(F1829=1,1.0,0)</f>
        <v/>
      </c>
      <c r="E1829" s="5" t="s">
        <v>23</v>
      </c>
      <c r="F1829" s="8">
        <f>IF(OR(LOOKUP(A1829,characters!A:A,characters!B:B)=-1, LOOKUP(A1829,characters!A:A,characters!B:B)+0.1&gt;=B1829),1,0)</f>
        <v/>
      </c>
    </row>
    <row r="1830" spans="1:6">
      <c r="A1830" s="4" t="s">
        <v>76</v>
      </c>
      <c r="B1830" s="7">
        <v>3</v>
      </c>
      <c r="C1830" s="5" t="s">
        <v>23</v>
      </c>
      <c r="D1830" s="6">
        <f>IF(F1830=1,1.0,0)</f>
        <v/>
      </c>
      <c r="E1830" s="5" t="s">
        <v>23</v>
      </c>
      <c r="F1830" s="8">
        <f>IF(OR(LOOKUP(A1830,characters!A:A,characters!B:B)=-1, LOOKUP(A1830,characters!A:A,characters!B:B)+0.1&gt;=B1830),1,0)</f>
        <v/>
      </c>
    </row>
    <row r="1831" spans="1:6">
      <c r="A1831" s="4" t="s">
        <v>107</v>
      </c>
      <c r="B1831" s="7">
        <v>0</v>
      </c>
      <c r="C1831" s="6">
        <f>IF(F1831=1,0.99,0)</f>
        <v/>
      </c>
      <c r="D1831" s="6">
        <f>IF(F1831=1,1.0,0)</f>
        <v/>
      </c>
      <c r="E1831" s="5" t="s">
        <v>23</v>
      </c>
      <c r="F1831" s="8">
        <f>IF(OR(LOOKUP(A1831,characters!A:A,characters!B:B)=-1, LOOKUP(A1831,characters!A:A,characters!B:B)+0.1&gt;=B1831),1,0)</f>
        <v/>
      </c>
    </row>
    <row r="1832" spans="1:6">
      <c r="A1832" s="4" t="s">
        <v>83</v>
      </c>
      <c r="B1832" s="7">
        <v>0</v>
      </c>
      <c r="C1832" s="6">
        <f>IF(F1832=1,1.0,0)</f>
        <v/>
      </c>
      <c r="D1832" s="5" t="s">
        <v>23</v>
      </c>
      <c r="E1832" s="5" t="s">
        <v>23</v>
      </c>
      <c r="F1832" s="8">
        <f>IF(OR(LOOKUP(A1832,characters!A:A,characters!B:B)=-1, LOOKUP(A1832,characters!A:A,characters!B:B)+0.1&gt;=B1832),1,0)</f>
        <v/>
      </c>
    </row>
    <row r="1833" spans="1:6">
      <c r="A1833" s="4" t="s">
        <v>93</v>
      </c>
      <c r="B1833" s="7">
        <v>1</v>
      </c>
      <c r="C1833" s="5" t="s">
        <v>23</v>
      </c>
      <c r="D1833" s="6">
        <f>IF(F1833=1,1.0,0)</f>
        <v/>
      </c>
      <c r="E1833" s="5" t="s">
        <v>23</v>
      </c>
      <c r="F1833" s="8">
        <f>IF(OR(LOOKUP(A1833,characters!A:A,characters!B:B)=-1, LOOKUP(A1833,characters!A:A,characters!B:B)+0.1&gt;=B1833),1,0)</f>
        <v/>
      </c>
    </row>
    <row r="1834" spans="1:6">
      <c r="A1834" s="4" t="s">
        <v>60</v>
      </c>
      <c r="B1834" s="7">
        <v>0</v>
      </c>
      <c r="C1834" s="6">
        <f>IF(F1834=1,0.99,0)</f>
        <v/>
      </c>
      <c r="D1834" s="6">
        <f>IF(F1834=1,1.0,0)</f>
        <v/>
      </c>
      <c r="E1834" s="5" t="s">
        <v>23</v>
      </c>
      <c r="F1834" s="8">
        <f>IF(OR(LOOKUP(A1834,characters!A:A,characters!B:B)=-1, LOOKUP(A1834,characters!A:A,characters!B:B)+0.1&gt;=B1834),1,0)</f>
        <v/>
      </c>
    </row>
    <row r="1835" spans="1:6">
      <c r="A1835" s="4" t="s">
        <v>73</v>
      </c>
      <c r="B1835" s="7">
        <v>1</v>
      </c>
      <c r="C1835" s="6">
        <f>IF(F1835=1,0.99,0)</f>
        <v/>
      </c>
      <c r="D1835" s="6">
        <f>IF(F1835=1,1.0,0)</f>
        <v/>
      </c>
      <c r="E1835" s="5" t="s">
        <v>23</v>
      </c>
      <c r="F1835" s="8">
        <f>IF(OR(LOOKUP(A1835,characters!A:A,characters!B:B)=-1, LOOKUP(A1835,characters!A:A,characters!B:B)+0.1&gt;=B1835),1,0)</f>
        <v/>
      </c>
    </row>
    <row r="1836" spans="1:6">
      <c r="A1836" s="4" t="s">
        <v>84</v>
      </c>
      <c r="B1836" s="7">
        <v>1</v>
      </c>
      <c r="C1836" s="6">
        <f>IF(F1836=1,0.9,0)</f>
        <v/>
      </c>
      <c r="D1836" s="6">
        <f>IF(F1836=1,1.0,0)</f>
        <v/>
      </c>
      <c r="E1836" s="5" t="s">
        <v>23</v>
      </c>
      <c r="F1836" s="8">
        <f>IF(OR(LOOKUP(A1836,characters!A:A,characters!B:B)=-1, LOOKUP(A1836,characters!A:A,characters!B:B)+0.1&gt;=B1836),1,0)</f>
        <v/>
      </c>
    </row>
    <row r="1837" spans="1:6">
      <c r="A1837" s="4" t="s">
        <v>111</v>
      </c>
      <c r="B1837" s="7">
        <v>0</v>
      </c>
      <c r="C1837" s="5" t="s">
        <v>23</v>
      </c>
      <c r="D1837" s="6">
        <f>IF(F1837=1,1.0,0)</f>
        <v/>
      </c>
      <c r="E1837" s="5" t="s">
        <v>23</v>
      </c>
      <c r="F1837" s="8">
        <f>IF(OR(LOOKUP(A1837,characters!A:A,characters!B:B)=-1, LOOKUP(A1837,characters!A:A,characters!B:B)+0.1&gt;=B1837),1,0)</f>
        <v/>
      </c>
    </row>
    <row r="1844" spans="1:9">
      <c r="A1844" s="3" t="s">
        <v>145</v>
      </c>
    </row>
    <row r="1845" spans="1:9">
      <c r="A1845" s="3" t="s">
        <v>8</v>
      </c>
      <c r="B1845" s="3" t="s">
        <v>9</v>
      </c>
      <c r="C1845" s="3" t="s">
        <v>10</v>
      </c>
      <c r="D1845" s="3" t="s">
        <v>14</v>
      </c>
      <c r="E1845" s="3" t="s">
        <v>15</v>
      </c>
      <c r="F1845" s="3" t="s">
        <v>11</v>
      </c>
      <c r="G1845" s="3" t="s">
        <v>17</v>
      </c>
      <c r="H1845" s="3" t="s">
        <v>18</v>
      </c>
    </row>
    <row r="1846" spans="1:9">
      <c r="A1846" s="4" t="s">
        <v>22</v>
      </c>
      <c r="B1846" s="5" t="s">
        <v>23</v>
      </c>
      <c r="C1846" s="6">
        <f>IF(SUM(I1847:I1850)=0,0,SUM(C1847:C1850)/SUM(I1847:I1850))</f>
        <v/>
      </c>
      <c r="D1846" s="6">
        <f>IF(SUM(I1847:I1850)=0,0,SUM(D1847:D1850)/SUM(I1847:I1850))</f>
        <v/>
      </c>
      <c r="E1846" s="6">
        <f>IF(SUM(I1847:I1850)=0,0,SUM(E1847:E1850)/SUM(I1847:I1850))</f>
        <v/>
      </c>
      <c r="F1846" s="6">
        <f>IF(SUM(I1847:I1850)=0,0,SUM(F1847:F1850)/SUM(I1847:I1850))</f>
        <v/>
      </c>
      <c r="G1846" s="6">
        <f>IF(SUM(I1847:I1850)=0,0,SUM(G1847:G1850)/SUM(I1847:I1850))</f>
        <v/>
      </c>
      <c r="H1846" s="6">
        <f>IF(SUM(I1847:I1850)=0,0,SUM(H1847:H1850)/SUM(I1847:I1850))</f>
        <v/>
      </c>
    </row>
    <row r="1847" spans="1:9">
      <c r="A1847" s="4" t="s">
        <v>24</v>
      </c>
      <c r="B1847" s="7">
        <v>0</v>
      </c>
      <c r="C1847" s="6">
        <f>IF(I1847=1,1.0,0)</f>
        <v/>
      </c>
      <c r="D1847" s="6">
        <f>IF(I1847=1,0.9,0)</f>
        <v/>
      </c>
      <c r="E1847" s="6">
        <f>IF(I1847=1,0.9,0)</f>
        <v/>
      </c>
      <c r="F1847" s="6">
        <f>IF(I1847=1,0.8,0)</f>
        <v/>
      </c>
      <c r="G1847" s="5" t="s">
        <v>23</v>
      </c>
      <c r="H1847" s="5" t="s">
        <v>23</v>
      </c>
      <c r="I1847" s="8">
        <f>IF(OR(LOOKUP(A1847,characters!A:A,characters!B:B)=-1, LOOKUP(A1847,characters!A:A,characters!B:B)+0.1&gt;=B1847),1,0)</f>
        <v/>
      </c>
    </row>
    <row r="1848" spans="1:9">
      <c r="A1848" s="4" t="s">
        <v>32</v>
      </c>
      <c r="B1848" s="7">
        <v>0</v>
      </c>
      <c r="C1848" s="6">
        <f>IF(I1848=1,1.0,0)</f>
        <v/>
      </c>
      <c r="D1848" s="6">
        <f>IF(I1848=1,0.9,0)</f>
        <v/>
      </c>
      <c r="E1848" s="6">
        <f>IF(I1848=1,0.9,0)</f>
        <v/>
      </c>
      <c r="F1848" s="6">
        <f>IF(I1848=1,0.8,0)</f>
        <v/>
      </c>
      <c r="G1848" s="5" t="s">
        <v>23</v>
      </c>
      <c r="H1848" s="6">
        <f>IF(I1848=1,0.8,0)</f>
        <v/>
      </c>
      <c r="I1848" s="8">
        <f>IF(OR(LOOKUP(A1848,characters!A:A,characters!B:B)=-1, LOOKUP(A1848,characters!A:A,characters!B:B)+0.1&gt;=B1848),1,0)</f>
        <v/>
      </c>
    </row>
    <row r="1849" spans="1:9">
      <c r="A1849" s="4" t="s">
        <v>45</v>
      </c>
      <c r="B1849" s="7">
        <v>0</v>
      </c>
      <c r="C1849" s="6">
        <f>IF(I1849=1,1.0,0)</f>
        <v/>
      </c>
      <c r="D1849" s="6">
        <f>IF(I1849=1,0.9,0)</f>
        <v/>
      </c>
      <c r="E1849" s="6">
        <f>IF(I1849=1,0.9,0)</f>
        <v/>
      </c>
      <c r="F1849" s="6">
        <f>IF(I1849=1,0.8,0)</f>
        <v/>
      </c>
      <c r="G1849" s="6">
        <f>IF(I1849=1,1.0,0)</f>
        <v/>
      </c>
      <c r="H1849" s="5" t="s">
        <v>23</v>
      </c>
      <c r="I1849" s="8">
        <f>IF(OR(LOOKUP(A1849,characters!A:A,characters!B:B)=-1, LOOKUP(A1849,characters!A:A,characters!B:B)+0.1&gt;=B1849),1,0)</f>
        <v/>
      </c>
    </row>
    <row r="1850" spans="1:9">
      <c r="A1850" s="4" t="s">
        <v>48</v>
      </c>
      <c r="B1850" s="7">
        <v>0</v>
      </c>
      <c r="C1850" s="6">
        <f>IF(I1850=1,1.0,0)</f>
        <v/>
      </c>
      <c r="D1850" s="6">
        <f>IF(I1850=1,0.9,0)</f>
        <v/>
      </c>
      <c r="E1850" s="6">
        <f>IF(I1850=1,0.9,0)</f>
        <v/>
      </c>
      <c r="F1850" s="6">
        <f>IF(I1850=1,0.8,0)</f>
        <v/>
      </c>
      <c r="G1850" s="5" t="s">
        <v>23</v>
      </c>
      <c r="H1850" s="5" t="s">
        <v>23</v>
      </c>
      <c r="I1850" s="8">
        <f>IF(OR(LOOKUP(A1850,characters!A:A,characters!B:B)=-1, LOOKUP(A1850,characters!A:A,characters!B:B)+0.1&gt;=B1850),1,0)</f>
        <v/>
      </c>
    </row>
    <row r="1852" spans="1:9">
      <c r="A1852" s="3" t="s">
        <v>49</v>
      </c>
      <c r="B1852" s="3" t="s">
        <v>9</v>
      </c>
      <c r="C1852" s="3" t="s">
        <v>13</v>
      </c>
      <c r="D1852" s="3" t="s">
        <v>12</v>
      </c>
      <c r="E1852" s="3" t="s">
        <v>17</v>
      </c>
      <c r="F1852" s="3" t="s">
        <v>21</v>
      </c>
      <c r="G1852" s="3" t="s">
        <v>19</v>
      </c>
    </row>
    <row r="1853" spans="1:9">
      <c r="A1853" s="4" t="s">
        <v>22</v>
      </c>
      <c r="B1853" s="5" t="s">
        <v>23</v>
      </c>
      <c r="C1853" s="6">
        <f>IF(SUM(H1854:H1857)=0,0,SUM(C1854:C1857)/SUM(H1854:H1857))</f>
        <v/>
      </c>
      <c r="D1853" s="6">
        <f>IF(SUM(H1854:H1857)=0,0,SUM(D1854:D1857)/SUM(H1854:H1857))</f>
        <v/>
      </c>
      <c r="E1853" s="6">
        <f>IF(SUM(H1854:H1857)=0,0,SUM(E1854:E1857)/SUM(H1854:H1857))</f>
        <v/>
      </c>
      <c r="F1853" s="6">
        <f>IF(SUM(H1854:H1857)=0,0,SUM(F1854:F1857)/SUM(H1854:H1857))</f>
        <v/>
      </c>
      <c r="G1853" s="6">
        <f>IF(SUM(H1854:H1857)=0,0,SUM(G1854:G1857)/SUM(H1854:H1857))</f>
        <v/>
      </c>
    </row>
    <row r="1854" spans="1:9">
      <c r="A1854" s="4" t="s">
        <v>24</v>
      </c>
      <c r="B1854" s="7">
        <v>0</v>
      </c>
      <c r="C1854" s="6">
        <f>IF(H1854=1,1.0,0)</f>
        <v/>
      </c>
      <c r="D1854" s="6">
        <f>IF(H1854=1,0.9,0)</f>
        <v/>
      </c>
      <c r="E1854" s="5" t="s">
        <v>23</v>
      </c>
      <c r="F1854" s="5" t="s">
        <v>23</v>
      </c>
      <c r="G1854" s="5" t="s">
        <v>23</v>
      </c>
      <c r="H1854" s="8">
        <f>IF(OR(LOOKUP(A1854,characters!A:A,characters!B:B)=-1, LOOKUP(A1854,characters!A:A,characters!B:B)+0.1&gt;=B1854),1,0)</f>
        <v/>
      </c>
    </row>
    <row r="1855" spans="1:9">
      <c r="A1855" s="4" t="s">
        <v>32</v>
      </c>
      <c r="B1855" s="7">
        <v>0</v>
      </c>
      <c r="C1855" s="6">
        <f>IF(H1855=1,1.0,0)</f>
        <v/>
      </c>
      <c r="D1855" s="6">
        <f>IF(H1855=1,0.9,0)</f>
        <v/>
      </c>
      <c r="E1855" s="5" t="s">
        <v>23</v>
      </c>
      <c r="F1855" s="5" t="s">
        <v>23</v>
      </c>
      <c r="G1855" s="5" t="s">
        <v>23</v>
      </c>
      <c r="H1855" s="8">
        <f>IF(OR(LOOKUP(A1855,characters!A:A,characters!B:B)=-1, LOOKUP(A1855,characters!A:A,characters!B:B)+0.1&gt;=B1855),1,0)</f>
        <v/>
      </c>
    </row>
    <row r="1856" spans="1:9">
      <c r="A1856" s="4" t="s">
        <v>45</v>
      </c>
      <c r="B1856" s="7">
        <v>0</v>
      </c>
      <c r="C1856" s="6">
        <f>IF(H1856=1,0.9,0)</f>
        <v/>
      </c>
      <c r="D1856" s="5" t="s">
        <v>23</v>
      </c>
      <c r="E1856" s="6">
        <f>IF(H1856=1,1.0,0)</f>
        <v/>
      </c>
      <c r="F1856" s="5" t="s">
        <v>23</v>
      </c>
      <c r="G1856" s="5" t="s">
        <v>23</v>
      </c>
      <c r="H1856" s="8">
        <f>IF(OR(LOOKUP(A1856,characters!A:A,characters!B:B)=-1, LOOKUP(A1856,characters!A:A,characters!B:B)+0.1&gt;=B1856),1,0)</f>
        <v/>
      </c>
    </row>
    <row r="1857" spans="1:8">
      <c r="A1857" s="4" t="s">
        <v>48</v>
      </c>
      <c r="B1857" s="7">
        <v>0</v>
      </c>
      <c r="C1857" s="5" t="s">
        <v>23</v>
      </c>
      <c r="D1857" s="5" t="s">
        <v>23</v>
      </c>
      <c r="E1857" s="5" t="s">
        <v>23</v>
      </c>
      <c r="F1857" s="6">
        <f>IF(H1857=1,1.0,0)</f>
        <v/>
      </c>
      <c r="G1857" s="6">
        <f>IF(H1857=1,0.99,0)</f>
        <v/>
      </c>
      <c r="H1857" s="8">
        <f>IF(OR(LOOKUP(A1857,characters!A:A,characters!B:B)=-1, LOOKUP(A1857,characters!A:A,characters!B:B)+0.1&gt;=B1857),1,0)</f>
        <v/>
      </c>
    </row>
    <row r="1859" spans="1:8">
      <c r="A1859" s="3" t="s">
        <v>52</v>
      </c>
      <c r="B1859" s="3" t="s">
        <v>9</v>
      </c>
      <c r="C1859" s="3" t="s">
        <v>10</v>
      </c>
      <c r="D1859" s="3" t="s">
        <v>17</v>
      </c>
    </row>
    <row r="1860" spans="1:8">
      <c r="A1860" s="4" t="s">
        <v>22</v>
      </c>
      <c r="B1860" s="5" t="s">
        <v>23</v>
      </c>
      <c r="C1860" s="6">
        <f>IF(SUM(E1861:E1864)=0,0,SUM(C1861:C1864)/SUM(E1861:E1864))</f>
        <v/>
      </c>
      <c r="D1860" s="6">
        <f>IF(SUM(E1861:E1864)=0,0,SUM(D1861:D1864)/SUM(E1861:E1864))</f>
        <v/>
      </c>
    </row>
    <row r="1861" spans="1:8">
      <c r="A1861" s="4" t="s">
        <v>24</v>
      </c>
      <c r="B1861" s="7">
        <v>0</v>
      </c>
      <c r="C1861" s="6">
        <f>IF(E1861=1,1.0,0)</f>
        <v/>
      </c>
      <c r="D1861" s="5" t="s">
        <v>23</v>
      </c>
      <c r="E1861" s="8">
        <f>IF(OR(LOOKUP(A1861,characters!A:A,characters!B:B)=-1, LOOKUP(A1861,characters!A:A,characters!B:B)+0.1&gt;=B1861),1,0)</f>
        <v/>
      </c>
    </row>
    <row r="1862" spans="1:8">
      <c r="A1862" s="4" t="s">
        <v>32</v>
      </c>
      <c r="B1862" s="7">
        <v>0</v>
      </c>
      <c r="C1862" s="6">
        <f>IF(E1862=1,1.0,0)</f>
        <v/>
      </c>
      <c r="D1862" s="5" t="s">
        <v>23</v>
      </c>
      <c r="E1862" s="8">
        <f>IF(OR(LOOKUP(A1862,characters!A:A,characters!B:B)=-1, LOOKUP(A1862,characters!A:A,characters!B:B)+0.1&gt;=B1862),1,0)</f>
        <v/>
      </c>
    </row>
    <row r="1863" spans="1:8">
      <c r="A1863" s="4" t="s">
        <v>45</v>
      </c>
      <c r="B1863" s="7">
        <v>0</v>
      </c>
      <c r="C1863" s="6">
        <f>IF(E1863=1,1.0,0)</f>
        <v/>
      </c>
      <c r="D1863" s="5" t="s">
        <v>23</v>
      </c>
      <c r="E1863" s="8">
        <f>IF(OR(LOOKUP(A1863,characters!A:A,characters!B:B)=-1, LOOKUP(A1863,characters!A:A,characters!B:B)+0.1&gt;=B1863),1,0)</f>
        <v/>
      </c>
    </row>
    <row r="1864" spans="1:8">
      <c r="A1864" s="4" t="s">
        <v>48</v>
      </c>
      <c r="B1864" s="7">
        <v>0</v>
      </c>
      <c r="C1864" s="6">
        <f>IF(E1864=1,1.0,0)</f>
        <v/>
      </c>
      <c r="D1864" s="6">
        <f>IF(E1864=1,0.99,0)</f>
        <v/>
      </c>
      <c r="E1864" s="8">
        <f>IF(OR(LOOKUP(A1864,characters!A:A,characters!B:B)=-1, LOOKUP(A1864,characters!A:A,characters!B:B)+0.1&gt;=B1864),1,0)</f>
        <v/>
      </c>
    </row>
    <row r="1871" spans="1:8">
      <c r="A1871" s="3" t="s">
        <v>146</v>
      </c>
    </row>
    <row r="1872" spans="1:8">
      <c r="A1872" s="3" t="s">
        <v>8</v>
      </c>
      <c r="B1872" s="3" t="s">
        <v>9</v>
      </c>
      <c r="C1872" s="3" t="s">
        <v>17</v>
      </c>
      <c r="D1872" s="3" t="s">
        <v>10</v>
      </c>
      <c r="E1872" s="3" t="s">
        <v>13</v>
      </c>
      <c r="F1872" s="3" t="s">
        <v>12</v>
      </c>
    </row>
    <row r="1873" spans="1:7">
      <c r="A1873" s="4" t="s">
        <v>22</v>
      </c>
      <c r="B1873" s="5" t="s">
        <v>23</v>
      </c>
      <c r="C1873" s="6">
        <f>IF(SUM(G1874)=0,0,SUM(C1874)/SUM(G1874))</f>
        <v/>
      </c>
      <c r="D1873" s="6">
        <f>IF(SUM(G1874)=0,0,SUM(D1874)/SUM(G1874))</f>
        <v/>
      </c>
      <c r="E1873" s="6">
        <f>IF(SUM(G1874)=0,0,SUM(E1874)/SUM(G1874))</f>
        <v/>
      </c>
      <c r="F1873" s="6">
        <f>IF(SUM(G1874)=0,0,SUM(F1874)/SUM(G1874))</f>
        <v/>
      </c>
    </row>
    <row r="1874" spans="1:7">
      <c r="A1874" s="4" t="s">
        <v>41</v>
      </c>
      <c r="B1874" s="7">
        <v>1</v>
      </c>
      <c r="C1874" s="6">
        <f>IF(G1874=1,1.0,0)</f>
        <v/>
      </c>
      <c r="D1874" s="6">
        <f>IF(G1874=1,0.99,0)</f>
        <v/>
      </c>
      <c r="E1874" s="6">
        <f>IF(G1874=1,0.89,0)</f>
        <v/>
      </c>
      <c r="F1874" s="6">
        <f>IF(G1874=1,0.89,0)</f>
        <v/>
      </c>
      <c r="G1874" s="8">
        <f>IF(OR(LOOKUP(A1874,characters!A:A,characters!B:B)=-1, LOOKUP(A1874,characters!A:A,characters!B:B)+0.1&gt;=B1874),1,0)</f>
        <v/>
      </c>
    </row>
    <row r="1876" spans="1:7">
      <c r="A1876" s="3" t="s">
        <v>49</v>
      </c>
      <c r="B1876" s="3" t="s">
        <v>9</v>
      </c>
      <c r="C1876" s="3" t="s">
        <v>51</v>
      </c>
    </row>
    <row r="1877" spans="1:7">
      <c r="A1877" s="4" t="s">
        <v>22</v>
      </c>
      <c r="B1877" s="5" t="s">
        <v>23</v>
      </c>
      <c r="C1877" s="6">
        <f>IF(SUM(D1878)=0,0,SUM(C1878)/SUM(D1878))</f>
        <v/>
      </c>
    </row>
    <row r="1878" spans="1:7">
      <c r="A1878" s="4" t="s">
        <v>41</v>
      </c>
      <c r="B1878" s="7">
        <v>1</v>
      </c>
      <c r="C1878" s="6">
        <f>IF(D1878=1,1.0,0)</f>
        <v/>
      </c>
      <c r="D1878" s="8">
        <f>IF(OR(LOOKUP(A1878,characters!A:A,characters!B:B)=-1, LOOKUP(A1878,characters!A:A,characters!B:B)+0.1&gt;=B1878),1,0)</f>
        <v/>
      </c>
    </row>
    <row r="1880" spans="1:7">
      <c r="A1880" s="3" t="s">
        <v>52</v>
      </c>
      <c r="B1880" s="3" t="s">
        <v>9</v>
      </c>
      <c r="C1880" s="3" t="s">
        <v>17</v>
      </c>
    </row>
    <row r="1881" spans="1:7">
      <c r="A1881" s="4" t="s">
        <v>22</v>
      </c>
      <c r="B1881" s="5" t="s">
        <v>23</v>
      </c>
      <c r="C1881" s="6">
        <f>IF(SUM(D1882)=0,0,SUM(C1882)/SUM(D1882))</f>
        <v/>
      </c>
    </row>
    <row r="1882" spans="1:7">
      <c r="A1882" s="4" t="s">
        <v>41</v>
      </c>
      <c r="B1882" s="7">
        <v>1</v>
      </c>
      <c r="C1882" s="6">
        <f>IF(D1882=1,1.0,0)</f>
        <v/>
      </c>
      <c r="D1882" s="8">
        <f>IF(OR(LOOKUP(A1882,characters!A:A,characters!B:B)=-1, LOOKUP(A1882,characters!A:A,characters!B:B)+0.1&gt;=B1882),1,0)</f>
        <v/>
      </c>
    </row>
    <row r="1889" spans="1:10">
      <c r="A1889" s="3" t="s">
        <v>147</v>
      </c>
    </row>
    <row r="1890" spans="1:10">
      <c r="A1890" s="3" t="s">
        <v>8</v>
      </c>
      <c r="B1890" s="3" t="s">
        <v>9</v>
      </c>
      <c r="C1890" s="3" t="s">
        <v>10</v>
      </c>
      <c r="D1890" s="3" t="s">
        <v>13</v>
      </c>
      <c r="E1890" s="3" t="s">
        <v>11</v>
      </c>
      <c r="F1890" s="3" t="s">
        <v>12</v>
      </c>
      <c r="G1890" s="3" t="s">
        <v>17</v>
      </c>
      <c r="H1890" s="3" t="s">
        <v>18</v>
      </c>
      <c r="I1890" s="3" t="s">
        <v>20</v>
      </c>
    </row>
    <row r="1891" spans="1:10">
      <c r="A1891" s="4" t="s">
        <v>22</v>
      </c>
      <c r="B1891" s="5" t="s">
        <v>23</v>
      </c>
      <c r="C1891" s="6">
        <f>IF(SUM(J1892:J1898)=0,0,SUM(C1892:C1898)/SUM(J1892:J1898))</f>
        <v/>
      </c>
      <c r="D1891" s="6">
        <f>IF(SUM(J1892:J1898)=0,0,SUM(D1892:D1898)/SUM(J1892:J1898))</f>
        <v/>
      </c>
      <c r="E1891" s="6">
        <f>IF(SUM(J1892:J1898)=0,0,SUM(E1892:E1898)/SUM(J1892:J1898))</f>
        <v/>
      </c>
      <c r="F1891" s="6">
        <f>IF(SUM(J1892:J1898)=0,0,SUM(F1892:F1898)/SUM(J1892:J1898))</f>
        <v/>
      </c>
      <c r="G1891" s="6">
        <f>IF(SUM(J1892:J1898)=0,0,SUM(G1892:G1898)/SUM(J1892:J1898))</f>
        <v/>
      </c>
      <c r="H1891" s="6">
        <f>IF(SUM(J1892:J1898)=0,0,SUM(H1892:H1898)/SUM(J1892:J1898))</f>
        <v/>
      </c>
      <c r="I1891" s="6">
        <f>IF(SUM(J1892:J1898)=0,0,SUM(I1892:I1898)/SUM(J1892:J1898))</f>
        <v/>
      </c>
    </row>
    <row r="1892" spans="1:10">
      <c r="A1892" s="4" t="s">
        <v>33</v>
      </c>
      <c r="B1892" s="7">
        <v>1</v>
      </c>
      <c r="C1892" s="6">
        <f>IF(J1892=1,1.0,0)</f>
        <v/>
      </c>
      <c r="D1892" s="6">
        <f>IF(J1892=1,0.9,0)</f>
        <v/>
      </c>
      <c r="E1892" s="6">
        <f>IF(J1892=1,0.8,0)</f>
        <v/>
      </c>
      <c r="F1892" s="6">
        <f>IF(J1892=1,0.8,0)</f>
        <v/>
      </c>
      <c r="G1892" s="5" t="s">
        <v>23</v>
      </c>
      <c r="H1892" s="5" t="s">
        <v>23</v>
      </c>
      <c r="I1892" s="5" t="s">
        <v>23</v>
      </c>
      <c r="J1892" s="8">
        <f>IF(OR(LOOKUP(A1892,characters!A:A,characters!B:B)=-1, LOOKUP(A1892,characters!A:A,characters!B:B)+0.1&gt;=B1892),1,0)</f>
        <v/>
      </c>
    </row>
    <row r="1893" spans="1:10">
      <c r="A1893" s="4" t="s">
        <v>35</v>
      </c>
      <c r="B1893" s="7">
        <v>1</v>
      </c>
      <c r="C1893" s="6">
        <f>IF(J1893=1,1.0,0)</f>
        <v/>
      </c>
      <c r="D1893" s="5" t="s">
        <v>23</v>
      </c>
      <c r="E1893" s="5" t="s">
        <v>23</v>
      </c>
      <c r="F1893" s="5" t="s">
        <v>23</v>
      </c>
      <c r="G1893" s="6">
        <f>IF(J1893=1,0.89,0)</f>
        <v/>
      </c>
      <c r="H1893" s="5" t="s">
        <v>23</v>
      </c>
      <c r="I1893" s="6">
        <f>IF(J1893=1,0.9,0)</f>
        <v/>
      </c>
      <c r="J1893" s="8">
        <f>IF(OR(LOOKUP(A1893,characters!A:A,characters!B:B)=-1, LOOKUP(A1893,characters!A:A,characters!B:B)+0.1&gt;=B1893),1,0)</f>
        <v/>
      </c>
    </row>
    <row r="1894" spans="1:10">
      <c r="A1894" s="4" t="s">
        <v>26</v>
      </c>
      <c r="B1894" s="7">
        <v>2</v>
      </c>
      <c r="C1894" s="6">
        <f>IF(J1894=1,1.0,0)</f>
        <v/>
      </c>
      <c r="D1894" s="6">
        <f>IF(J1894=1,0.9,0)</f>
        <v/>
      </c>
      <c r="E1894" s="6">
        <f>IF(J1894=1,0.8,0)</f>
        <v/>
      </c>
      <c r="F1894" s="6">
        <f>IF(J1894=1,0.8,0)</f>
        <v/>
      </c>
      <c r="G1894" s="5" t="s">
        <v>23</v>
      </c>
      <c r="H1894" s="5" t="s">
        <v>23</v>
      </c>
      <c r="I1894" s="5" t="s">
        <v>23</v>
      </c>
      <c r="J1894" s="8">
        <f>IF(OR(LOOKUP(A1894,characters!A:A,characters!B:B)=-1, LOOKUP(A1894,characters!A:A,characters!B:B)+0.1&gt;=B1894),1,0)</f>
        <v/>
      </c>
    </row>
    <row r="1895" spans="1:10">
      <c r="A1895" s="4" t="s">
        <v>37</v>
      </c>
      <c r="B1895" s="7">
        <v>2</v>
      </c>
      <c r="C1895" s="6">
        <f>IF(J1895=1,1.0,0)</f>
        <v/>
      </c>
      <c r="D1895" s="6">
        <f>IF(J1895=1,0.9,0)</f>
        <v/>
      </c>
      <c r="E1895" s="6">
        <f>IF(J1895=1,0.8,0)</f>
        <v/>
      </c>
      <c r="F1895" s="6">
        <f>IF(J1895=1,0.7,0)</f>
        <v/>
      </c>
      <c r="G1895" s="5" t="s">
        <v>23</v>
      </c>
      <c r="H1895" s="5" t="s">
        <v>23</v>
      </c>
      <c r="I1895" s="5" t="s">
        <v>23</v>
      </c>
      <c r="J1895" s="8">
        <f>IF(OR(LOOKUP(A1895,characters!A:A,characters!B:B)=-1, LOOKUP(A1895,characters!A:A,characters!B:B)+0.1&gt;=B1895),1,0)</f>
        <v/>
      </c>
    </row>
    <row r="1896" spans="1:10">
      <c r="A1896" s="4" t="s">
        <v>39</v>
      </c>
      <c r="B1896" s="7">
        <v>2</v>
      </c>
      <c r="C1896" s="6">
        <f>IF(J1896=1,1.0,0)</f>
        <v/>
      </c>
      <c r="D1896" s="6">
        <f>IF(J1896=1,0.9,0)</f>
        <v/>
      </c>
      <c r="E1896" s="6">
        <f>IF(J1896=1,0.8,0)</f>
        <v/>
      </c>
      <c r="F1896" s="6">
        <f>IF(J1896=1,0.8,0)</f>
        <v/>
      </c>
      <c r="G1896" s="5" t="s">
        <v>23</v>
      </c>
      <c r="H1896" s="5" t="s">
        <v>23</v>
      </c>
      <c r="I1896" s="5" t="s">
        <v>23</v>
      </c>
      <c r="J1896" s="8">
        <f>IF(OR(LOOKUP(A1896,characters!A:A,characters!B:B)=-1, LOOKUP(A1896,characters!A:A,characters!B:B)+0.1&gt;=B1896),1,0)</f>
        <v/>
      </c>
    </row>
    <row r="1897" spans="1:10">
      <c r="A1897" s="4" t="s">
        <v>29</v>
      </c>
      <c r="B1897" s="7">
        <v>3</v>
      </c>
      <c r="C1897" s="6">
        <f>IF(J1897=1,1.0,0)</f>
        <v/>
      </c>
      <c r="D1897" s="6">
        <f>IF(J1897=1,0.7,0)</f>
        <v/>
      </c>
      <c r="E1897" s="6">
        <f>IF(J1897=1,0.8,0)</f>
        <v/>
      </c>
      <c r="F1897" s="6">
        <f>IF(J1897=1,0.7,0)</f>
        <v/>
      </c>
      <c r="G1897" s="5" t="s">
        <v>23</v>
      </c>
      <c r="H1897" s="6">
        <f>IF(J1897=1,0.9,0)</f>
        <v/>
      </c>
      <c r="I1897" s="5" t="s">
        <v>23</v>
      </c>
      <c r="J1897" s="8">
        <f>IF(OR(LOOKUP(A1897,characters!A:A,characters!B:B)=-1, LOOKUP(A1897,characters!A:A,characters!B:B)+0.1&gt;=B1897),1,0)</f>
        <v/>
      </c>
    </row>
    <row r="1898" spans="1:10">
      <c r="A1898" s="4" t="s">
        <v>36</v>
      </c>
      <c r="B1898" s="7">
        <v>3</v>
      </c>
      <c r="C1898" s="6">
        <f>IF(J1898=1,1.0,0)</f>
        <v/>
      </c>
      <c r="D1898" s="6">
        <f>IF(J1898=1,0.8,0)</f>
        <v/>
      </c>
      <c r="E1898" s="6">
        <f>IF(J1898=1,0.7,0)</f>
        <v/>
      </c>
      <c r="F1898" s="6">
        <f>IF(J1898=1,0.8,0)</f>
        <v/>
      </c>
      <c r="G1898" s="6">
        <f>IF(J1898=1,0.9,0)</f>
        <v/>
      </c>
      <c r="H1898" s="5" t="s">
        <v>23</v>
      </c>
      <c r="I1898" s="5" t="s">
        <v>23</v>
      </c>
      <c r="J1898" s="8">
        <f>IF(OR(LOOKUP(A1898,characters!A:A,characters!B:B)=-1, LOOKUP(A1898,characters!A:A,characters!B:B)+0.1&gt;=B1898),1,0)</f>
        <v/>
      </c>
    </row>
    <row r="1900" spans="1:10">
      <c r="A1900" s="3" t="s">
        <v>49</v>
      </c>
      <c r="B1900" s="3" t="s">
        <v>9</v>
      </c>
      <c r="C1900" s="3" t="s">
        <v>50</v>
      </c>
      <c r="D1900" s="3" t="s">
        <v>13</v>
      </c>
    </row>
    <row r="1901" spans="1:10">
      <c r="A1901" s="4" t="s">
        <v>22</v>
      </c>
      <c r="B1901" s="5" t="s">
        <v>23</v>
      </c>
      <c r="C1901" s="6">
        <f>IF(SUM(E1902:E1908)=0,0,SUM(C1902:C1908)/SUM(E1902:E1908))</f>
        <v/>
      </c>
      <c r="D1901" s="6">
        <f>IF(SUM(E1902:E1908)=0,0,SUM(D1902:D1908)/SUM(E1902:E1908))</f>
        <v/>
      </c>
    </row>
    <row r="1902" spans="1:10">
      <c r="A1902" s="4" t="s">
        <v>26</v>
      </c>
      <c r="B1902" s="7">
        <v>2</v>
      </c>
      <c r="C1902" s="6">
        <f>IF(E1902=1,1.0,0)</f>
        <v/>
      </c>
      <c r="D1902" s="6">
        <f>IF(E1902=1,0.9,0)</f>
        <v/>
      </c>
      <c r="E1902" s="8">
        <f>IF(OR(LOOKUP(A1902,characters!A:A,characters!B:B)=-1, LOOKUP(A1902,characters!A:A,characters!B:B)+0.1&gt;=B1902),1,0)</f>
        <v/>
      </c>
    </row>
    <row r="1903" spans="1:10">
      <c r="A1903" s="4" t="s">
        <v>29</v>
      </c>
      <c r="B1903" s="7">
        <v>3</v>
      </c>
      <c r="C1903" s="6">
        <f>IF(E1903=1,1.0,0)</f>
        <v/>
      </c>
      <c r="D1903" s="5" t="s">
        <v>23</v>
      </c>
      <c r="E1903" s="8">
        <f>IF(OR(LOOKUP(A1903,characters!A:A,characters!B:B)=-1, LOOKUP(A1903,characters!A:A,characters!B:B)+0.1&gt;=B1903),1,0)</f>
        <v/>
      </c>
    </row>
    <row r="1904" spans="1:10">
      <c r="A1904" s="4" t="s">
        <v>33</v>
      </c>
      <c r="B1904" s="7">
        <v>1</v>
      </c>
      <c r="C1904" s="6">
        <f>IF(E1904=1,1.0,0)</f>
        <v/>
      </c>
      <c r="D1904" s="6">
        <f>IF(E1904=1,0.9,0)</f>
        <v/>
      </c>
      <c r="E1904" s="8">
        <f>IF(OR(LOOKUP(A1904,characters!A:A,characters!B:B)=-1, LOOKUP(A1904,characters!A:A,characters!B:B)+0.1&gt;=B1904),1,0)</f>
        <v/>
      </c>
    </row>
    <row r="1905" spans="1:5">
      <c r="A1905" s="4" t="s">
        <v>35</v>
      </c>
      <c r="B1905" s="7">
        <v>1</v>
      </c>
      <c r="C1905" s="6">
        <f>IF(E1905=1,1.0,0)</f>
        <v/>
      </c>
      <c r="D1905" s="5" t="s">
        <v>23</v>
      </c>
      <c r="E1905" s="8">
        <f>IF(OR(LOOKUP(A1905,characters!A:A,characters!B:B)=-1, LOOKUP(A1905,characters!A:A,characters!B:B)+0.1&gt;=B1905),1,0)</f>
        <v/>
      </c>
    </row>
    <row r="1906" spans="1:5">
      <c r="A1906" s="4" t="s">
        <v>36</v>
      </c>
      <c r="B1906" s="7">
        <v>3</v>
      </c>
      <c r="C1906" s="6">
        <f>IF(E1906=1,1.0,0)</f>
        <v/>
      </c>
      <c r="D1906" s="5" t="s">
        <v>23</v>
      </c>
      <c r="E1906" s="8">
        <f>IF(OR(LOOKUP(A1906,characters!A:A,characters!B:B)=-1, LOOKUP(A1906,characters!A:A,characters!B:B)+0.1&gt;=B1906),1,0)</f>
        <v/>
      </c>
    </row>
    <row r="1907" spans="1:5">
      <c r="A1907" s="4" t="s">
        <v>37</v>
      </c>
      <c r="B1907" s="7">
        <v>2</v>
      </c>
      <c r="C1907" s="6">
        <f>IF(E1907=1,1.0,0)</f>
        <v/>
      </c>
      <c r="D1907" s="6">
        <f>IF(E1907=1,0.9,0)</f>
        <v/>
      </c>
      <c r="E1907" s="8">
        <f>IF(OR(LOOKUP(A1907,characters!A:A,characters!B:B)=-1, LOOKUP(A1907,characters!A:A,characters!B:B)+0.1&gt;=B1907),1,0)</f>
        <v/>
      </c>
    </row>
    <row r="1908" spans="1:5">
      <c r="A1908" s="4" t="s">
        <v>39</v>
      </c>
      <c r="B1908" s="7">
        <v>2</v>
      </c>
      <c r="C1908" s="6">
        <f>IF(E1908=1,1.0,0)</f>
        <v/>
      </c>
      <c r="D1908" s="6">
        <f>IF(E1908=1,0.9,0)</f>
        <v/>
      </c>
      <c r="E1908" s="8">
        <f>IF(OR(LOOKUP(A1908,characters!A:A,characters!B:B)=-1, LOOKUP(A1908,characters!A:A,characters!B:B)+0.1&gt;=B1908),1,0)</f>
        <v/>
      </c>
    </row>
    <row r="1910" spans="1:5">
      <c r="A1910" s="3" t="s">
        <v>52</v>
      </c>
      <c r="B1910" s="3" t="s">
        <v>9</v>
      </c>
      <c r="C1910" s="3" t="s">
        <v>10</v>
      </c>
    </row>
    <row r="1911" spans="1:5">
      <c r="A1911" s="4" t="s">
        <v>22</v>
      </c>
      <c r="B1911" s="5" t="s">
        <v>23</v>
      </c>
      <c r="C1911" s="6">
        <f>IF(SUM(D1912:D1918)=0,0,SUM(C1912:C1918)/SUM(D1912:D1918))</f>
        <v/>
      </c>
    </row>
    <row r="1912" spans="1:5">
      <c r="A1912" s="4" t="s">
        <v>26</v>
      </c>
      <c r="B1912" s="7">
        <v>2</v>
      </c>
      <c r="C1912" s="6">
        <f>IF(D1912=1,1.0,0)</f>
        <v/>
      </c>
      <c r="D1912" s="8">
        <f>IF(OR(LOOKUP(A1912,characters!A:A,characters!B:B)=-1, LOOKUP(A1912,characters!A:A,characters!B:B)+0.1&gt;=B1912),1,0)</f>
        <v/>
      </c>
    </row>
    <row r="1913" spans="1:5">
      <c r="A1913" s="4" t="s">
        <v>29</v>
      </c>
      <c r="B1913" s="7">
        <v>3</v>
      </c>
      <c r="C1913" s="6">
        <f>IF(D1913=1,1.0,0)</f>
        <v/>
      </c>
      <c r="D1913" s="8">
        <f>IF(OR(LOOKUP(A1913,characters!A:A,characters!B:B)=-1, LOOKUP(A1913,characters!A:A,characters!B:B)+0.1&gt;=B1913),1,0)</f>
        <v/>
      </c>
    </row>
    <row r="1914" spans="1:5">
      <c r="A1914" s="4" t="s">
        <v>33</v>
      </c>
      <c r="B1914" s="7">
        <v>1</v>
      </c>
      <c r="C1914" s="6">
        <f>IF(D1914=1,1.0,0)</f>
        <v/>
      </c>
      <c r="D1914" s="8">
        <f>IF(OR(LOOKUP(A1914,characters!A:A,characters!B:B)=-1, LOOKUP(A1914,characters!A:A,characters!B:B)+0.1&gt;=B1914),1,0)</f>
        <v/>
      </c>
    </row>
    <row r="1915" spans="1:5">
      <c r="A1915" s="4" t="s">
        <v>35</v>
      </c>
      <c r="B1915" s="7">
        <v>1</v>
      </c>
      <c r="C1915" s="6">
        <f>IF(D1915=1,1.0,0)</f>
        <v/>
      </c>
      <c r="D1915" s="8">
        <f>IF(OR(LOOKUP(A1915,characters!A:A,characters!B:B)=-1, LOOKUP(A1915,characters!A:A,characters!B:B)+0.1&gt;=B1915),1,0)</f>
        <v/>
      </c>
    </row>
    <row r="1916" spans="1:5">
      <c r="A1916" s="4" t="s">
        <v>36</v>
      </c>
      <c r="B1916" s="7">
        <v>3</v>
      </c>
      <c r="C1916" s="6">
        <f>IF(D1916=1,1.0,0)</f>
        <v/>
      </c>
      <c r="D1916" s="8">
        <f>IF(OR(LOOKUP(A1916,characters!A:A,characters!B:B)=-1, LOOKUP(A1916,characters!A:A,characters!B:B)+0.1&gt;=B1916),1,0)</f>
        <v/>
      </c>
    </row>
    <row r="1917" spans="1:5">
      <c r="A1917" s="4" t="s">
        <v>37</v>
      </c>
      <c r="B1917" s="7">
        <v>2</v>
      </c>
      <c r="C1917" s="6">
        <f>IF(D1917=1,1.0,0)</f>
        <v/>
      </c>
      <c r="D1917" s="8">
        <f>IF(OR(LOOKUP(A1917,characters!A:A,characters!B:B)=-1, LOOKUP(A1917,characters!A:A,characters!B:B)+0.1&gt;=B1917),1,0)</f>
        <v/>
      </c>
    </row>
    <row r="1918" spans="1:5">
      <c r="A1918" s="4" t="s">
        <v>39</v>
      </c>
      <c r="B1918" s="7">
        <v>2</v>
      </c>
      <c r="C1918" s="6">
        <f>IF(D1918=1,1.0,0)</f>
        <v/>
      </c>
      <c r="D1918" s="8">
        <f>IF(OR(LOOKUP(A1918,characters!A:A,characters!B:B)=-1, LOOKUP(A1918,characters!A:A,characters!B:B)+0.1&gt;=B1918),1,0)</f>
        <v/>
      </c>
    </row>
    <row r="1925" spans="1:9">
      <c r="A1925" s="3" t="s">
        <v>148</v>
      </c>
    </row>
    <row r="1926" spans="1:9">
      <c r="A1926" s="3" t="s">
        <v>8</v>
      </c>
      <c r="B1926" s="3" t="s">
        <v>9</v>
      </c>
      <c r="C1926" s="3" t="s">
        <v>16</v>
      </c>
      <c r="D1926" s="3" t="s">
        <v>10</v>
      </c>
      <c r="E1926" s="3" t="s">
        <v>17</v>
      </c>
      <c r="F1926" s="3" t="s">
        <v>18</v>
      </c>
      <c r="G1926" s="3" t="s">
        <v>13</v>
      </c>
      <c r="H1926" s="3" t="s">
        <v>12</v>
      </c>
    </row>
    <row r="1927" spans="1:9">
      <c r="A1927" s="4" t="s">
        <v>22</v>
      </c>
      <c r="B1927" s="5" t="s">
        <v>23</v>
      </c>
      <c r="C1927" s="6">
        <f>IF(SUM(I1928:I1933)=0,0,SUM(C1928:C1933)/SUM(I1928:I1933))</f>
        <v/>
      </c>
      <c r="D1927" s="6">
        <f>IF(SUM(I1928:I1933)=0,0,SUM(D1928:D1933)/SUM(I1928:I1933))</f>
        <v/>
      </c>
      <c r="E1927" s="6">
        <f>IF(SUM(I1928:I1933)=0,0,SUM(E1928:E1933)/SUM(I1928:I1933))</f>
        <v/>
      </c>
      <c r="F1927" s="6">
        <f>IF(SUM(I1928:I1933)=0,0,SUM(F1928:F1933)/SUM(I1928:I1933))</f>
        <v/>
      </c>
      <c r="G1927" s="6">
        <f>IF(SUM(I1928:I1933)=0,0,SUM(G1928:G1933)/SUM(I1928:I1933))</f>
        <v/>
      </c>
      <c r="H1927" s="6">
        <f>IF(SUM(I1928:I1933)=0,0,SUM(H1928:H1933)/SUM(I1928:I1933))</f>
        <v/>
      </c>
    </row>
    <row r="1928" spans="1:9">
      <c r="A1928" s="4" t="s">
        <v>92</v>
      </c>
      <c r="B1928" s="7">
        <v>0</v>
      </c>
      <c r="C1928" s="6">
        <f>IF(I1928=1,1.0,0)</f>
        <v/>
      </c>
      <c r="D1928" s="6">
        <f>IF(I1928=1,0.9,0)</f>
        <v/>
      </c>
      <c r="E1928" s="6">
        <f>IF(I1928=1,0.8,0)</f>
        <v/>
      </c>
      <c r="F1928" s="6">
        <f>IF(I1928=1,0.7,0)</f>
        <v/>
      </c>
      <c r="G1928" s="5" t="s">
        <v>23</v>
      </c>
      <c r="H1928" s="5" t="s">
        <v>23</v>
      </c>
      <c r="I1928" s="8">
        <f>IF(OR(LOOKUP(A1928,characters!A:A,characters!B:B)=-1, LOOKUP(A1928,characters!A:A,characters!B:B)+0.1&gt;=B1928),1,0)</f>
        <v/>
      </c>
    </row>
    <row r="1929" spans="1:9">
      <c r="A1929" s="4" t="s">
        <v>31</v>
      </c>
      <c r="B1929" s="7">
        <v>0</v>
      </c>
      <c r="C1929" s="6">
        <f>IF(I1929=1,1.0,0)</f>
        <v/>
      </c>
      <c r="D1929" s="6">
        <f>IF(I1929=1,0.9,0)</f>
        <v/>
      </c>
      <c r="E1929" s="6">
        <f>IF(I1929=1,0.8,0)</f>
        <v/>
      </c>
      <c r="F1929" s="6">
        <f>IF(I1929=1,0.7,0)</f>
        <v/>
      </c>
      <c r="G1929" s="6">
        <f>IF(I1929=1,0.7,0)</f>
        <v/>
      </c>
      <c r="H1929" s="6">
        <f>IF(I1929=1,0.7,0)</f>
        <v/>
      </c>
      <c r="I1929" s="8">
        <f>IF(OR(LOOKUP(A1929,characters!A:A,characters!B:B)=-1, LOOKUP(A1929,characters!A:A,characters!B:B)+0.1&gt;=B1929),1,0)</f>
        <v/>
      </c>
    </row>
    <row r="1930" spans="1:9">
      <c r="A1930" s="4" t="s">
        <v>34</v>
      </c>
      <c r="B1930" s="7">
        <v>0</v>
      </c>
      <c r="C1930" s="6">
        <f>IF(I1930=1,1.0,0)</f>
        <v/>
      </c>
      <c r="D1930" s="6">
        <f>IF(I1930=1,0.9,0)</f>
        <v/>
      </c>
      <c r="E1930" s="6">
        <f>IF(I1930=1,0.8,0)</f>
        <v/>
      </c>
      <c r="F1930" s="5" t="s">
        <v>23</v>
      </c>
      <c r="G1930" s="5" t="s">
        <v>23</v>
      </c>
      <c r="H1930" s="5" t="s">
        <v>23</v>
      </c>
      <c r="I1930" s="8">
        <f>IF(OR(LOOKUP(A1930,characters!A:A,characters!B:B)=-1, LOOKUP(A1930,characters!A:A,characters!B:B)+0.1&gt;=B1930),1,0)</f>
        <v/>
      </c>
    </row>
    <row r="1931" spans="1:9">
      <c r="A1931" s="4" t="s">
        <v>59</v>
      </c>
      <c r="B1931" s="7">
        <v>0</v>
      </c>
      <c r="C1931" s="6">
        <f>IF(I1931=1,1.0,0)</f>
        <v/>
      </c>
      <c r="D1931" s="6">
        <f>IF(I1931=1,1.0,0)</f>
        <v/>
      </c>
      <c r="E1931" s="6">
        <f>IF(I1931=1,0.9,0)</f>
        <v/>
      </c>
      <c r="F1931" s="6">
        <f>IF(I1931=1,0.8,0)</f>
        <v/>
      </c>
      <c r="G1931" s="5" t="s">
        <v>23</v>
      </c>
      <c r="H1931" s="5" t="s">
        <v>23</v>
      </c>
      <c r="I1931" s="8">
        <f>IF(OR(LOOKUP(A1931,characters!A:A,characters!B:B)=-1, LOOKUP(A1931,characters!A:A,characters!B:B)+0.1&gt;=B1931),1,0)</f>
        <v/>
      </c>
    </row>
    <row r="1932" spans="1:9">
      <c r="A1932" s="4" t="s">
        <v>76</v>
      </c>
      <c r="B1932" s="7">
        <v>0</v>
      </c>
      <c r="C1932" s="6">
        <f>IF(I1932=1,1.0,0)</f>
        <v/>
      </c>
      <c r="D1932" s="6">
        <f>IF(I1932=1,1.0,0)</f>
        <v/>
      </c>
      <c r="E1932" s="6">
        <f>IF(I1932=1,0.89,0)</f>
        <v/>
      </c>
      <c r="F1932" s="6">
        <f>IF(I1932=1,0.9,0)</f>
        <v/>
      </c>
      <c r="G1932" s="5" t="s">
        <v>23</v>
      </c>
      <c r="H1932" s="5" t="s">
        <v>23</v>
      </c>
      <c r="I1932" s="8">
        <f>IF(OR(LOOKUP(A1932,characters!A:A,characters!B:B)=-1, LOOKUP(A1932,characters!A:A,characters!B:B)+0.1&gt;=B1932),1,0)</f>
        <v/>
      </c>
    </row>
    <row r="1933" spans="1:9">
      <c r="A1933" s="4" t="s">
        <v>93</v>
      </c>
      <c r="B1933" s="7">
        <v>0</v>
      </c>
      <c r="C1933" s="6">
        <f>IF(I1933=1,1.0,0)</f>
        <v/>
      </c>
      <c r="D1933" s="6">
        <f>IF(I1933=1,1.0,0)</f>
        <v/>
      </c>
      <c r="E1933" s="6">
        <f>IF(I1933=1,0.9,0)</f>
        <v/>
      </c>
      <c r="F1933" s="6">
        <f>IF(I1933=1,0.8,0)</f>
        <v/>
      </c>
      <c r="G1933" s="5" t="s">
        <v>23</v>
      </c>
      <c r="H1933" s="5" t="s">
        <v>23</v>
      </c>
      <c r="I1933" s="8">
        <f>IF(OR(LOOKUP(A1933,characters!A:A,characters!B:B)=-1, LOOKUP(A1933,characters!A:A,characters!B:B)+0.1&gt;=B1933),1,0)</f>
        <v/>
      </c>
    </row>
    <row r="1935" spans="1:9">
      <c r="A1935" s="3" t="s">
        <v>49</v>
      </c>
      <c r="B1935" s="3" t="s">
        <v>9</v>
      </c>
      <c r="C1935" s="3" t="s">
        <v>16</v>
      </c>
      <c r="D1935" s="3" t="s">
        <v>17</v>
      </c>
    </row>
    <row r="1936" spans="1:9">
      <c r="A1936" s="4" t="s">
        <v>22</v>
      </c>
      <c r="B1936" s="5" t="s">
        <v>23</v>
      </c>
      <c r="C1936" s="6">
        <f>IF(SUM(E1937:E1942)=0,0,SUM(C1937:C1942)/SUM(E1937:E1942))</f>
        <v/>
      </c>
      <c r="D1936" s="6">
        <f>IF(SUM(E1937:E1942)=0,0,SUM(D1937:D1942)/SUM(E1937:E1942))</f>
        <v/>
      </c>
    </row>
    <row r="1937" spans="1:5">
      <c r="A1937" s="4" t="s">
        <v>92</v>
      </c>
      <c r="B1937" s="7">
        <v>0</v>
      </c>
      <c r="C1937" s="6">
        <f>IF(E1937=1,1.0,0)</f>
        <v/>
      </c>
      <c r="D1937" s="6">
        <f>IF(E1937=1,0.9,0)</f>
        <v/>
      </c>
      <c r="E1937" s="8">
        <f>IF(OR(LOOKUP(A1937,characters!A:A,characters!B:B)=-1, LOOKUP(A1937,characters!A:A,characters!B:B)+0.1&gt;=B1937),1,0)</f>
        <v/>
      </c>
    </row>
    <row r="1938" spans="1:5">
      <c r="A1938" s="4" t="s">
        <v>31</v>
      </c>
      <c r="B1938" s="7">
        <v>0</v>
      </c>
      <c r="C1938" s="6">
        <f>IF(E1938=1,0.9,0)</f>
        <v/>
      </c>
      <c r="D1938" s="6">
        <f>IF(E1938=1,1.0,0)</f>
        <v/>
      </c>
      <c r="E1938" s="8">
        <f>IF(OR(LOOKUP(A1938,characters!A:A,characters!B:B)=-1, LOOKUP(A1938,characters!A:A,characters!B:B)+0.1&gt;=B1938),1,0)</f>
        <v/>
      </c>
    </row>
    <row r="1939" spans="1:5">
      <c r="A1939" s="4" t="s">
        <v>34</v>
      </c>
      <c r="B1939" s="7">
        <v>0</v>
      </c>
      <c r="C1939" s="6">
        <f>IF(E1939=1,1.0,0)</f>
        <v/>
      </c>
      <c r="D1939" s="5" t="s">
        <v>23</v>
      </c>
      <c r="E1939" s="8">
        <f>IF(OR(LOOKUP(A1939,characters!A:A,characters!B:B)=-1, LOOKUP(A1939,characters!A:A,characters!B:B)+0.1&gt;=B1939),1,0)</f>
        <v/>
      </c>
    </row>
    <row r="1940" spans="1:5">
      <c r="A1940" s="4" t="s">
        <v>59</v>
      </c>
      <c r="B1940" s="7">
        <v>0</v>
      </c>
      <c r="C1940" s="5" t="s">
        <v>23</v>
      </c>
      <c r="D1940" s="6">
        <f>IF(E1940=1,1.0,0)</f>
        <v/>
      </c>
      <c r="E1940" s="8">
        <f>IF(OR(LOOKUP(A1940,characters!A:A,characters!B:B)=-1, LOOKUP(A1940,characters!A:A,characters!B:B)+0.1&gt;=B1940),1,0)</f>
        <v/>
      </c>
    </row>
    <row r="1941" spans="1:5">
      <c r="A1941" s="4" t="s">
        <v>76</v>
      </c>
      <c r="B1941" s="7">
        <v>0</v>
      </c>
      <c r="C1941" s="6">
        <f>IF(E1941=1,1.0,0)</f>
        <v/>
      </c>
      <c r="D1941" s="6">
        <f>IF(E1941=1,0.9,0)</f>
        <v/>
      </c>
      <c r="E1941" s="8">
        <f>IF(OR(LOOKUP(A1941,characters!A:A,characters!B:B)=-1, LOOKUP(A1941,characters!A:A,characters!B:B)+0.1&gt;=B1941),1,0)</f>
        <v/>
      </c>
    </row>
    <row r="1942" spans="1:5">
      <c r="A1942" s="4" t="s">
        <v>93</v>
      </c>
      <c r="B1942" s="7">
        <v>0</v>
      </c>
      <c r="C1942" s="6">
        <f>IF(E1942=1,1.0,0)</f>
        <v/>
      </c>
      <c r="D1942" s="6">
        <f>IF(E1942=1,0.99,0)</f>
        <v/>
      </c>
      <c r="E1942" s="8">
        <f>IF(OR(LOOKUP(A1942,characters!A:A,characters!B:B)=-1, LOOKUP(A1942,characters!A:A,characters!B:B)+0.1&gt;=B1942),1,0)</f>
        <v/>
      </c>
    </row>
    <row r="1944" spans="1:5">
      <c r="A1944" s="3" t="s">
        <v>52</v>
      </c>
      <c r="B1944" s="3" t="s">
        <v>9</v>
      </c>
      <c r="C1944" s="3" t="s">
        <v>10</v>
      </c>
    </row>
    <row r="1945" spans="1:5">
      <c r="A1945" s="4" t="s">
        <v>22</v>
      </c>
      <c r="B1945" s="5" t="s">
        <v>23</v>
      </c>
      <c r="C1945" s="6">
        <f>IF(SUM(D1946:D1951)=0,0,SUM(C1946:C1951)/SUM(D1946:D1951))</f>
        <v/>
      </c>
    </row>
    <row r="1946" spans="1:5">
      <c r="A1946" s="4" t="s">
        <v>92</v>
      </c>
      <c r="B1946" s="7">
        <v>0</v>
      </c>
      <c r="C1946" s="6">
        <f>IF(D1946=1,1.0,0)</f>
        <v/>
      </c>
      <c r="D1946" s="8">
        <f>IF(OR(LOOKUP(A1946,characters!A:A,characters!B:B)=-1, LOOKUP(A1946,characters!A:A,characters!B:B)+0.1&gt;=B1946),1,0)</f>
        <v/>
      </c>
    </row>
    <row r="1947" spans="1:5">
      <c r="A1947" s="4" t="s">
        <v>31</v>
      </c>
      <c r="B1947" s="7">
        <v>0</v>
      </c>
      <c r="C1947" s="6">
        <f>IF(D1947=1,1.0,0)</f>
        <v/>
      </c>
      <c r="D1947" s="8">
        <f>IF(OR(LOOKUP(A1947,characters!A:A,characters!B:B)=-1, LOOKUP(A1947,characters!A:A,characters!B:B)+0.1&gt;=B1947),1,0)</f>
        <v/>
      </c>
    </row>
    <row r="1948" spans="1:5">
      <c r="A1948" s="4" t="s">
        <v>34</v>
      </c>
      <c r="B1948" s="7">
        <v>0</v>
      </c>
      <c r="C1948" s="6">
        <f>IF(D1948=1,1.0,0)</f>
        <v/>
      </c>
      <c r="D1948" s="8">
        <f>IF(OR(LOOKUP(A1948,characters!A:A,characters!B:B)=-1, LOOKUP(A1948,characters!A:A,characters!B:B)+0.1&gt;=B1948),1,0)</f>
        <v/>
      </c>
    </row>
    <row r="1949" spans="1:5">
      <c r="A1949" s="4" t="s">
        <v>59</v>
      </c>
      <c r="B1949" s="7">
        <v>0</v>
      </c>
      <c r="C1949" s="6">
        <f>IF(D1949=1,1.0,0)</f>
        <v/>
      </c>
      <c r="D1949" s="8">
        <f>IF(OR(LOOKUP(A1949,characters!A:A,characters!B:B)=-1, LOOKUP(A1949,characters!A:A,characters!B:B)+0.1&gt;=B1949),1,0)</f>
        <v/>
      </c>
    </row>
    <row r="1950" spans="1:5">
      <c r="A1950" s="4" t="s">
        <v>76</v>
      </c>
      <c r="B1950" s="7">
        <v>0</v>
      </c>
      <c r="C1950" s="6">
        <f>IF(D1950=1,1.0,0)</f>
        <v/>
      </c>
      <c r="D1950" s="8">
        <f>IF(OR(LOOKUP(A1950,characters!A:A,characters!B:B)=-1, LOOKUP(A1950,characters!A:A,characters!B:B)+0.1&gt;=B1950),1,0)</f>
        <v/>
      </c>
    </row>
    <row r="1951" spans="1:5">
      <c r="A1951" s="4" t="s">
        <v>93</v>
      </c>
      <c r="B1951" s="7">
        <v>0</v>
      </c>
      <c r="C1951" s="6">
        <f>IF(D1951=1,1.0,0)</f>
        <v/>
      </c>
      <c r="D1951" s="8">
        <f>IF(OR(LOOKUP(A1951,characters!A:A,characters!B:B)=-1, LOOKUP(A1951,characters!A:A,characters!B:B)+0.1&gt;=B1951),1,0)</f>
        <v/>
      </c>
    </row>
    <row r="1958" spans="1:10">
      <c r="A1958" s="3" t="s">
        <v>149</v>
      </c>
    </row>
    <row r="1959" spans="1:10">
      <c r="A1959" s="3" t="s">
        <v>8</v>
      </c>
      <c r="B1959" s="3" t="s">
        <v>9</v>
      </c>
      <c r="C1959" s="3" t="s">
        <v>10</v>
      </c>
      <c r="D1959" s="3" t="s">
        <v>13</v>
      </c>
      <c r="E1959" s="3" t="s">
        <v>11</v>
      </c>
      <c r="F1959" s="3" t="s">
        <v>12</v>
      </c>
      <c r="G1959" s="3" t="s">
        <v>17</v>
      </c>
      <c r="H1959" s="3" t="s">
        <v>18</v>
      </c>
      <c r="I1959" s="3" t="s">
        <v>20</v>
      </c>
    </row>
    <row r="1960" spans="1:10">
      <c r="A1960" s="4" t="s">
        <v>22</v>
      </c>
      <c r="B1960" s="5" t="s">
        <v>23</v>
      </c>
      <c r="C1960" s="6">
        <f>IF(SUM(J1961:J1967)=0,0,SUM(C1961:C1967)/SUM(J1961:J1967))</f>
        <v/>
      </c>
      <c r="D1960" s="6">
        <f>IF(SUM(J1961:J1967)=0,0,SUM(D1961:D1967)/SUM(J1961:J1967))</f>
        <v/>
      </c>
      <c r="E1960" s="6">
        <f>IF(SUM(J1961:J1967)=0,0,SUM(E1961:E1967)/SUM(J1961:J1967))</f>
        <v/>
      </c>
      <c r="F1960" s="6">
        <f>IF(SUM(J1961:J1967)=0,0,SUM(F1961:F1967)/SUM(J1961:J1967))</f>
        <v/>
      </c>
      <c r="G1960" s="6">
        <f>IF(SUM(J1961:J1967)=0,0,SUM(G1961:G1967)/SUM(J1961:J1967))</f>
        <v/>
      </c>
      <c r="H1960" s="6">
        <f>IF(SUM(J1961:J1967)=0,0,SUM(H1961:H1967)/SUM(J1961:J1967))</f>
        <v/>
      </c>
      <c r="I1960" s="6">
        <f>IF(SUM(J1961:J1967)=0,0,SUM(I1961:I1967)/SUM(J1961:J1967))</f>
        <v/>
      </c>
    </row>
    <row r="1961" spans="1:10">
      <c r="A1961" s="4" t="s">
        <v>26</v>
      </c>
      <c r="B1961" s="7">
        <v>0</v>
      </c>
      <c r="C1961" s="6">
        <f>IF(J1961=1,1.0,0)</f>
        <v/>
      </c>
      <c r="D1961" s="6">
        <f>IF(J1961=1,0.9,0)</f>
        <v/>
      </c>
      <c r="E1961" s="6">
        <f>IF(J1961=1,0.8,0)</f>
        <v/>
      </c>
      <c r="F1961" s="6">
        <f>IF(J1961=1,0.8,0)</f>
        <v/>
      </c>
      <c r="G1961" s="5" t="s">
        <v>23</v>
      </c>
      <c r="H1961" s="5" t="s">
        <v>23</v>
      </c>
      <c r="I1961" s="5" t="s">
        <v>23</v>
      </c>
      <c r="J1961" s="8">
        <f>IF(OR(LOOKUP(A1961,characters!A:A,characters!B:B)=-1, LOOKUP(A1961,characters!A:A,characters!B:B)+0.1&gt;=B1961),1,0)</f>
        <v/>
      </c>
    </row>
    <row r="1962" spans="1:10">
      <c r="A1962" s="4" t="s">
        <v>29</v>
      </c>
      <c r="B1962" s="7">
        <v>0</v>
      </c>
      <c r="C1962" s="6">
        <f>IF(J1962=1,1.0,0)</f>
        <v/>
      </c>
      <c r="D1962" s="6">
        <f>IF(J1962=1,0.7,0)</f>
        <v/>
      </c>
      <c r="E1962" s="6">
        <f>IF(J1962=1,0.8,0)</f>
        <v/>
      </c>
      <c r="F1962" s="6">
        <f>IF(J1962=1,0.7,0)</f>
        <v/>
      </c>
      <c r="G1962" s="5" t="s">
        <v>23</v>
      </c>
      <c r="H1962" s="6">
        <f>IF(J1962=1,0.9,0)</f>
        <v/>
      </c>
      <c r="I1962" s="5" t="s">
        <v>23</v>
      </c>
      <c r="J1962" s="8">
        <f>IF(OR(LOOKUP(A1962,characters!A:A,characters!B:B)=-1, LOOKUP(A1962,characters!A:A,characters!B:B)+0.1&gt;=B1962),1,0)</f>
        <v/>
      </c>
    </row>
    <row r="1963" spans="1:10">
      <c r="A1963" s="4" t="s">
        <v>33</v>
      </c>
      <c r="B1963" s="7">
        <v>0</v>
      </c>
      <c r="C1963" s="6">
        <f>IF(J1963=1,1.0,0)</f>
        <v/>
      </c>
      <c r="D1963" s="6">
        <f>IF(J1963=1,0.9,0)</f>
        <v/>
      </c>
      <c r="E1963" s="6">
        <f>IF(J1963=1,0.8,0)</f>
        <v/>
      </c>
      <c r="F1963" s="6">
        <f>IF(J1963=1,0.8,0)</f>
        <v/>
      </c>
      <c r="G1963" s="5" t="s">
        <v>23</v>
      </c>
      <c r="H1963" s="5" t="s">
        <v>23</v>
      </c>
      <c r="I1963" s="5" t="s">
        <v>23</v>
      </c>
      <c r="J1963" s="8">
        <f>IF(OR(LOOKUP(A1963,characters!A:A,characters!B:B)=-1, LOOKUP(A1963,characters!A:A,characters!B:B)+0.1&gt;=B1963),1,0)</f>
        <v/>
      </c>
    </row>
    <row r="1964" spans="1:10">
      <c r="A1964" s="4" t="s">
        <v>35</v>
      </c>
      <c r="B1964" s="7">
        <v>0</v>
      </c>
      <c r="C1964" s="6">
        <f>IF(J1964=1,1.0,0)</f>
        <v/>
      </c>
      <c r="D1964" s="5" t="s">
        <v>23</v>
      </c>
      <c r="E1964" s="5" t="s">
        <v>23</v>
      </c>
      <c r="F1964" s="5" t="s">
        <v>23</v>
      </c>
      <c r="G1964" s="6">
        <f>IF(J1964=1,0.89,0)</f>
        <v/>
      </c>
      <c r="H1964" s="5" t="s">
        <v>23</v>
      </c>
      <c r="I1964" s="6">
        <f>IF(J1964=1,0.9,0)</f>
        <v/>
      </c>
      <c r="J1964" s="8">
        <f>IF(OR(LOOKUP(A1964,characters!A:A,characters!B:B)=-1, LOOKUP(A1964,characters!A:A,characters!B:B)+0.1&gt;=B1964),1,0)</f>
        <v/>
      </c>
    </row>
    <row r="1965" spans="1:10">
      <c r="A1965" s="4" t="s">
        <v>36</v>
      </c>
      <c r="B1965" s="7">
        <v>0</v>
      </c>
      <c r="C1965" s="6">
        <f>IF(J1965=1,1.0,0)</f>
        <v/>
      </c>
      <c r="D1965" s="6">
        <f>IF(J1965=1,0.8,0)</f>
        <v/>
      </c>
      <c r="E1965" s="6">
        <f>IF(J1965=1,0.7,0)</f>
        <v/>
      </c>
      <c r="F1965" s="6">
        <f>IF(J1965=1,0.8,0)</f>
        <v/>
      </c>
      <c r="G1965" s="6">
        <f>IF(J1965=1,0.9,0)</f>
        <v/>
      </c>
      <c r="H1965" s="5" t="s">
        <v>23</v>
      </c>
      <c r="I1965" s="5" t="s">
        <v>23</v>
      </c>
      <c r="J1965" s="8">
        <f>IF(OR(LOOKUP(A1965,characters!A:A,characters!B:B)=-1, LOOKUP(A1965,characters!A:A,characters!B:B)+0.1&gt;=B1965),1,0)</f>
        <v/>
      </c>
    </row>
    <row r="1966" spans="1:10">
      <c r="A1966" s="4" t="s">
        <v>37</v>
      </c>
      <c r="B1966" s="7">
        <v>0</v>
      </c>
      <c r="C1966" s="6">
        <f>IF(J1966=1,1.0,0)</f>
        <v/>
      </c>
      <c r="D1966" s="6">
        <f>IF(J1966=1,0.9,0)</f>
        <v/>
      </c>
      <c r="E1966" s="6">
        <f>IF(J1966=1,0.8,0)</f>
        <v/>
      </c>
      <c r="F1966" s="6">
        <f>IF(J1966=1,0.7,0)</f>
        <v/>
      </c>
      <c r="G1966" s="5" t="s">
        <v>23</v>
      </c>
      <c r="H1966" s="5" t="s">
        <v>23</v>
      </c>
      <c r="I1966" s="5" t="s">
        <v>23</v>
      </c>
      <c r="J1966" s="8">
        <f>IF(OR(LOOKUP(A1966,characters!A:A,characters!B:B)=-1, LOOKUP(A1966,characters!A:A,characters!B:B)+0.1&gt;=B1966),1,0)</f>
        <v/>
      </c>
    </row>
    <row r="1967" spans="1:10">
      <c r="A1967" s="4" t="s">
        <v>39</v>
      </c>
      <c r="B1967" s="7">
        <v>0</v>
      </c>
      <c r="C1967" s="6">
        <f>IF(J1967=1,1.0,0)</f>
        <v/>
      </c>
      <c r="D1967" s="6">
        <f>IF(J1967=1,0.9,0)</f>
        <v/>
      </c>
      <c r="E1967" s="6">
        <f>IF(J1967=1,0.8,0)</f>
        <v/>
      </c>
      <c r="F1967" s="6">
        <f>IF(J1967=1,0.8,0)</f>
        <v/>
      </c>
      <c r="G1967" s="5" t="s">
        <v>23</v>
      </c>
      <c r="H1967" s="5" t="s">
        <v>23</v>
      </c>
      <c r="I1967" s="5" t="s">
        <v>23</v>
      </c>
      <c r="J1967" s="8">
        <f>IF(OR(LOOKUP(A1967,characters!A:A,characters!B:B)=-1, LOOKUP(A1967,characters!A:A,characters!B:B)+0.1&gt;=B1967),1,0)</f>
        <v/>
      </c>
    </row>
    <row r="1969" spans="1:5">
      <c r="A1969" s="3" t="s">
        <v>49</v>
      </c>
      <c r="B1969" s="3" t="s">
        <v>9</v>
      </c>
      <c r="C1969" s="3" t="s">
        <v>50</v>
      </c>
      <c r="D1969" s="3" t="s">
        <v>13</v>
      </c>
    </row>
    <row r="1970" spans="1:5">
      <c r="A1970" s="4" t="s">
        <v>22</v>
      </c>
      <c r="B1970" s="5" t="s">
        <v>23</v>
      </c>
      <c r="C1970" s="6">
        <f>IF(SUM(E1971:E1977)=0,0,SUM(C1971:C1977)/SUM(E1971:E1977))</f>
        <v/>
      </c>
      <c r="D1970" s="6">
        <f>IF(SUM(E1971:E1977)=0,0,SUM(D1971:D1977)/SUM(E1971:E1977))</f>
        <v/>
      </c>
    </row>
    <row r="1971" spans="1:5">
      <c r="A1971" s="4" t="s">
        <v>26</v>
      </c>
      <c r="B1971" s="7">
        <v>0</v>
      </c>
      <c r="C1971" s="6">
        <f>IF(E1971=1,1.0,0)</f>
        <v/>
      </c>
      <c r="D1971" s="6">
        <f>IF(E1971=1,0.9,0)</f>
        <v/>
      </c>
      <c r="E1971" s="8">
        <f>IF(OR(LOOKUP(A1971,characters!A:A,characters!B:B)=-1, LOOKUP(A1971,characters!A:A,characters!B:B)+0.1&gt;=B1971),1,0)</f>
        <v/>
      </c>
    </row>
    <row r="1972" spans="1:5">
      <c r="A1972" s="4" t="s">
        <v>29</v>
      </c>
      <c r="B1972" s="7">
        <v>0</v>
      </c>
      <c r="C1972" s="6">
        <f>IF(E1972=1,1.0,0)</f>
        <v/>
      </c>
      <c r="D1972" s="5" t="s">
        <v>23</v>
      </c>
      <c r="E1972" s="8">
        <f>IF(OR(LOOKUP(A1972,characters!A:A,characters!B:B)=-1, LOOKUP(A1972,characters!A:A,characters!B:B)+0.1&gt;=B1972),1,0)</f>
        <v/>
      </c>
    </row>
    <row r="1973" spans="1:5">
      <c r="A1973" s="4" t="s">
        <v>33</v>
      </c>
      <c r="B1973" s="7">
        <v>0</v>
      </c>
      <c r="C1973" s="6">
        <f>IF(E1973=1,1.0,0)</f>
        <v/>
      </c>
      <c r="D1973" s="6">
        <f>IF(E1973=1,0.9,0)</f>
        <v/>
      </c>
      <c r="E1973" s="8">
        <f>IF(OR(LOOKUP(A1973,characters!A:A,characters!B:B)=-1, LOOKUP(A1973,characters!A:A,characters!B:B)+0.1&gt;=B1973),1,0)</f>
        <v/>
      </c>
    </row>
    <row r="1974" spans="1:5">
      <c r="A1974" s="4" t="s">
        <v>35</v>
      </c>
      <c r="B1974" s="7">
        <v>0</v>
      </c>
      <c r="C1974" s="6">
        <f>IF(E1974=1,1.0,0)</f>
        <v/>
      </c>
      <c r="D1974" s="5" t="s">
        <v>23</v>
      </c>
      <c r="E1974" s="8">
        <f>IF(OR(LOOKUP(A1974,characters!A:A,characters!B:B)=-1, LOOKUP(A1974,characters!A:A,characters!B:B)+0.1&gt;=B1974),1,0)</f>
        <v/>
      </c>
    </row>
    <row r="1975" spans="1:5">
      <c r="A1975" s="4" t="s">
        <v>36</v>
      </c>
      <c r="B1975" s="7">
        <v>0</v>
      </c>
      <c r="C1975" s="6">
        <f>IF(E1975=1,1.0,0)</f>
        <v/>
      </c>
      <c r="D1975" s="5" t="s">
        <v>23</v>
      </c>
      <c r="E1975" s="8">
        <f>IF(OR(LOOKUP(A1975,characters!A:A,characters!B:B)=-1, LOOKUP(A1975,characters!A:A,characters!B:B)+0.1&gt;=B1975),1,0)</f>
        <v/>
      </c>
    </row>
    <row r="1976" spans="1:5">
      <c r="A1976" s="4" t="s">
        <v>37</v>
      </c>
      <c r="B1976" s="7">
        <v>0</v>
      </c>
      <c r="C1976" s="6">
        <f>IF(E1976=1,1.0,0)</f>
        <v/>
      </c>
      <c r="D1976" s="6">
        <f>IF(E1976=1,0.9,0)</f>
        <v/>
      </c>
      <c r="E1976" s="8">
        <f>IF(OR(LOOKUP(A1976,characters!A:A,characters!B:B)=-1, LOOKUP(A1976,characters!A:A,characters!B:B)+0.1&gt;=B1976),1,0)</f>
        <v/>
      </c>
    </row>
    <row r="1977" spans="1:5">
      <c r="A1977" s="4" t="s">
        <v>39</v>
      </c>
      <c r="B1977" s="7">
        <v>0</v>
      </c>
      <c r="C1977" s="6">
        <f>IF(E1977=1,1.0,0)</f>
        <v/>
      </c>
      <c r="D1977" s="6">
        <f>IF(E1977=1,0.9,0)</f>
        <v/>
      </c>
      <c r="E1977" s="8">
        <f>IF(OR(LOOKUP(A1977,characters!A:A,characters!B:B)=-1, LOOKUP(A1977,characters!A:A,characters!B:B)+0.1&gt;=B1977),1,0)</f>
        <v/>
      </c>
    </row>
    <row r="1979" spans="1:5">
      <c r="A1979" s="3" t="s">
        <v>52</v>
      </c>
      <c r="B1979" s="3" t="s">
        <v>9</v>
      </c>
      <c r="C1979" s="3" t="s">
        <v>10</v>
      </c>
    </row>
    <row r="1980" spans="1:5">
      <c r="A1980" s="4" t="s">
        <v>22</v>
      </c>
      <c r="B1980" s="5" t="s">
        <v>23</v>
      </c>
      <c r="C1980" s="6">
        <f>IF(SUM(D1981:D1987)=0,0,SUM(C1981:C1987)/SUM(D1981:D1987))</f>
        <v/>
      </c>
    </row>
    <row r="1981" spans="1:5">
      <c r="A1981" s="4" t="s">
        <v>26</v>
      </c>
      <c r="B1981" s="7">
        <v>0</v>
      </c>
      <c r="C1981" s="6">
        <f>IF(D1981=1,1.0,0)</f>
        <v/>
      </c>
      <c r="D1981" s="8">
        <f>IF(OR(LOOKUP(A1981,characters!A:A,characters!B:B)=-1, LOOKUP(A1981,characters!A:A,characters!B:B)+0.1&gt;=B1981),1,0)</f>
        <v/>
      </c>
    </row>
    <row r="1982" spans="1:5">
      <c r="A1982" s="4" t="s">
        <v>29</v>
      </c>
      <c r="B1982" s="7">
        <v>0</v>
      </c>
      <c r="C1982" s="6">
        <f>IF(D1982=1,1.0,0)</f>
        <v/>
      </c>
      <c r="D1982" s="8">
        <f>IF(OR(LOOKUP(A1982,characters!A:A,characters!B:B)=-1, LOOKUP(A1982,characters!A:A,characters!B:B)+0.1&gt;=B1982),1,0)</f>
        <v/>
      </c>
    </row>
    <row r="1983" spans="1:5">
      <c r="A1983" s="4" t="s">
        <v>33</v>
      </c>
      <c r="B1983" s="7">
        <v>0</v>
      </c>
      <c r="C1983" s="6">
        <f>IF(D1983=1,1.0,0)</f>
        <v/>
      </c>
      <c r="D1983" s="8">
        <f>IF(OR(LOOKUP(A1983,characters!A:A,characters!B:B)=-1, LOOKUP(A1983,characters!A:A,characters!B:B)+0.1&gt;=B1983),1,0)</f>
        <v/>
      </c>
    </row>
    <row r="1984" spans="1:5">
      <c r="A1984" s="4" t="s">
        <v>35</v>
      </c>
      <c r="B1984" s="7">
        <v>0</v>
      </c>
      <c r="C1984" s="6">
        <f>IF(D1984=1,1.0,0)</f>
        <v/>
      </c>
      <c r="D1984" s="8">
        <f>IF(OR(LOOKUP(A1984,characters!A:A,characters!B:B)=-1, LOOKUP(A1984,characters!A:A,characters!B:B)+0.1&gt;=B1984),1,0)</f>
        <v/>
      </c>
    </row>
    <row r="1985" spans="1:12">
      <c r="A1985" s="4" t="s">
        <v>36</v>
      </c>
      <c r="B1985" s="7">
        <v>0</v>
      </c>
      <c r="C1985" s="6">
        <f>IF(D1985=1,1.0,0)</f>
        <v/>
      </c>
      <c r="D1985" s="8">
        <f>IF(OR(LOOKUP(A1985,characters!A:A,characters!B:B)=-1, LOOKUP(A1985,characters!A:A,characters!B:B)+0.1&gt;=B1985),1,0)</f>
        <v/>
      </c>
    </row>
    <row r="1986" spans="1:12">
      <c r="A1986" s="4" t="s">
        <v>37</v>
      </c>
      <c r="B1986" s="7">
        <v>0</v>
      </c>
      <c r="C1986" s="6">
        <f>IF(D1986=1,1.0,0)</f>
        <v/>
      </c>
      <c r="D1986" s="8">
        <f>IF(OR(LOOKUP(A1986,characters!A:A,characters!B:B)=-1, LOOKUP(A1986,characters!A:A,characters!B:B)+0.1&gt;=B1986),1,0)</f>
        <v/>
      </c>
    </row>
    <row r="1987" spans="1:12">
      <c r="A1987" s="4" t="s">
        <v>39</v>
      </c>
      <c r="B1987" s="7">
        <v>0</v>
      </c>
      <c r="C1987" s="6">
        <f>IF(D1987=1,1.0,0)</f>
        <v/>
      </c>
      <c r="D1987" s="8">
        <f>IF(OR(LOOKUP(A1987,characters!A:A,characters!B:B)=-1, LOOKUP(A1987,characters!A:A,characters!B:B)+0.1&gt;=B1987),1,0)</f>
        <v/>
      </c>
    </row>
    <row r="1994" spans="1:12">
      <c r="A1994" s="3" t="s">
        <v>150</v>
      </c>
    </row>
    <row r="1995" spans="1:12">
      <c r="A1995" s="3" t="s">
        <v>8</v>
      </c>
      <c r="B1995" s="3" t="s">
        <v>9</v>
      </c>
      <c r="C1995" s="3" t="s">
        <v>16</v>
      </c>
      <c r="D1995" s="3" t="s">
        <v>10</v>
      </c>
      <c r="E1995" s="3" t="s">
        <v>14</v>
      </c>
      <c r="F1995" s="3" t="s">
        <v>15</v>
      </c>
      <c r="G1995" s="3" t="s">
        <v>17</v>
      </c>
      <c r="H1995" s="3" t="s">
        <v>18</v>
      </c>
      <c r="I1995" s="3" t="s">
        <v>11</v>
      </c>
      <c r="J1995" s="3" t="s">
        <v>13</v>
      </c>
      <c r="K1995" s="3" t="s">
        <v>12</v>
      </c>
    </row>
    <row r="1996" spans="1:12">
      <c r="A1996" s="4" t="s">
        <v>22</v>
      </c>
      <c r="B1996" s="5" t="s">
        <v>23</v>
      </c>
      <c r="C1996" s="6">
        <f>IF(SUM(L1997:L2000)=0,0,SUM(C1997:C2000)/SUM(L1997:L2000))</f>
        <v/>
      </c>
      <c r="D1996" s="6">
        <f>IF(SUM(L1997:L2000)=0,0,SUM(D1997:D2000)/SUM(L1997:L2000))</f>
        <v/>
      </c>
      <c r="E1996" s="6">
        <f>IF(SUM(L1997:L2000)=0,0,SUM(E1997:E2000)/SUM(L1997:L2000))</f>
        <v/>
      </c>
      <c r="F1996" s="6">
        <f>IF(SUM(L1997:L2000)=0,0,SUM(F1997:F2000)/SUM(L1997:L2000))</f>
        <v/>
      </c>
      <c r="G1996" s="6">
        <f>IF(SUM(L1997:L2000)=0,0,SUM(G1997:G2000)/SUM(L1997:L2000))</f>
        <v/>
      </c>
      <c r="H1996" s="6">
        <f>IF(SUM(L1997:L2000)=0,0,SUM(H1997:H2000)/SUM(L1997:L2000))</f>
        <v/>
      </c>
      <c r="I1996" s="6">
        <f>IF(SUM(L1997:L2000)=0,0,SUM(I1997:I2000)/SUM(L1997:L2000))</f>
        <v/>
      </c>
      <c r="J1996" s="6">
        <f>IF(SUM(L1997:L2000)=0,0,SUM(J1997:J2000)/SUM(L1997:L2000))</f>
        <v/>
      </c>
      <c r="K1996" s="6">
        <f>IF(SUM(L1997:L2000)=0,0,SUM(K1997:K2000)/SUM(L1997:L2000))</f>
        <v/>
      </c>
    </row>
    <row r="1997" spans="1:12">
      <c r="A1997" s="4" t="s">
        <v>40</v>
      </c>
      <c r="B1997" s="7">
        <v>0</v>
      </c>
      <c r="C1997" s="6">
        <f>IF(L1997=1,1.0,0)</f>
        <v/>
      </c>
      <c r="D1997" s="6">
        <f>IF(L1997=1,1.0,0)</f>
        <v/>
      </c>
      <c r="E1997" s="6">
        <f>IF(L1997=1,0.9,0)</f>
        <v/>
      </c>
      <c r="F1997" s="6">
        <f>IF(L1997=1,0.9,0)</f>
        <v/>
      </c>
      <c r="G1997" s="5" t="s">
        <v>23</v>
      </c>
      <c r="H1997" s="5" t="s">
        <v>23</v>
      </c>
      <c r="I1997" s="6">
        <f>IF(L1997=1,0.8,0)</f>
        <v/>
      </c>
      <c r="J1997" s="5" t="s">
        <v>23</v>
      </c>
      <c r="K1997" s="5" t="s">
        <v>23</v>
      </c>
      <c r="L1997" s="8">
        <f>IF(OR(LOOKUP(A1997,characters!A:A,characters!B:B)=-1, LOOKUP(A1997,characters!A:A,characters!B:B)+0.1&gt;=B1997),1,0)</f>
        <v/>
      </c>
    </row>
    <row r="1998" spans="1:12">
      <c r="A1998" s="4" t="s">
        <v>31</v>
      </c>
      <c r="B1998" s="7">
        <v>1</v>
      </c>
      <c r="C1998" s="6">
        <f>IF(L1998=1,1.0,0)</f>
        <v/>
      </c>
      <c r="D1998" s="6">
        <f>IF(L1998=1,0.9,0)</f>
        <v/>
      </c>
      <c r="E1998" s="5" t="s">
        <v>23</v>
      </c>
      <c r="F1998" s="5" t="s">
        <v>23</v>
      </c>
      <c r="G1998" s="6">
        <f>IF(L1998=1,0.8,0)</f>
        <v/>
      </c>
      <c r="H1998" s="6">
        <f>IF(L1998=1,0.7,0)</f>
        <v/>
      </c>
      <c r="I1998" s="5" t="s">
        <v>23</v>
      </c>
      <c r="J1998" s="6">
        <f>IF(L1998=1,0.7,0)</f>
        <v/>
      </c>
      <c r="K1998" s="6">
        <f>IF(L1998=1,0.7,0)</f>
        <v/>
      </c>
      <c r="L1998" s="8">
        <f>IF(OR(LOOKUP(A1998,characters!A:A,characters!B:B)=-1, LOOKUP(A1998,characters!A:A,characters!B:B)+0.1&gt;=B1998),1,0)</f>
        <v/>
      </c>
    </row>
    <row r="1999" spans="1:12">
      <c r="A1999" s="4" t="s">
        <v>34</v>
      </c>
      <c r="B1999" s="7">
        <v>2</v>
      </c>
      <c r="C1999" s="6">
        <f>IF(L1999=1,1.0,0)</f>
        <v/>
      </c>
      <c r="D1999" s="6">
        <f>IF(L1999=1,0.9,0)</f>
        <v/>
      </c>
      <c r="E1999" s="5" t="s">
        <v>23</v>
      </c>
      <c r="F1999" s="5" t="s">
        <v>23</v>
      </c>
      <c r="G1999" s="6">
        <f>IF(L1999=1,0.8,0)</f>
        <v/>
      </c>
      <c r="H1999" s="5" t="s">
        <v>23</v>
      </c>
      <c r="I1999" s="5" t="s">
        <v>23</v>
      </c>
      <c r="J1999" s="5" t="s">
        <v>23</v>
      </c>
      <c r="K1999" s="5" t="s">
        <v>23</v>
      </c>
      <c r="L1999" s="8">
        <f>IF(OR(LOOKUP(A1999,characters!A:A,characters!B:B)=-1, LOOKUP(A1999,characters!A:A,characters!B:B)+0.1&gt;=B1999),1,0)</f>
        <v/>
      </c>
    </row>
    <row r="2000" spans="1:12">
      <c r="A2000" s="4" t="s">
        <v>43</v>
      </c>
      <c r="B2000" s="7">
        <v>2</v>
      </c>
      <c r="C2000" s="6">
        <f>IF(L2000=1,1.0,0)</f>
        <v/>
      </c>
      <c r="D2000" s="6">
        <f>IF(L2000=1,1.0,0)</f>
        <v/>
      </c>
      <c r="E2000" s="6">
        <f>IF(L2000=1,0.9,0)</f>
        <v/>
      </c>
      <c r="F2000" s="6">
        <f>IF(L2000=1,0.9,0)</f>
        <v/>
      </c>
      <c r="G2000" s="5" t="s">
        <v>23</v>
      </c>
      <c r="H2000" s="6">
        <f>IF(L2000=1,0.9,0)</f>
        <v/>
      </c>
      <c r="I2000" s="6">
        <f>IF(L2000=1,0.8,0)</f>
        <v/>
      </c>
      <c r="J2000" s="5" t="s">
        <v>23</v>
      </c>
      <c r="K2000" s="5" t="s">
        <v>23</v>
      </c>
      <c r="L2000" s="8">
        <f>IF(OR(LOOKUP(A2000,characters!A:A,characters!B:B)=-1, LOOKUP(A2000,characters!A:A,characters!B:B)+0.1&gt;=B2000),1,0)</f>
        <v/>
      </c>
    </row>
    <row r="2002" spans="1:6">
      <c r="A2002" s="3" t="s">
        <v>49</v>
      </c>
      <c r="B2002" s="3" t="s">
        <v>9</v>
      </c>
      <c r="C2002" s="3" t="s">
        <v>17</v>
      </c>
      <c r="D2002" s="3" t="s">
        <v>16</v>
      </c>
      <c r="E2002" s="3" t="s">
        <v>13</v>
      </c>
    </row>
    <row r="2003" spans="1:6">
      <c r="A2003" s="4" t="s">
        <v>22</v>
      </c>
      <c r="B2003" s="5" t="s">
        <v>23</v>
      </c>
      <c r="C2003" s="6">
        <f>IF(SUM(F2004:F2007)=0,0,SUM(C2004:C2007)/SUM(F2004:F2007))</f>
        <v/>
      </c>
      <c r="D2003" s="6">
        <f>IF(SUM(F2004:F2007)=0,0,SUM(D2004:D2007)/SUM(F2004:F2007))</f>
        <v/>
      </c>
      <c r="E2003" s="6">
        <f>IF(SUM(F2004:F2007)=0,0,SUM(E2004:E2007)/SUM(F2004:F2007))</f>
        <v/>
      </c>
    </row>
    <row r="2004" spans="1:6">
      <c r="A2004" s="4" t="s">
        <v>31</v>
      </c>
      <c r="B2004" s="7">
        <v>1</v>
      </c>
      <c r="C2004" s="6">
        <f>IF(F2004=1,1.0,0)</f>
        <v/>
      </c>
      <c r="D2004" s="6">
        <f>IF(F2004=1,0.9,0)</f>
        <v/>
      </c>
      <c r="E2004" s="5" t="s">
        <v>23</v>
      </c>
      <c r="F2004" s="8">
        <f>IF(OR(LOOKUP(A2004,characters!A:A,characters!B:B)=-1, LOOKUP(A2004,characters!A:A,characters!B:B)+0.1&gt;=B2004),1,0)</f>
        <v/>
      </c>
    </row>
    <row r="2005" spans="1:6">
      <c r="A2005" s="4" t="s">
        <v>34</v>
      </c>
      <c r="B2005" s="7">
        <v>2</v>
      </c>
      <c r="C2005" s="5" t="s">
        <v>23</v>
      </c>
      <c r="D2005" s="6">
        <f>IF(F2005=1,1.0,0)</f>
        <v/>
      </c>
      <c r="E2005" s="5" t="s">
        <v>23</v>
      </c>
      <c r="F2005" s="8">
        <f>IF(OR(LOOKUP(A2005,characters!A:A,characters!B:B)=-1, LOOKUP(A2005,characters!A:A,characters!B:B)+0.1&gt;=B2005),1,0)</f>
        <v/>
      </c>
    </row>
    <row r="2006" spans="1:6">
      <c r="A2006" s="4" t="s">
        <v>40</v>
      </c>
      <c r="B2006" s="7">
        <v>0</v>
      </c>
      <c r="C2006" s="5" t="s">
        <v>23</v>
      </c>
      <c r="D2006" s="6">
        <f>IF(F2006=1,1.0,0)</f>
        <v/>
      </c>
      <c r="E2006" s="6">
        <f>IF(F2006=1,0.9,0)</f>
        <v/>
      </c>
      <c r="F2006" s="8">
        <f>IF(OR(LOOKUP(A2006,characters!A:A,characters!B:B)=-1, LOOKUP(A2006,characters!A:A,characters!B:B)+0.1&gt;=B2006),1,0)</f>
        <v/>
      </c>
    </row>
    <row r="2007" spans="1:6">
      <c r="A2007" s="4" t="s">
        <v>43</v>
      </c>
      <c r="B2007" s="7">
        <v>2</v>
      </c>
      <c r="C2007" s="5" t="s">
        <v>23</v>
      </c>
      <c r="D2007" s="6">
        <f>IF(F2007=1,1.0,0)</f>
        <v/>
      </c>
      <c r="E2007" s="5" t="s">
        <v>23</v>
      </c>
      <c r="F2007" s="8">
        <f>IF(OR(LOOKUP(A2007,characters!A:A,characters!B:B)=-1, LOOKUP(A2007,characters!A:A,characters!B:B)+0.1&gt;=B2007),1,0)</f>
        <v/>
      </c>
    </row>
    <row r="2009" spans="1:6">
      <c r="A2009" s="3" t="s">
        <v>52</v>
      </c>
      <c r="B2009" s="3" t="s">
        <v>9</v>
      </c>
      <c r="C2009" s="3" t="s">
        <v>10</v>
      </c>
    </row>
    <row r="2010" spans="1:6">
      <c r="A2010" s="4" t="s">
        <v>22</v>
      </c>
      <c r="B2010" s="5" t="s">
        <v>23</v>
      </c>
      <c r="C2010" s="6">
        <f>IF(SUM(D2011:D2014)=0,0,SUM(C2011:C2014)/SUM(D2011:D2014))</f>
        <v/>
      </c>
    </row>
    <row r="2011" spans="1:6">
      <c r="A2011" s="4" t="s">
        <v>31</v>
      </c>
      <c r="B2011" s="7">
        <v>1</v>
      </c>
      <c r="C2011" s="6">
        <f>IF(D2011=1,1.0,0)</f>
        <v/>
      </c>
      <c r="D2011" s="8">
        <f>IF(OR(LOOKUP(A2011,characters!A:A,characters!B:B)=-1, LOOKUP(A2011,characters!A:A,characters!B:B)+0.1&gt;=B2011),1,0)</f>
        <v/>
      </c>
    </row>
    <row r="2012" spans="1:6">
      <c r="A2012" s="4" t="s">
        <v>34</v>
      </c>
      <c r="B2012" s="7">
        <v>2</v>
      </c>
      <c r="C2012" s="6">
        <f>IF(D2012=1,1.0,0)</f>
        <v/>
      </c>
      <c r="D2012" s="8">
        <f>IF(OR(LOOKUP(A2012,characters!A:A,characters!B:B)=-1, LOOKUP(A2012,characters!A:A,characters!B:B)+0.1&gt;=B2012),1,0)</f>
        <v/>
      </c>
    </row>
    <row r="2013" spans="1:6">
      <c r="A2013" s="4" t="s">
        <v>40</v>
      </c>
      <c r="B2013" s="7">
        <v>0</v>
      </c>
      <c r="C2013" s="6">
        <f>IF(D2013=1,1.0,0)</f>
        <v/>
      </c>
      <c r="D2013" s="8">
        <f>IF(OR(LOOKUP(A2013,characters!A:A,characters!B:B)=-1, LOOKUP(A2013,characters!A:A,characters!B:B)+0.1&gt;=B2013),1,0)</f>
        <v/>
      </c>
    </row>
    <row r="2014" spans="1:6">
      <c r="A2014" s="4" t="s">
        <v>43</v>
      </c>
      <c r="B2014" s="7">
        <v>2</v>
      </c>
      <c r="C2014" s="6">
        <f>IF(D2014=1,1.0,0)</f>
        <v/>
      </c>
      <c r="D2014" s="8">
        <f>IF(OR(LOOKUP(A2014,characters!A:A,characters!B:B)=-1, LOOKUP(A2014,characters!A:A,characters!B:B)+0.1&gt;=B2014),1,0)</f>
        <v/>
      </c>
    </row>
    <row r="2021" spans="1:10">
      <c r="A2021" s="3" t="s">
        <v>151</v>
      </c>
    </row>
    <row r="2022" spans="1:10">
      <c r="A2022" s="3" t="s">
        <v>8</v>
      </c>
      <c r="B2022" s="3" t="s">
        <v>9</v>
      </c>
      <c r="C2022" s="3" t="s">
        <v>19</v>
      </c>
      <c r="D2022" s="3" t="s">
        <v>21</v>
      </c>
      <c r="E2022" s="3" t="s">
        <v>10</v>
      </c>
      <c r="F2022" s="3" t="s">
        <v>17</v>
      </c>
      <c r="G2022" s="3" t="s">
        <v>18</v>
      </c>
      <c r="H2022" s="3" t="s">
        <v>16</v>
      </c>
      <c r="I2022" s="3" t="s">
        <v>13</v>
      </c>
    </row>
    <row r="2023" spans="1:10">
      <c r="A2023" s="4" t="s">
        <v>22</v>
      </c>
      <c r="B2023" s="5" t="s">
        <v>23</v>
      </c>
      <c r="C2023" s="6">
        <f>IF(SUM(J2024:J2039)=0,0,SUM(C2024:C2039)/SUM(J2024:J2039))</f>
        <v/>
      </c>
      <c r="D2023" s="6">
        <f>IF(SUM(J2024:J2039)=0,0,SUM(D2024:D2039)/SUM(J2024:J2039))</f>
        <v/>
      </c>
      <c r="E2023" s="6">
        <f>IF(SUM(J2024:J2039)=0,0,SUM(E2024:E2039)/SUM(J2024:J2039))</f>
        <v/>
      </c>
      <c r="F2023" s="6">
        <f>IF(SUM(J2024:J2039)=0,0,SUM(F2024:F2039)/SUM(J2024:J2039))</f>
        <v/>
      </c>
      <c r="G2023" s="6">
        <f>IF(SUM(J2024:J2039)=0,0,SUM(G2024:G2039)/SUM(J2024:J2039))</f>
        <v/>
      </c>
      <c r="H2023" s="6">
        <f>IF(SUM(J2024:J2039)=0,0,SUM(H2024:H2039)/SUM(J2024:J2039))</f>
        <v/>
      </c>
      <c r="I2023" s="6">
        <f>IF(SUM(J2024:J2039)=0,0,SUM(I2024:I2039)/SUM(J2024:J2039))</f>
        <v/>
      </c>
    </row>
    <row r="2024" spans="1:10">
      <c r="A2024" s="4" t="s">
        <v>57</v>
      </c>
      <c r="B2024" s="7">
        <v>0</v>
      </c>
      <c r="C2024" s="6">
        <f>IF(J2024=1,0.9,0)</f>
        <v/>
      </c>
      <c r="D2024" s="6">
        <f>IF(J2024=1,0.9,0)</f>
        <v/>
      </c>
      <c r="E2024" s="6">
        <f>IF(J2024=1,1.0,0)</f>
        <v/>
      </c>
      <c r="F2024" s="6">
        <f>IF(J2024=1,0.8,0)</f>
        <v/>
      </c>
      <c r="G2024" s="5" t="s">
        <v>23</v>
      </c>
      <c r="H2024" s="5" t="s">
        <v>23</v>
      </c>
      <c r="I2024" s="5" t="s">
        <v>23</v>
      </c>
      <c r="J2024" s="8">
        <f>IF(OR(LOOKUP(A2024,characters!A:A,characters!B:B)=-1, LOOKUP(A2024,characters!A:A,characters!B:B)+0.1&gt;=B2024),1,0)</f>
        <v/>
      </c>
    </row>
    <row r="2025" spans="1:10">
      <c r="A2025" s="4" t="s">
        <v>125</v>
      </c>
      <c r="B2025" s="7">
        <v>0</v>
      </c>
      <c r="C2025" s="6">
        <f>IF(J2025=1,0.9,0)</f>
        <v/>
      </c>
      <c r="D2025" s="6">
        <f>IF(J2025=1,0.9,0)</f>
        <v/>
      </c>
      <c r="E2025" s="6">
        <f>IF(J2025=1,1.0,0)</f>
        <v/>
      </c>
      <c r="F2025" s="5" t="s">
        <v>23</v>
      </c>
      <c r="G2025" s="5" t="s">
        <v>23</v>
      </c>
      <c r="H2025" s="5" t="s">
        <v>23</v>
      </c>
      <c r="I2025" s="6">
        <f>IF(J2025=1,0.8,0)</f>
        <v/>
      </c>
      <c r="J2025" s="8">
        <f>IF(OR(LOOKUP(A2025,characters!A:A,characters!B:B)=-1, LOOKUP(A2025,characters!A:A,characters!B:B)+0.1&gt;=B2025),1,0)</f>
        <v/>
      </c>
    </row>
    <row r="2026" spans="1:10">
      <c r="A2026" s="4" t="s">
        <v>104</v>
      </c>
      <c r="B2026" s="7">
        <v>0</v>
      </c>
      <c r="C2026" s="6">
        <f>IF(J2026=1,1.0,0)</f>
        <v/>
      </c>
      <c r="D2026" s="6">
        <f>IF(J2026=1,1.0,0)</f>
        <v/>
      </c>
      <c r="E2026" s="6">
        <f>IF(J2026=1,1.0,0)</f>
        <v/>
      </c>
      <c r="F2026" s="6">
        <f>IF(J2026=1,0.9,0)</f>
        <v/>
      </c>
      <c r="G2026" s="5" t="s">
        <v>23</v>
      </c>
      <c r="H2026" s="5" t="s">
        <v>23</v>
      </c>
      <c r="I2026" s="5" t="s">
        <v>23</v>
      </c>
      <c r="J2026" s="8">
        <f>IF(OR(LOOKUP(A2026,characters!A:A,characters!B:B)=-1, LOOKUP(A2026,characters!A:A,characters!B:B)+0.1&gt;=B2026),1,0)</f>
        <v/>
      </c>
    </row>
    <row r="2027" spans="1:10">
      <c r="A2027" s="4" t="s">
        <v>105</v>
      </c>
      <c r="B2027" s="7">
        <v>0</v>
      </c>
      <c r="C2027" s="6">
        <f>IF(J2027=1,1.0,0)</f>
        <v/>
      </c>
      <c r="D2027" s="6">
        <f>IF(J2027=1,1.0,0)</f>
        <v/>
      </c>
      <c r="E2027" s="5" t="s">
        <v>23</v>
      </c>
      <c r="F2027" s="6">
        <f>IF(J2027=1,0.9,0)</f>
        <v/>
      </c>
      <c r="G2027" s="5" t="s">
        <v>23</v>
      </c>
      <c r="H2027" s="5" t="s">
        <v>23</v>
      </c>
      <c r="I2027" s="5" t="s">
        <v>23</v>
      </c>
      <c r="J2027" s="8">
        <f>IF(OR(LOOKUP(A2027,characters!A:A,characters!B:B)=-1, LOOKUP(A2027,characters!A:A,characters!B:B)+0.1&gt;=B2027),1,0)</f>
        <v/>
      </c>
    </row>
    <row r="2028" spans="1:10">
      <c r="A2028" s="4" t="s">
        <v>106</v>
      </c>
      <c r="B2028" s="7">
        <v>0</v>
      </c>
      <c r="C2028" s="6">
        <f>IF(J2028=1,0.9,0)</f>
        <v/>
      </c>
      <c r="D2028" s="6">
        <f>IF(J2028=1,0.9,0)</f>
        <v/>
      </c>
      <c r="E2028" s="6">
        <f>IF(J2028=1,1.0,0)</f>
        <v/>
      </c>
      <c r="F2028" s="6">
        <f>IF(J2028=1,0.8,0)</f>
        <v/>
      </c>
      <c r="G2028" s="5" t="s">
        <v>23</v>
      </c>
      <c r="H2028" s="5" t="s">
        <v>23</v>
      </c>
      <c r="I2028" s="5" t="s">
        <v>23</v>
      </c>
      <c r="J2028" s="8">
        <f>IF(OR(LOOKUP(A2028,characters!A:A,characters!B:B)=-1, LOOKUP(A2028,characters!A:A,characters!B:B)+0.1&gt;=B2028),1,0)</f>
        <v/>
      </c>
    </row>
    <row r="2029" spans="1:10">
      <c r="A2029" s="4" t="s">
        <v>110</v>
      </c>
      <c r="B2029" s="7">
        <v>0</v>
      </c>
      <c r="C2029" s="6">
        <f>IF(J2029=1,0.9,0)</f>
        <v/>
      </c>
      <c r="D2029" s="6">
        <f>IF(J2029=1,0.9,0)</f>
        <v/>
      </c>
      <c r="E2029" s="6">
        <f>IF(J2029=1,1.0,0)</f>
        <v/>
      </c>
      <c r="F2029" s="6">
        <f>IF(J2029=1,0.8,0)</f>
        <v/>
      </c>
      <c r="G2029" s="5" t="s">
        <v>23</v>
      </c>
      <c r="H2029" s="5" t="s">
        <v>23</v>
      </c>
      <c r="I2029" s="5" t="s">
        <v>23</v>
      </c>
      <c r="J2029" s="8">
        <f>IF(OR(LOOKUP(A2029,characters!A:A,characters!B:B)=-1, LOOKUP(A2029,characters!A:A,characters!B:B)+0.1&gt;=B2029),1,0)</f>
        <v/>
      </c>
    </row>
    <row r="2030" spans="1:10">
      <c r="A2030" s="4" t="s">
        <v>108</v>
      </c>
      <c r="B2030" s="7">
        <v>0</v>
      </c>
      <c r="C2030" s="6">
        <f>IF(J2030=1,0.9,0)</f>
        <v/>
      </c>
      <c r="D2030" s="6">
        <f>IF(J2030=1,0.9,0)</f>
        <v/>
      </c>
      <c r="E2030" s="6">
        <f>IF(J2030=1,1.0,0)</f>
        <v/>
      </c>
      <c r="F2030" s="6">
        <f>IF(J2030=1,0.8,0)</f>
        <v/>
      </c>
      <c r="G2030" s="5" t="s">
        <v>23</v>
      </c>
      <c r="H2030" s="5" t="s">
        <v>23</v>
      </c>
      <c r="I2030" s="5" t="s">
        <v>23</v>
      </c>
      <c r="J2030" s="8">
        <f>IF(OR(LOOKUP(A2030,characters!A:A,characters!B:B)=-1, LOOKUP(A2030,characters!A:A,characters!B:B)+0.1&gt;=B2030),1,0)</f>
        <v/>
      </c>
    </row>
    <row r="2031" spans="1:10">
      <c r="A2031" s="4" t="s">
        <v>109</v>
      </c>
      <c r="B2031" s="7">
        <v>0</v>
      </c>
      <c r="C2031" s="6">
        <f>IF(J2031=1,1.0,0)</f>
        <v/>
      </c>
      <c r="D2031" s="6">
        <f>IF(J2031=1,1.0,0)</f>
        <v/>
      </c>
      <c r="E2031" s="5" t="s">
        <v>23</v>
      </c>
      <c r="F2031" s="6">
        <f>IF(J2031=1,0.9,0)</f>
        <v/>
      </c>
      <c r="G2031" s="5" t="s">
        <v>23</v>
      </c>
      <c r="H2031" s="5" t="s">
        <v>23</v>
      </c>
      <c r="I2031" s="5" t="s">
        <v>23</v>
      </c>
      <c r="J2031" s="8">
        <f>IF(OR(LOOKUP(A2031,characters!A:A,characters!B:B)=-1, LOOKUP(A2031,characters!A:A,characters!B:B)+0.1&gt;=B2031),1,0)</f>
        <v/>
      </c>
    </row>
    <row r="2032" spans="1:10">
      <c r="A2032" s="4" t="s">
        <v>73</v>
      </c>
      <c r="B2032" s="7">
        <v>0</v>
      </c>
      <c r="C2032" s="6">
        <f>IF(J2032=1,0.89,0)</f>
        <v/>
      </c>
      <c r="D2032" s="6">
        <f>IF(J2032=1,0.89,0)</f>
        <v/>
      </c>
      <c r="E2032" s="6">
        <f>IF(J2032=1,1.0,0)</f>
        <v/>
      </c>
      <c r="F2032" s="6">
        <f>IF(J2032=1,0.79,0)</f>
        <v/>
      </c>
      <c r="G2032" s="6">
        <f>IF(J2032=1,0.9,0)</f>
        <v/>
      </c>
      <c r="H2032" s="5" t="s">
        <v>23</v>
      </c>
      <c r="I2032" s="5" t="s">
        <v>23</v>
      </c>
      <c r="J2032" s="8">
        <f>IF(OR(LOOKUP(A2032,characters!A:A,characters!B:B)=-1, LOOKUP(A2032,characters!A:A,characters!B:B)+0.1&gt;=B2032),1,0)</f>
        <v/>
      </c>
    </row>
    <row r="2033" spans="1:12">
      <c r="A2033" s="4" t="s">
        <v>74</v>
      </c>
      <c r="B2033" s="7">
        <v>0</v>
      </c>
      <c r="C2033" s="6">
        <f>IF(J2033=1,0.89,0)</f>
        <v/>
      </c>
      <c r="D2033" s="6">
        <f>IF(J2033=1,0.89,0)</f>
        <v/>
      </c>
      <c r="E2033" s="6">
        <f>IF(J2033=1,1.0,0)</f>
        <v/>
      </c>
      <c r="F2033" s="6">
        <f>IF(J2033=1,0.79,0)</f>
        <v/>
      </c>
      <c r="G2033" s="6">
        <f>IF(J2033=1,0.9,0)</f>
        <v/>
      </c>
      <c r="H2033" s="5" t="s">
        <v>23</v>
      </c>
      <c r="I2033" s="5" t="s">
        <v>23</v>
      </c>
      <c r="J2033" s="8">
        <f>IF(OR(LOOKUP(A2033,characters!A:A,characters!B:B)=-1, LOOKUP(A2033,characters!A:A,characters!B:B)+0.1&gt;=B2033),1,0)</f>
        <v/>
      </c>
    </row>
    <row r="2034" spans="1:12">
      <c r="A2034" s="4" t="s">
        <v>101</v>
      </c>
      <c r="B2034" s="7">
        <v>1</v>
      </c>
      <c r="C2034" s="6">
        <f>IF(J2034=1,0.9,0)</f>
        <v/>
      </c>
      <c r="D2034" s="6">
        <f>IF(J2034=1,0.9,0)</f>
        <v/>
      </c>
      <c r="E2034" s="6">
        <f>IF(J2034=1,1.0,0)</f>
        <v/>
      </c>
      <c r="F2034" s="6">
        <f>IF(J2034=1,0.8,0)</f>
        <v/>
      </c>
      <c r="G2034" s="5" t="s">
        <v>23</v>
      </c>
      <c r="H2034" s="5" t="s">
        <v>23</v>
      </c>
      <c r="I2034" s="5" t="s">
        <v>23</v>
      </c>
      <c r="J2034" s="8">
        <f>IF(OR(LOOKUP(A2034,characters!A:A,characters!B:B)=-1, LOOKUP(A2034,characters!A:A,characters!B:B)+0.1&gt;=B2034),1,0)</f>
        <v/>
      </c>
    </row>
    <row r="2035" spans="1:12">
      <c r="A2035" s="4" t="s">
        <v>103</v>
      </c>
      <c r="B2035" s="7">
        <v>1</v>
      </c>
      <c r="C2035" s="6">
        <f>IF(J2035=1,0.9,0)</f>
        <v/>
      </c>
      <c r="D2035" s="6">
        <f>IF(J2035=1,0.7,0)</f>
        <v/>
      </c>
      <c r="E2035" s="6">
        <f>IF(J2035=1,1.0,0)</f>
        <v/>
      </c>
      <c r="F2035" s="6">
        <f>IF(J2035=1,0.8,0)</f>
        <v/>
      </c>
      <c r="G2035" s="5" t="s">
        <v>23</v>
      </c>
      <c r="H2035" s="5" t="s">
        <v>23</v>
      </c>
      <c r="I2035" s="5" t="s">
        <v>23</v>
      </c>
      <c r="J2035" s="8">
        <f>IF(OR(LOOKUP(A2035,characters!A:A,characters!B:B)=-1, LOOKUP(A2035,characters!A:A,characters!B:B)+0.1&gt;=B2035),1,0)</f>
        <v/>
      </c>
    </row>
    <row r="2036" spans="1:12">
      <c r="A2036" s="4" t="s">
        <v>72</v>
      </c>
      <c r="B2036" s="7">
        <v>2</v>
      </c>
      <c r="C2036" s="6">
        <f>IF(J2036=1,1.0,0)</f>
        <v/>
      </c>
      <c r="D2036" s="6">
        <f>IF(J2036=1,1.0,0)</f>
        <v/>
      </c>
      <c r="E2036" s="6">
        <f>IF(J2036=1,1.0,0)</f>
        <v/>
      </c>
      <c r="F2036" s="6">
        <f>IF(J2036=1,0.9,0)</f>
        <v/>
      </c>
      <c r="G2036" s="5" t="s">
        <v>23</v>
      </c>
      <c r="H2036" s="5" t="s">
        <v>23</v>
      </c>
      <c r="I2036" s="5" t="s">
        <v>23</v>
      </c>
      <c r="J2036" s="8">
        <f>IF(OR(LOOKUP(A2036,characters!A:A,characters!B:B)=-1, LOOKUP(A2036,characters!A:A,characters!B:B)+0.1&gt;=B2036),1,0)</f>
        <v/>
      </c>
    </row>
    <row r="2037" spans="1:12">
      <c r="A2037" s="4" t="s">
        <v>60</v>
      </c>
      <c r="B2037" s="7">
        <v>2</v>
      </c>
      <c r="C2037" s="6">
        <f>IF(J2037=1,0.9,0)</f>
        <v/>
      </c>
      <c r="D2037" s="6">
        <f>IF(J2037=1,0.9,0)</f>
        <v/>
      </c>
      <c r="E2037" s="6">
        <f>IF(J2037=1,1.0,0)</f>
        <v/>
      </c>
      <c r="F2037" s="6">
        <f>IF(J2037=1,0.8,0)</f>
        <v/>
      </c>
      <c r="G2037" s="5" t="s">
        <v>23</v>
      </c>
      <c r="H2037" s="5" t="s">
        <v>23</v>
      </c>
      <c r="I2037" s="5" t="s">
        <v>23</v>
      </c>
      <c r="J2037" s="8">
        <f>IF(OR(LOOKUP(A2037,characters!A:A,characters!B:B)=-1, LOOKUP(A2037,characters!A:A,characters!B:B)+0.1&gt;=B2037),1,0)</f>
        <v/>
      </c>
    </row>
    <row r="2038" spans="1:12">
      <c r="A2038" s="4" t="s">
        <v>111</v>
      </c>
      <c r="B2038" s="7">
        <v>4</v>
      </c>
      <c r="C2038" s="6">
        <f>IF(J2038=1,0.9,0)</f>
        <v/>
      </c>
      <c r="D2038" s="6">
        <f>IF(J2038=1,0.9,0)</f>
        <v/>
      </c>
      <c r="E2038" s="6">
        <f>IF(J2038=1,1.0,0)</f>
        <v/>
      </c>
      <c r="F2038" s="6">
        <f>IF(J2038=1,0.8,0)</f>
        <v/>
      </c>
      <c r="G2038" s="5" t="s">
        <v>23</v>
      </c>
      <c r="H2038" s="6">
        <f>IF(J2038=1,1.0,0)</f>
        <v/>
      </c>
      <c r="I2038" s="5" t="s">
        <v>23</v>
      </c>
      <c r="J2038" s="8">
        <f>IF(OR(LOOKUP(A2038,characters!A:A,characters!B:B)=-1, LOOKUP(A2038,characters!A:A,characters!B:B)+0.1&gt;=B2038),1,0)</f>
        <v/>
      </c>
    </row>
    <row r="2039" spans="1:12">
      <c r="A2039" s="4" t="s">
        <v>113</v>
      </c>
      <c r="B2039" s="7">
        <v>4</v>
      </c>
      <c r="C2039" s="6">
        <f>IF(J2039=1,0.89,0)</f>
        <v/>
      </c>
      <c r="D2039" s="6">
        <f>IF(J2039=1,0.89,0)</f>
        <v/>
      </c>
      <c r="E2039" s="6">
        <f>IF(J2039=1,1.0,0)</f>
        <v/>
      </c>
      <c r="F2039" s="6">
        <f>IF(J2039=1,0.79,0)</f>
        <v/>
      </c>
      <c r="G2039" s="6">
        <f>IF(J2039=1,0.9,0)</f>
        <v/>
      </c>
      <c r="H2039" s="5" t="s">
        <v>23</v>
      </c>
      <c r="I2039" s="5" t="s">
        <v>23</v>
      </c>
      <c r="J2039" s="8">
        <f>IF(OR(LOOKUP(A2039,characters!A:A,characters!B:B)=-1, LOOKUP(A2039,characters!A:A,characters!B:B)+0.1&gt;=B2039),1,0)</f>
        <v/>
      </c>
    </row>
    <row r="2041" spans="1:12">
      <c r="A2041" s="3" t="s">
        <v>64</v>
      </c>
      <c r="B2041" s="3" t="s">
        <v>9</v>
      </c>
      <c r="C2041" s="3" t="s">
        <v>89</v>
      </c>
      <c r="D2041" s="3" t="s">
        <v>17</v>
      </c>
      <c r="E2041" s="3" t="s">
        <v>88</v>
      </c>
      <c r="F2041" s="3" t="s">
        <v>13</v>
      </c>
      <c r="G2041" s="3" t="s">
        <v>87</v>
      </c>
      <c r="H2041" s="3" t="s">
        <v>68</v>
      </c>
      <c r="I2041" s="3" t="s">
        <v>90</v>
      </c>
      <c r="J2041" s="3" t="s">
        <v>114</v>
      </c>
      <c r="K2041" s="3" t="s">
        <v>69</v>
      </c>
    </row>
    <row r="2042" spans="1:12">
      <c r="A2042" s="4" t="s">
        <v>22</v>
      </c>
      <c r="B2042" s="5" t="s">
        <v>23</v>
      </c>
      <c r="C2042" s="6">
        <f>IF(SUM(L2043:L2058)=0,0,SUM(C2043:C2058)/SUM(L2043:L2058))</f>
        <v/>
      </c>
      <c r="D2042" s="6">
        <f>IF(SUM(L2043:L2058)=0,0,SUM(D2043:D2058)/SUM(L2043:L2058))</f>
        <v/>
      </c>
      <c r="E2042" s="6">
        <f>IF(SUM(L2043:L2058)=0,0,SUM(E2043:E2058)/SUM(L2043:L2058))</f>
        <v/>
      </c>
      <c r="F2042" s="6">
        <f>IF(SUM(L2043:L2058)=0,0,SUM(F2043:F2058)/SUM(L2043:L2058))</f>
        <v/>
      </c>
      <c r="G2042" s="6">
        <f>IF(SUM(L2043:L2058)=0,0,SUM(G2043:G2058)/SUM(L2043:L2058))</f>
        <v/>
      </c>
      <c r="H2042" s="6">
        <f>IF(SUM(L2043:L2058)=0,0,SUM(H2043:H2058)/SUM(L2043:L2058))</f>
        <v/>
      </c>
      <c r="I2042" s="6">
        <f>IF(SUM(L2043:L2058)=0,0,SUM(I2043:I2058)/SUM(L2043:L2058))</f>
        <v/>
      </c>
      <c r="J2042" s="6">
        <f>IF(SUM(L2043:L2058)=0,0,SUM(J2043:J2058)/SUM(L2043:L2058))</f>
        <v/>
      </c>
      <c r="K2042" s="6">
        <f>IF(SUM(L2043:L2058)=0,0,SUM(K2043:K2058)/SUM(L2043:L2058))</f>
        <v/>
      </c>
    </row>
    <row r="2043" spans="1:12">
      <c r="A2043" s="4" t="s">
        <v>57</v>
      </c>
      <c r="B2043" s="7">
        <v>0</v>
      </c>
      <c r="C2043" s="6">
        <f>IF(L2043=1,1.0,0)</f>
        <v/>
      </c>
      <c r="D2043" s="6">
        <f>IF(L2043=1,0.9,0)</f>
        <v/>
      </c>
      <c r="E2043" s="5" t="s">
        <v>23</v>
      </c>
      <c r="F2043" s="5" t="s">
        <v>23</v>
      </c>
      <c r="G2043" s="5" t="s">
        <v>23</v>
      </c>
      <c r="H2043" s="5" t="s">
        <v>23</v>
      </c>
      <c r="I2043" s="5" t="s">
        <v>23</v>
      </c>
      <c r="J2043" s="5" t="s">
        <v>23</v>
      </c>
      <c r="K2043" s="5" t="s">
        <v>23</v>
      </c>
      <c r="L2043" s="8">
        <f>IF(OR(LOOKUP(A2043,characters!A:A,characters!B:B)=-1, LOOKUP(A2043,characters!A:A,characters!B:B)+0.1&gt;=B2043),1,0)</f>
        <v/>
      </c>
    </row>
    <row r="2044" spans="1:12">
      <c r="A2044" s="4" t="s">
        <v>125</v>
      </c>
      <c r="B2044" s="7">
        <v>0</v>
      </c>
      <c r="C2044" s="5" t="s">
        <v>23</v>
      </c>
      <c r="D2044" s="5" t="s">
        <v>23</v>
      </c>
      <c r="E2044" s="6">
        <f>IF(L2044=1,1.0,0)</f>
        <v/>
      </c>
      <c r="F2044" s="6">
        <f>IF(L2044=1,0.99,0)</f>
        <v/>
      </c>
      <c r="G2044" s="5" t="s">
        <v>23</v>
      </c>
      <c r="H2044" s="5" t="s">
        <v>23</v>
      </c>
      <c r="I2044" s="5" t="s">
        <v>23</v>
      </c>
      <c r="J2044" s="5" t="s">
        <v>23</v>
      </c>
      <c r="K2044" s="5" t="s">
        <v>23</v>
      </c>
      <c r="L2044" s="8">
        <f>IF(OR(LOOKUP(A2044,characters!A:A,characters!B:B)=-1, LOOKUP(A2044,characters!A:A,characters!B:B)+0.1&gt;=B2044),1,0)</f>
        <v/>
      </c>
    </row>
    <row r="2045" spans="1:12">
      <c r="A2045" s="4" t="s">
        <v>72</v>
      </c>
      <c r="B2045" s="7">
        <v>2</v>
      </c>
      <c r="C2045" s="5" t="s">
        <v>23</v>
      </c>
      <c r="D2045" s="6">
        <f>IF(L2045=1,0.9,0)</f>
        <v/>
      </c>
      <c r="E2045" s="5" t="s">
        <v>23</v>
      </c>
      <c r="F2045" s="5" t="s">
        <v>23</v>
      </c>
      <c r="G2045" s="6">
        <f>IF(L2045=1,1.0,0)</f>
        <v/>
      </c>
      <c r="H2045" s="5" t="s">
        <v>23</v>
      </c>
      <c r="I2045" s="5" t="s">
        <v>23</v>
      </c>
      <c r="J2045" s="5" t="s">
        <v>23</v>
      </c>
      <c r="K2045" s="5" t="s">
        <v>23</v>
      </c>
      <c r="L2045" s="8">
        <f>IF(OR(LOOKUP(A2045,characters!A:A,characters!B:B)=-1, LOOKUP(A2045,characters!A:A,characters!B:B)+0.1&gt;=B2045),1,0)</f>
        <v/>
      </c>
    </row>
    <row r="2046" spans="1:12">
      <c r="A2046" s="4" t="s">
        <v>104</v>
      </c>
      <c r="B2046" s="7">
        <v>0</v>
      </c>
      <c r="C2046" s="5" t="s">
        <v>23</v>
      </c>
      <c r="D2046" s="6">
        <f>IF(L2046=1,0.99,0)</f>
        <v/>
      </c>
      <c r="E2046" s="6">
        <f>IF(L2046=1,1.0,0)</f>
        <v/>
      </c>
      <c r="F2046" s="5" t="s">
        <v>23</v>
      </c>
      <c r="G2046" s="5" t="s">
        <v>23</v>
      </c>
      <c r="H2046" s="5" t="s">
        <v>23</v>
      </c>
      <c r="I2046" s="5" t="s">
        <v>23</v>
      </c>
      <c r="J2046" s="5" t="s">
        <v>23</v>
      </c>
      <c r="K2046" s="5" t="s">
        <v>23</v>
      </c>
      <c r="L2046" s="8">
        <f>IF(OR(LOOKUP(A2046,characters!A:A,characters!B:B)=-1, LOOKUP(A2046,characters!A:A,characters!B:B)+0.1&gt;=B2046),1,0)</f>
        <v/>
      </c>
    </row>
    <row r="2047" spans="1:12">
      <c r="A2047" s="4" t="s">
        <v>105</v>
      </c>
      <c r="B2047" s="7">
        <v>0</v>
      </c>
      <c r="C2047" s="5" t="s">
        <v>23</v>
      </c>
      <c r="D2047" s="6">
        <f>IF(L2047=1,0.9,0)</f>
        <v/>
      </c>
      <c r="E2047" s="5" t="s">
        <v>23</v>
      </c>
      <c r="F2047" s="5" t="s">
        <v>23</v>
      </c>
      <c r="G2047" s="5" t="s">
        <v>23</v>
      </c>
      <c r="H2047" s="6">
        <f>IF(L2047=1,1.0,0)</f>
        <v/>
      </c>
      <c r="I2047" s="5" t="s">
        <v>23</v>
      </c>
      <c r="J2047" s="5" t="s">
        <v>23</v>
      </c>
      <c r="K2047" s="5" t="s">
        <v>23</v>
      </c>
      <c r="L2047" s="8">
        <f>IF(OR(LOOKUP(A2047,characters!A:A,characters!B:B)=-1, LOOKUP(A2047,characters!A:A,characters!B:B)+0.1&gt;=B2047),1,0)</f>
        <v/>
      </c>
    </row>
    <row r="2048" spans="1:12">
      <c r="A2048" s="4" t="s">
        <v>101</v>
      </c>
      <c r="B2048" s="7">
        <v>1</v>
      </c>
      <c r="C2048" s="5" t="s">
        <v>23</v>
      </c>
      <c r="D2048" s="6">
        <f>IF(L2048=1,0.9,0)</f>
        <v/>
      </c>
      <c r="E2048" s="5" t="s">
        <v>23</v>
      </c>
      <c r="F2048" s="5" t="s">
        <v>23</v>
      </c>
      <c r="G2048" s="5" t="s">
        <v>23</v>
      </c>
      <c r="H2048" s="5" t="s">
        <v>23</v>
      </c>
      <c r="I2048" s="6">
        <f>IF(L2048=1,1.0,0)</f>
        <v/>
      </c>
      <c r="J2048" s="5" t="s">
        <v>23</v>
      </c>
      <c r="K2048" s="5" t="s">
        <v>23</v>
      </c>
      <c r="L2048" s="8">
        <f>IF(OR(LOOKUP(A2048,characters!A:A,characters!B:B)=-1, LOOKUP(A2048,characters!A:A,characters!B:B)+0.1&gt;=B2048),1,0)</f>
        <v/>
      </c>
    </row>
    <row r="2049" spans="1:12">
      <c r="A2049" s="4" t="s">
        <v>106</v>
      </c>
      <c r="B2049" s="7">
        <v>0</v>
      </c>
      <c r="C2049" s="5" t="s">
        <v>23</v>
      </c>
      <c r="D2049" s="6">
        <f>IF(L2049=1,0.9,0)</f>
        <v/>
      </c>
      <c r="E2049" s="5" t="s">
        <v>23</v>
      </c>
      <c r="F2049" s="5" t="s">
        <v>23</v>
      </c>
      <c r="G2049" s="5" t="s">
        <v>23</v>
      </c>
      <c r="H2049" s="5" t="s">
        <v>23</v>
      </c>
      <c r="I2049" s="5" t="s">
        <v>23</v>
      </c>
      <c r="J2049" s="6">
        <f>IF(L2049=1,1.0,0)</f>
        <v/>
      </c>
      <c r="K2049" s="5" t="s">
        <v>23</v>
      </c>
      <c r="L2049" s="8">
        <f>IF(OR(LOOKUP(A2049,characters!A:A,characters!B:B)=-1, LOOKUP(A2049,characters!A:A,characters!B:B)+0.1&gt;=B2049),1,0)</f>
        <v/>
      </c>
    </row>
    <row r="2050" spans="1:12">
      <c r="A2050" s="4" t="s">
        <v>110</v>
      </c>
      <c r="B2050" s="7">
        <v>0</v>
      </c>
      <c r="C2050" s="5" t="s">
        <v>23</v>
      </c>
      <c r="D2050" s="6">
        <f>IF(L2050=1,0.99,0)</f>
        <v/>
      </c>
      <c r="E2050" s="5" t="s">
        <v>23</v>
      </c>
      <c r="F2050" s="5" t="s">
        <v>23</v>
      </c>
      <c r="G2050" s="5" t="s">
        <v>23</v>
      </c>
      <c r="H2050" s="6">
        <f>IF(L2050=1,1.0,0)</f>
        <v/>
      </c>
      <c r="I2050" s="5" t="s">
        <v>23</v>
      </c>
      <c r="J2050" s="5" t="s">
        <v>23</v>
      </c>
      <c r="K2050" s="5" t="s">
        <v>23</v>
      </c>
      <c r="L2050" s="8">
        <f>IF(OR(LOOKUP(A2050,characters!A:A,characters!B:B)=-1, LOOKUP(A2050,characters!A:A,characters!B:B)+0.1&gt;=B2050),1,0)</f>
        <v/>
      </c>
    </row>
    <row r="2051" spans="1:12">
      <c r="A2051" s="4" t="s">
        <v>108</v>
      </c>
      <c r="B2051" s="7">
        <v>0</v>
      </c>
      <c r="C2051" s="5" t="s">
        <v>23</v>
      </c>
      <c r="D2051" s="5" t="s">
        <v>23</v>
      </c>
      <c r="E2051" s="5" t="s">
        <v>23</v>
      </c>
      <c r="F2051" s="5" t="s">
        <v>23</v>
      </c>
      <c r="G2051" s="5" t="s">
        <v>23</v>
      </c>
      <c r="H2051" s="5" t="s">
        <v>23</v>
      </c>
      <c r="I2051" s="5" t="s">
        <v>23</v>
      </c>
      <c r="J2051" s="5" t="s">
        <v>23</v>
      </c>
      <c r="K2051" s="6">
        <f>IF(L2051=1,1.0,0)</f>
        <v/>
      </c>
      <c r="L2051" s="8">
        <f>IF(OR(LOOKUP(A2051,characters!A:A,characters!B:B)=-1, LOOKUP(A2051,characters!A:A,characters!B:B)+0.1&gt;=B2051),1,0)</f>
        <v/>
      </c>
    </row>
    <row r="2052" spans="1:12">
      <c r="A2052" s="4" t="s">
        <v>109</v>
      </c>
      <c r="B2052" s="7">
        <v>0</v>
      </c>
      <c r="C2052" s="5" t="s">
        <v>23</v>
      </c>
      <c r="D2052" s="6">
        <f>IF(L2052=1,0.99,0)</f>
        <v/>
      </c>
      <c r="E2052" s="5" t="s">
        <v>23</v>
      </c>
      <c r="F2052" s="5" t="s">
        <v>23</v>
      </c>
      <c r="G2052" s="5" t="s">
        <v>23</v>
      </c>
      <c r="H2052" s="5" t="s">
        <v>23</v>
      </c>
      <c r="I2052" s="5" t="s">
        <v>23</v>
      </c>
      <c r="J2052" s="5" t="s">
        <v>23</v>
      </c>
      <c r="K2052" s="6">
        <f>IF(L2052=1,1.0,0)</f>
        <v/>
      </c>
      <c r="L2052" s="8">
        <f>IF(OR(LOOKUP(A2052,characters!A:A,characters!B:B)=-1, LOOKUP(A2052,characters!A:A,characters!B:B)+0.1&gt;=B2052),1,0)</f>
        <v/>
      </c>
    </row>
    <row r="2053" spans="1:12">
      <c r="A2053" s="4" t="s">
        <v>60</v>
      </c>
      <c r="B2053" s="7">
        <v>2</v>
      </c>
      <c r="C2053" s="6">
        <f>IF(L2053=1,1.0,0)</f>
        <v/>
      </c>
      <c r="D2053" s="6">
        <f>IF(L2053=1,0.99,0)</f>
        <v/>
      </c>
      <c r="E2053" s="5" t="s">
        <v>23</v>
      </c>
      <c r="F2053" s="5" t="s">
        <v>23</v>
      </c>
      <c r="G2053" s="5" t="s">
        <v>23</v>
      </c>
      <c r="H2053" s="5" t="s">
        <v>23</v>
      </c>
      <c r="I2053" s="5" t="s">
        <v>23</v>
      </c>
      <c r="J2053" s="5" t="s">
        <v>23</v>
      </c>
      <c r="K2053" s="5" t="s">
        <v>23</v>
      </c>
      <c r="L2053" s="8">
        <f>IF(OR(LOOKUP(A2053,characters!A:A,characters!B:B)=-1, LOOKUP(A2053,characters!A:A,characters!B:B)+0.1&gt;=B2053),1,0)</f>
        <v/>
      </c>
    </row>
    <row r="2054" spans="1:12">
      <c r="A2054" s="4" t="s">
        <v>73</v>
      </c>
      <c r="B2054" s="7">
        <v>0</v>
      </c>
      <c r="C2054" s="5" t="s">
        <v>23</v>
      </c>
      <c r="D2054" s="6">
        <f>IF(L2054=1,0.99,0)</f>
        <v/>
      </c>
      <c r="E2054" s="5" t="s">
        <v>23</v>
      </c>
      <c r="F2054" s="5" t="s">
        <v>23</v>
      </c>
      <c r="G2054" s="6">
        <f>IF(L2054=1,1.0,0)</f>
        <v/>
      </c>
      <c r="H2054" s="5" t="s">
        <v>23</v>
      </c>
      <c r="I2054" s="5" t="s">
        <v>23</v>
      </c>
      <c r="J2054" s="5" t="s">
        <v>23</v>
      </c>
      <c r="K2054" s="5" t="s">
        <v>23</v>
      </c>
      <c r="L2054" s="8">
        <f>IF(OR(LOOKUP(A2054,characters!A:A,characters!B:B)=-1, LOOKUP(A2054,characters!A:A,characters!B:B)+0.1&gt;=B2054),1,0)</f>
        <v/>
      </c>
    </row>
    <row r="2055" spans="1:12">
      <c r="A2055" s="4" t="s">
        <v>74</v>
      </c>
      <c r="B2055" s="7">
        <v>0</v>
      </c>
      <c r="C2055" s="5" t="s">
        <v>23</v>
      </c>
      <c r="D2055" s="6">
        <f>IF(L2055=1,0.9,0)</f>
        <v/>
      </c>
      <c r="E2055" s="5" t="s">
        <v>23</v>
      </c>
      <c r="F2055" s="5" t="s">
        <v>23</v>
      </c>
      <c r="G2055" s="6">
        <f>IF(L2055=1,1.0,0)</f>
        <v/>
      </c>
      <c r="H2055" s="5" t="s">
        <v>23</v>
      </c>
      <c r="I2055" s="5" t="s">
        <v>23</v>
      </c>
      <c r="J2055" s="5" t="s">
        <v>23</v>
      </c>
      <c r="K2055" s="5" t="s">
        <v>23</v>
      </c>
      <c r="L2055" s="8">
        <f>IF(OR(LOOKUP(A2055,characters!A:A,characters!B:B)=-1, LOOKUP(A2055,characters!A:A,characters!B:B)+0.1&gt;=B2055),1,0)</f>
        <v/>
      </c>
    </row>
    <row r="2056" spans="1:12">
      <c r="A2056" s="4" t="s">
        <v>111</v>
      </c>
      <c r="B2056" s="7">
        <v>4</v>
      </c>
      <c r="C2056" s="5" t="s">
        <v>23</v>
      </c>
      <c r="D2056" s="6">
        <f>IF(L2056=1,0.9,0)</f>
        <v/>
      </c>
      <c r="E2056" s="5" t="s">
        <v>23</v>
      </c>
      <c r="F2056" s="5" t="s">
        <v>23</v>
      </c>
      <c r="G2056" s="5" t="s">
        <v>23</v>
      </c>
      <c r="H2056" s="6">
        <f>IF(L2056=1,1.0,0)</f>
        <v/>
      </c>
      <c r="I2056" s="5" t="s">
        <v>23</v>
      </c>
      <c r="J2056" s="5" t="s">
        <v>23</v>
      </c>
      <c r="K2056" s="5" t="s">
        <v>23</v>
      </c>
      <c r="L2056" s="8">
        <f>IF(OR(LOOKUP(A2056,characters!A:A,characters!B:B)=-1, LOOKUP(A2056,characters!A:A,characters!B:B)+0.1&gt;=B2056),1,0)</f>
        <v/>
      </c>
    </row>
    <row r="2057" spans="1:12">
      <c r="A2057" s="4" t="s">
        <v>113</v>
      </c>
      <c r="B2057" s="7">
        <v>4</v>
      </c>
      <c r="C2057" s="5" t="s">
        <v>23</v>
      </c>
      <c r="D2057" s="6">
        <f>IF(L2057=1,1.0,0)</f>
        <v/>
      </c>
      <c r="E2057" s="5" t="s">
        <v>23</v>
      </c>
      <c r="F2057" s="5" t="s">
        <v>23</v>
      </c>
      <c r="G2057" s="5" t="s">
        <v>23</v>
      </c>
      <c r="H2057" s="5" t="s">
        <v>23</v>
      </c>
      <c r="I2057" s="5" t="s">
        <v>23</v>
      </c>
      <c r="J2057" s="5" t="s">
        <v>23</v>
      </c>
      <c r="K2057" s="6">
        <f>IF(L2057=1,0.9,0)</f>
        <v/>
      </c>
      <c r="L2057" s="8">
        <f>IF(OR(LOOKUP(A2057,characters!A:A,characters!B:B)=-1, LOOKUP(A2057,characters!A:A,characters!B:B)+0.1&gt;=B2057),1,0)</f>
        <v/>
      </c>
    </row>
    <row r="2058" spans="1:12">
      <c r="A2058" s="4" t="s">
        <v>103</v>
      </c>
      <c r="B2058" s="7">
        <v>1</v>
      </c>
      <c r="C2058" s="5" t="s">
        <v>23</v>
      </c>
      <c r="D2058" s="6">
        <f>IF(L2058=1,0.99,0)</f>
        <v/>
      </c>
      <c r="E2058" s="5" t="s">
        <v>23</v>
      </c>
      <c r="F2058" s="5" t="s">
        <v>23</v>
      </c>
      <c r="G2058" s="5" t="s">
        <v>23</v>
      </c>
      <c r="H2058" s="5" t="s">
        <v>23</v>
      </c>
      <c r="I2058" s="5" t="s">
        <v>23</v>
      </c>
      <c r="J2058" s="6">
        <f>IF(L2058=1,1.0,0)</f>
        <v/>
      </c>
      <c r="K2058" s="5" t="s">
        <v>23</v>
      </c>
      <c r="L2058" s="8">
        <f>IF(OR(LOOKUP(A2058,characters!A:A,characters!B:B)=-1, LOOKUP(A2058,characters!A:A,characters!B:B)+0.1&gt;=B2058),1,0)</f>
        <v/>
      </c>
    </row>
    <row r="2060" spans="1:12">
      <c r="A2060" s="3" t="s">
        <v>65</v>
      </c>
      <c r="B2060" s="3" t="s">
        <v>9</v>
      </c>
      <c r="C2060" s="3" t="s">
        <v>17</v>
      </c>
      <c r="D2060" s="3" t="s">
        <v>13</v>
      </c>
      <c r="E2060" s="3" t="s">
        <v>18</v>
      </c>
    </row>
    <row r="2061" spans="1:12">
      <c r="A2061" s="4" t="s">
        <v>22</v>
      </c>
      <c r="B2061" s="5" t="s">
        <v>23</v>
      </c>
      <c r="C2061" s="6">
        <f>IF(SUM(F2062:F2077)=0,0,SUM(C2062:C2077)/SUM(F2062:F2077))</f>
        <v/>
      </c>
      <c r="D2061" s="6">
        <f>IF(SUM(F2062:F2077)=0,0,SUM(D2062:D2077)/SUM(F2062:F2077))</f>
        <v/>
      </c>
      <c r="E2061" s="6">
        <f>IF(SUM(F2062:F2077)=0,0,SUM(E2062:E2077)/SUM(F2062:F2077))</f>
        <v/>
      </c>
    </row>
    <row r="2062" spans="1:12">
      <c r="A2062" s="4" t="s">
        <v>57</v>
      </c>
      <c r="B2062" s="7">
        <v>0</v>
      </c>
      <c r="C2062" s="6">
        <f>IF(F2062=1,1.0,0)</f>
        <v/>
      </c>
      <c r="D2062" s="5" t="s">
        <v>23</v>
      </c>
      <c r="E2062" s="5" t="s">
        <v>23</v>
      </c>
      <c r="F2062" s="8">
        <f>IF(OR(LOOKUP(A2062,characters!A:A,characters!B:B)=-1, LOOKUP(A2062,characters!A:A,characters!B:B)+0.1&gt;=B2062),1,0)</f>
        <v/>
      </c>
    </row>
    <row r="2063" spans="1:12">
      <c r="A2063" s="4" t="s">
        <v>125</v>
      </c>
      <c r="B2063" s="7">
        <v>0</v>
      </c>
      <c r="C2063" s="5" t="s">
        <v>23</v>
      </c>
      <c r="D2063" s="6">
        <f>IF(F2063=1,1.0,0)</f>
        <v/>
      </c>
      <c r="E2063" s="5" t="s">
        <v>23</v>
      </c>
      <c r="F2063" s="8">
        <f>IF(OR(LOOKUP(A2063,characters!A:A,characters!B:B)=-1, LOOKUP(A2063,characters!A:A,characters!B:B)+0.1&gt;=B2063),1,0)</f>
        <v/>
      </c>
    </row>
    <row r="2064" spans="1:12">
      <c r="A2064" s="4" t="s">
        <v>72</v>
      </c>
      <c r="B2064" s="7">
        <v>2</v>
      </c>
      <c r="C2064" s="6">
        <f>IF(F2064=1,1.0,0)</f>
        <v/>
      </c>
      <c r="D2064" s="5" t="s">
        <v>23</v>
      </c>
      <c r="E2064" s="5" t="s">
        <v>23</v>
      </c>
      <c r="F2064" s="8">
        <f>IF(OR(LOOKUP(A2064,characters!A:A,characters!B:B)=-1, LOOKUP(A2064,characters!A:A,characters!B:B)+0.1&gt;=B2064),1,0)</f>
        <v/>
      </c>
    </row>
    <row r="2065" spans="1:6">
      <c r="A2065" s="4" t="s">
        <v>104</v>
      </c>
      <c r="B2065" s="7">
        <v>0</v>
      </c>
      <c r="C2065" s="6">
        <f>IF(F2065=1,1.0,0)</f>
        <v/>
      </c>
      <c r="D2065" s="5" t="s">
        <v>23</v>
      </c>
      <c r="E2065" s="5" t="s">
        <v>23</v>
      </c>
      <c r="F2065" s="8">
        <f>IF(OR(LOOKUP(A2065,characters!A:A,characters!B:B)=-1, LOOKUP(A2065,characters!A:A,characters!B:B)+0.1&gt;=B2065),1,0)</f>
        <v/>
      </c>
    </row>
    <row r="2066" spans="1:6">
      <c r="A2066" s="4" t="s">
        <v>105</v>
      </c>
      <c r="B2066" s="7">
        <v>0</v>
      </c>
      <c r="C2066" s="6">
        <f>IF(F2066=1,1.0,0)</f>
        <v/>
      </c>
      <c r="D2066" s="5" t="s">
        <v>23</v>
      </c>
      <c r="E2066" s="5" t="s">
        <v>23</v>
      </c>
      <c r="F2066" s="8">
        <f>IF(OR(LOOKUP(A2066,characters!A:A,characters!B:B)=-1, LOOKUP(A2066,characters!A:A,characters!B:B)+0.1&gt;=B2066),1,0)</f>
        <v/>
      </c>
    </row>
    <row r="2067" spans="1:6">
      <c r="A2067" s="4" t="s">
        <v>101</v>
      </c>
      <c r="B2067" s="7">
        <v>1</v>
      </c>
      <c r="C2067" s="6">
        <f>IF(F2067=1,1.0,0)</f>
        <v/>
      </c>
      <c r="D2067" s="5" t="s">
        <v>23</v>
      </c>
      <c r="E2067" s="5" t="s">
        <v>23</v>
      </c>
      <c r="F2067" s="8">
        <f>IF(OR(LOOKUP(A2067,characters!A:A,characters!B:B)=-1, LOOKUP(A2067,characters!A:A,characters!B:B)+0.1&gt;=B2067),1,0)</f>
        <v/>
      </c>
    </row>
    <row r="2068" spans="1:6">
      <c r="A2068" s="4" t="s">
        <v>106</v>
      </c>
      <c r="B2068" s="7">
        <v>0</v>
      </c>
      <c r="C2068" s="6">
        <f>IF(F2068=1,1.0,0)</f>
        <v/>
      </c>
      <c r="D2068" s="5" t="s">
        <v>23</v>
      </c>
      <c r="E2068" s="5" t="s">
        <v>23</v>
      </c>
      <c r="F2068" s="8">
        <f>IF(OR(LOOKUP(A2068,characters!A:A,characters!B:B)=-1, LOOKUP(A2068,characters!A:A,characters!B:B)+0.1&gt;=B2068),1,0)</f>
        <v/>
      </c>
    </row>
    <row r="2069" spans="1:6">
      <c r="A2069" s="4" t="s">
        <v>110</v>
      </c>
      <c r="B2069" s="7">
        <v>0</v>
      </c>
      <c r="C2069" s="6">
        <f>IF(F2069=1,1.0,0)</f>
        <v/>
      </c>
      <c r="D2069" s="5" t="s">
        <v>23</v>
      </c>
      <c r="E2069" s="5" t="s">
        <v>23</v>
      </c>
      <c r="F2069" s="8">
        <f>IF(OR(LOOKUP(A2069,characters!A:A,characters!B:B)=-1, LOOKUP(A2069,characters!A:A,characters!B:B)+0.1&gt;=B2069),1,0)</f>
        <v/>
      </c>
    </row>
    <row r="2070" spans="1:6">
      <c r="A2070" s="4" t="s">
        <v>108</v>
      </c>
      <c r="B2070" s="7">
        <v>0</v>
      </c>
      <c r="C2070" s="6">
        <f>IF(F2070=1,1.0,0)</f>
        <v/>
      </c>
      <c r="D2070" s="5" t="s">
        <v>23</v>
      </c>
      <c r="E2070" s="5" t="s">
        <v>23</v>
      </c>
      <c r="F2070" s="8">
        <f>IF(OR(LOOKUP(A2070,characters!A:A,characters!B:B)=-1, LOOKUP(A2070,characters!A:A,characters!B:B)+0.1&gt;=B2070),1,0)</f>
        <v/>
      </c>
    </row>
    <row r="2071" spans="1:6">
      <c r="A2071" s="4" t="s">
        <v>109</v>
      </c>
      <c r="B2071" s="7">
        <v>0</v>
      </c>
      <c r="C2071" s="6">
        <f>IF(F2071=1,1.0,0)</f>
        <v/>
      </c>
      <c r="D2071" s="5" t="s">
        <v>23</v>
      </c>
      <c r="E2071" s="5" t="s">
        <v>23</v>
      </c>
      <c r="F2071" s="8">
        <f>IF(OR(LOOKUP(A2071,characters!A:A,characters!B:B)=-1, LOOKUP(A2071,characters!A:A,characters!B:B)+0.1&gt;=B2071),1,0)</f>
        <v/>
      </c>
    </row>
    <row r="2072" spans="1:6">
      <c r="A2072" s="4" t="s">
        <v>60</v>
      </c>
      <c r="B2072" s="7">
        <v>2</v>
      </c>
      <c r="C2072" s="6">
        <f>IF(F2072=1,1.0,0)</f>
        <v/>
      </c>
      <c r="D2072" s="5" t="s">
        <v>23</v>
      </c>
      <c r="E2072" s="5" t="s">
        <v>23</v>
      </c>
      <c r="F2072" s="8">
        <f>IF(OR(LOOKUP(A2072,characters!A:A,characters!B:B)=-1, LOOKUP(A2072,characters!A:A,characters!B:B)+0.1&gt;=B2072),1,0)</f>
        <v/>
      </c>
    </row>
    <row r="2073" spans="1:6">
      <c r="A2073" s="4" t="s">
        <v>73</v>
      </c>
      <c r="B2073" s="7">
        <v>0</v>
      </c>
      <c r="C2073" s="6">
        <f>IF(F2073=1,1.0,0)</f>
        <v/>
      </c>
      <c r="D2073" s="5" t="s">
        <v>23</v>
      </c>
      <c r="E2073" s="6">
        <f>IF(F2073=1,1.0,0)</f>
        <v/>
      </c>
      <c r="F2073" s="8">
        <f>IF(OR(LOOKUP(A2073,characters!A:A,characters!B:B)=-1, LOOKUP(A2073,characters!A:A,characters!B:B)+0.1&gt;=B2073),1,0)</f>
        <v/>
      </c>
    </row>
    <row r="2074" spans="1:6">
      <c r="A2074" s="4" t="s">
        <v>74</v>
      </c>
      <c r="B2074" s="7">
        <v>0</v>
      </c>
      <c r="C2074" s="6">
        <f>IF(F2074=1,1.0,0)</f>
        <v/>
      </c>
      <c r="D2074" s="5" t="s">
        <v>23</v>
      </c>
      <c r="E2074" s="6">
        <f>IF(F2074=1,0.9,0)</f>
        <v/>
      </c>
      <c r="F2074" s="8">
        <f>IF(OR(LOOKUP(A2074,characters!A:A,characters!B:B)=-1, LOOKUP(A2074,characters!A:A,characters!B:B)+0.1&gt;=B2074),1,0)</f>
        <v/>
      </c>
    </row>
    <row r="2075" spans="1:6">
      <c r="A2075" s="4" t="s">
        <v>111</v>
      </c>
      <c r="B2075" s="7">
        <v>4</v>
      </c>
      <c r="C2075" s="6">
        <f>IF(F2075=1,1.0,0)</f>
        <v/>
      </c>
      <c r="D2075" s="5" t="s">
        <v>23</v>
      </c>
      <c r="E2075" s="5" t="s">
        <v>23</v>
      </c>
      <c r="F2075" s="8">
        <f>IF(OR(LOOKUP(A2075,characters!A:A,characters!B:B)=-1, LOOKUP(A2075,characters!A:A,characters!B:B)+0.1&gt;=B2075),1,0)</f>
        <v/>
      </c>
    </row>
    <row r="2076" spans="1:6">
      <c r="A2076" s="4" t="s">
        <v>113</v>
      </c>
      <c r="B2076" s="7">
        <v>4</v>
      </c>
      <c r="C2076" s="5" t="s">
        <v>23</v>
      </c>
      <c r="D2076" s="5" t="s">
        <v>23</v>
      </c>
      <c r="E2076" s="6">
        <f>IF(F2076=1,1.0,0)</f>
        <v/>
      </c>
      <c r="F2076" s="8">
        <f>IF(OR(LOOKUP(A2076,characters!A:A,characters!B:B)=-1, LOOKUP(A2076,characters!A:A,characters!B:B)+0.1&gt;=B2076),1,0)</f>
        <v/>
      </c>
    </row>
    <row r="2077" spans="1:6">
      <c r="A2077" s="4" t="s">
        <v>103</v>
      </c>
      <c r="B2077" s="7">
        <v>1</v>
      </c>
      <c r="C2077" s="6">
        <f>IF(F2077=1,1.0,0)</f>
        <v/>
      </c>
      <c r="D2077" s="5" t="s">
        <v>23</v>
      </c>
      <c r="E2077" s="5" t="s">
        <v>23</v>
      </c>
      <c r="F2077" s="8">
        <f>IF(OR(LOOKUP(A2077,characters!A:A,characters!B:B)=-1, LOOKUP(A2077,characters!A:A,characters!B:B)+0.1&gt;=B2077),1,0)</f>
        <v/>
      </c>
    </row>
    <row r="2084" spans="1:12">
      <c r="A2084" s="3" t="s">
        <v>152</v>
      </c>
    </row>
    <row r="2085" spans="1:12">
      <c r="A2085" s="3" t="s">
        <v>8</v>
      </c>
      <c r="B2085" s="3" t="s">
        <v>9</v>
      </c>
      <c r="C2085" s="3" t="s">
        <v>10</v>
      </c>
      <c r="D2085" s="3" t="s">
        <v>11</v>
      </c>
      <c r="E2085" s="3" t="s">
        <v>14</v>
      </c>
      <c r="F2085" s="3" t="s">
        <v>15</v>
      </c>
      <c r="G2085" s="3" t="s">
        <v>19</v>
      </c>
      <c r="H2085" s="3" t="s">
        <v>17</v>
      </c>
      <c r="I2085" s="3" t="s">
        <v>13</v>
      </c>
      <c r="J2085" s="3" t="s">
        <v>18</v>
      </c>
      <c r="K2085" s="3" t="s">
        <v>12</v>
      </c>
    </row>
    <row r="2086" spans="1:12">
      <c r="A2086" s="4" t="s">
        <v>22</v>
      </c>
      <c r="B2086" s="5" t="s">
        <v>23</v>
      </c>
      <c r="C2086" s="6">
        <f>IF(SUM(L2087:L2091)=0,0,SUM(C2087:C2091)/SUM(L2087:L2091))</f>
        <v/>
      </c>
      <c r="D2086" s="6">
        <f>IF(SUM(L2087:L2091)=0,0,SUM(D2087:D2091)/SUM(L2087:L2091))</f>
        <v/>
      </c>
      <c r="E2086" s="6">
        <f>IF(SUM(L2087:L2091)=0,0,SUM(E2087:E2091)/SUM(L2087:L2091))</f>
        <v/>
      </c>
      <c r="F2086" s="6">
        <f>IF(SUM(L2087:L2091)=0,0,SUM(F2087:F2091)/SUM(L2087:L2091))</f>
        <v/>
      </c>
      <c r="G2086" s="6">
        <f>IF(SUM(L2087:L2091)=0,0,SUM(G2087:G2091)/SUM(L2087:L2091))</f>
        <v/>
      </c>
      <c r="H2086" s="6">
        <f>IF(SUM(L2087:L2091)=0,0,SUM(H2087:H2091)/SUM(L2087:L2091))</f>
        <v/>
      </c>
      <c r="I2086" s="6">
        <f>IF(SUM(L2087:L2091)=0,0,SUM(I2087:I2091)/SUM(L2087:L2091))</f>
        <v/>
      </c>
      <c r="J2086" s="6">
        <f>IF(SUM(L2087:L2091)=0,0,SUM(J2087:J2091)/SUM(L2087:L2091))</f>
        <v/>
      </c>
      <c r="K2086" s="6">
        <f>IF(SUM(L2087:L2091)=0,0,SUM(K2087:K2091)/SUM(L2087:L2091))</f>
        <v/>
      </c>
    </row>
    <row r="2087" spans="1:12">
      <c r="A2087" s="4" t="s">
        <v>27</v>
      </c>
      <c r="B2087" s="7">
        <v>0</v>
      </c>
      <c r="C2087" s="6">
        <f>IF(L2087=1,1.0,0)</f>
        <v/>
      </c>
      <c r="D2087" s="6">
        <f>IF(L2087=1,0.7,0)</f>
        <v/>
      </c>
      <c r="E2087" s="6">
        <f>IF(L2087=1,0.8,0)</f>
        <v/>
      </c>
      <c r="F2087" s="6">
        <f>IF(L2087=1,0.8,0)</f>
        <v/>
      </c>
      <c r="G2087" s="6">
        <f>IF(L2087=1,0.9,0)</f>
        <v/>
      </c>
      <c r="H2087" s="5" t="s">
        <v>23</v>
      </c>
      <c r="I2087" s="5" t="s">
        <v>23</v>
      </c>
      <c r="J2087" s="5" t="s">
        <v>23</v>
      </c>
      <c r="K2087" s="5" t="s">
        <v>23</v>
      </c>
      <c r="L2087" s="8">
        <f>IF(OR(LOOKUP(A2087,characters!A:A,characters!B:B)=-1, LOOKUP(A2087,characters!A:A,characters!B:B)+0.1&gt;=B2087),1,0)</f>
        <v/>
      </c>
    </row>
    <row r="2088" spans="1:12">
      <c r="A2088" s="4" t="s">
        <v>37</v>
      </c>
      <c r="B2088" s="7">
        <v>0</v>
      </c>
      <c r="C2088" s="6">
        <f>IF(L2088=1,1.0,0)</f>
        <v/>
      </c>
      <c r="D2088" s="6">
        <f>IF(L2088=1,0.8,0)</f>
        <v/>
      </c>
      <c r="E2088" s="5" t="s">
        <v>23</v>
      </c>
      <c r="F2088" s="5" t="s">
        <v>23</v>
      </c>
      <c r="G2088" s="5" t="s">
        <v>23</v>
      </c>
      <c r="H2088" s="5" t="s">
        <v>23</v>
      </c>
      <c r="I2088" s="6">
        <f>IF(L2088=1,0.9,0)</f>
        <v/>
      </c>
      <c r="J2088" s="5" t="s">
        <v>23</v>
      </c>
      <c r="K2088" s="6">
        <f>IF(L2088=1,0.7,0)</f>
        <v/>
      </c>
      <c r="L2088" s="8">
        <f>IF(OR(LOOKUP(A2088,characters!A:A,characters!B:B)=-1, LOOKUP(A2088,characters!A:A,characters!B:B)+0.1&gt;=B2088),1,0)</f>
        <v/>
      </c>
    </row>
    <row r="2089" spans="1:12">
      <c r="A2089" s="4" t="s">
        <v>44</v>
      </c>
      <c r="B2089" s="7">
        <v>0</v>
      </c>
      <c r="C2089" s="6">
        <f>IF(L2089=1,1.0,0)</f>
        <v/>
      </c>
      <c r="D2089" s="6">
        <f>IF(L2089=1,0.8,0)</f>
        <v/>
      </c>
      <c r="E2089" s="6">
        <f>IF(L2089=1,0.8,0)</f>
        <v/>
      </c>
      <c r="F2089" s="6">
        <f>IF(L2089=1,0.8,0)</f>
        <v/>
      </c>
      <c r="G2089" s="6">
        <f>IF(L2089=1,0.9,0)</f>
        <v/>
      </c>
      <c r="H2089" s="5" t="s">
        <v>23</v>
      </c>
      <c r="I2089" s="5" t="s">
        <v>23</v>
      </c>
      <c r="J2089" s="5" t="s">
        <v>23</v>
      </c>
      <c r="K2089" s="5" t="s">
        <v>23</v>
      </c>
      <c r="L2089" s="8">
        <f>IF(OR(LOOKUP(A2089,characters!A:A,characters!B:B)=-1, LOOKUP(A2089,characters!A:A,characters!B:B)+0.1&gt;=B2089),1,0)</f>
        <v/>
      </c>
    </row>
    <row r="2090" spans="1:12">
      <c r="A2090" s="4" t="s">
        <v>45</v>
      </c>
      <c r="B2090" s="7">
        <v>0</v>
      </c>
      <c r="C2090" s="6">
        <f>IF(L2090=1,1.0,0)</f>
        <v/>
      </c>
      <c r="D2090" s="6">
        <f>IF(L2090=1,0.8,0)</f>
        <v/>
      </c>
      <c r="E2090" s="6">
        <f>IF(L2090=1,0.9,0)</f>
        <v/>
      </c>
      <c r="F2090" s="6">
        <f>IF(L2090=1,0.9,0)</f>
        <v/>
      </c>
      <c r="G2090" s="5" t="s">
        <v>23</v>
      </c>
      <c r="H2090" s="6">
        <f>IF(L2090=1,1.0,0)</f>
        <v/>
      </c>
      <c r="I2090" s="5" t="s">
        <v>23</v>
      </c>
      <c r="J2090" s="5" t="s">
        <v>23</v>
      </c>
      <c r="K2090" s="5" t="s">
        <v>23</v>
      </c>
      <c r="L2090" s="8">
        <f>IF(OR(LOOKUP(A2090,characters!A:A,characters!B:B)=-1, LOOKUP(A2090,characters!A:A,characters!B:B)+0.1&gt;=B2090),1,0)</f>
        <v/>
      </c>
    </row>
    <row r="2091" spans="1:12">
      <c r="A2091" s="4" t="s">
        <v>32</v>
      </c>
      <c r="B2091" s="7">
        <v>1</v>
      </c>
      <c r="C2091" s="6">
        <f>IF(L2091=1,1.0,0)</f>
        <v/>
      </c>
      <c r="D2091" s="6">
        <f>IF(L2091=1,0.8,0)</f>
        <v/>
      </c>
      <c r="E2091" s="6">
        <f>IF(L2091=1,0.9,0)</f>
        <v/>
      </c>
      <c r="F2091" s="6">
        <f>IF(L2091=1,0.9,0)</f>
        <v/>
      </c>
      <c r="G2091" s="5" t="s">
        <v>23</v>
      </c>
      <c r="H2091" s="5" t="s">
        <v>23</v>
      </c>
      <c r="I2091" s="5" t="s">
        <v>23</v>
      </c>
      <c r="J2091" s="6">
        <f>IF(L2091=1,0.8,0)</f>
        <v/>
      </c>
      <c r="K2091" s="5" t="s">
        <v>23</v>
      </c>
      <c r="L2091" s="8">
        <f>IF(OR(LOOKUP(A2091,characters!A:A,characters!B:B)=-1, LOOKUP(A2091,characters!A:A,characters!B:B)+0.1&gt;=B2091),1,0)</f>
        <v/>
      </c>
    </row>
    <row r="2093" spans="1:12">
      <c r="A2093" s="3" t="s">
        <v>49</v>
      </c>
      <c r="B2093" s="3" t="s">
        <v>9</v>
      </c>
      <c r="C2093" s="3" t="s">
        <v>19</v>
      </c>
      <c r="D2093" s="3" t="s">
        <v>13</v>
      </c>
      <c r="E2093" s="3" t="s">
        <v>12</v>
      </c>
      <c r="F2093" s="3" t="s">
        <v>50</v>
      </c>
      <c r="G2093" s="3" t="s">
        <v>17</v>
      </c>
    </row>
    <row r="2094" spans="1:12">
      <c r="A2094" s="4" t="s">
        <v>22</v>
      </c>
      <c r="B2094" s="5" t="s">
        <v>23</v>
      </c>
      <c r="C2094" s="6">
        <f>IF(SUM(H2095:H2099)=0,0,SUM(C2095:C2099)/SUM(H2095:H2099))</f>
        <v/>
      </c>
      <c r="D2094" s="6">
        <f>IF(SUM(H2095:H2099)=0,0,SUM(D2095:D2099)/SUM(H2095:H2099))</f>
        <v/>
      </c>
      <c r="E2094" s="6">
        <f>IF(SUM(H2095:H2099)=0,0,SUM(E2095:E2099)/SUM(H2095:H2099))</f>
        <v/>
      </c>
      <c r="F2094" s="6">
        <f>IF(SUM(H2095:H2099)=0,0,SUM(F2095:F2099)/SUM(H2095:H2099))</f>
        <v/>
      </c>
      <c r="G2094" s="6">
        <f>IF(SUM(H2095:H2099)=0,0,SUM(G2095:G2099)/SUM(H2095:H2099))</f>
        <v/>
      </c>
    </row>
    <row r="2095" spans="1:12">
      <c r="A2095" s="4" t="s">
        <v>27</v>
      </c>
      <c r="B2095" s="7">
        <v>0</v>
      </c>
      <c r="C2095" s="6">
        <f>IF(H2095=1,1.0,0)</f>
        <v/>
      </c>
      <c r="D2095" s="5" t="s">
        <v>23</v>
      </c>
      <c r="E2095" s="5" t="s">
        <v>23</v>
      </c>
      <c r="F2095" s="5" t="s">
        <v>23</v>
      </c>
      <c r="G2095" s="5" t="s">
        <v>23</v>
      </c>
      <c r="H2095" s="8">
        <f>IF(OR(LOOKUP(A2095,characters!A:A,characters!B:B)=-1, LOOKUP(A2095,characters!A:A,characters!B:B)+0.1&gt;=B2095),1,0)</f>
        <v/>
      </c>
    </row>
    <row r="2096" spans="1:12">
      <c r="A2096" s="4" t="s">
        <v>32</v>
      </c>
      <c r="B2096" s="7">
        <v>1</v>
      </c>
      <c r="C2096" s="5" t="s">
        <v>23</v>
      </c>
      <c r="D2096" s="6">
        <f>IF(H2096=1,1.0,0)</f>
        <v/>
      </c>
      <c r="E2096" s="6">
        <f>IF(H2096=1,0.9,0)</f>
        <v/>
      </c>
      <c r="F2096" s="5" t="s">
        <v>23</v>
      </c>
      <c r="G2096" s="5" t="s">
        <v>23</v>
      </c>
      <c r="H2096" s="8">
        <f>IF(OR(LOOKUP(A2096,characters!A:A,characters!B:B)=-1, LOOKUP(A2096,characters!A:A,characters!B:B)+0.1&gt;=B2096),1,0)</f>
        <v/>
      </c>
    </row>
    <row r="2097" spans="1:8">
      <c r="A2097" s="4" t="s">
        <v>37</v>
      </c>
      <c r="B2097" s="7">
        <v>0</v>
      </c>
      <c r="C2097" s="5" t="s">
        <v>23</v>
      </c>
      <c r="D2097" s="6">
        <f>IF(H2097=1,0.9,0)</f>
        <v/>
      </c>
      <c r="E2097" s="5" t="s">
        <v>23</v>
      </c>
      <c r="F2097" s="6">
        <f>IF(H2097=1,1.0,0)</f>
        <v/>
      </c>
      <c r="G2097" s="5" t="s">
        <v>23</v>
      </c>
      <c r="H2097" s="8">
        <f>IF(OR(LOOKUP(A2097,characters!A:A,characters!B:B)=-1, LOOKUP(A2097,characters!A:A,characters!B:B)+0.1&gt;=B2097),1,0)</f>
        <v/>
      </c>
    </row>
    <row r="2098" spans="1:8">
      <c r="A2098" s="4" t="s">
        <v>44</v>
      </c>
      <c r="B2098" s="7">
        <v>0</v>
      </c>
      <c r="C2098" s="6">
        <f>IF(H2098=1,1.0,0)</f>
        <v/>
      </c>
      <c r="D2098" s="5" t="s">
        <v>23</v>
      </c>
      <c r="E2098" s="5" t="s">
        <v>23</v>
      </c>
      <c r="F2098" s="5" t="s">
        <v>23</v>
      </c>
      <c r="G2098" s="5" t="s">
        <v>23</v>
      </c>
      <c r="H2098" s="8">
        <f>IF(OR(LOOKUP(A2098,characters!A:A,characters!B:B)=-1, LOOKUP(A2098,characters!A:A,characters!B:B)+0.1&gt;=B2098),1,0)</f>
        <v/>
      </c>
    </row>
    <row r="2099" spans="1:8">
      <c r="A2099" s="4" t="s">
        <v>45</v>
      </c>
      <c r="B2099" s="7">
        <v>0</v>
      </c>
      <c r="C2099" s="5" t="s">
        <v>23</v>
      </c>
      <c r="D2099" s="6">
        <f>IF(H2099=1,0.9,0)</f>
        <v/>
      </c>
      <c r="E2099" s="5" t="s">
        <v>23</v>
      </c>
      <c r="F2099" s="5" t="s">
        <v>23</v>
      </c>
      <c r="G2099" s="6">
        <f>IF(H2099=1,1.0,0)</f>
        <v/>
      </c>
      <c r="H2099" s="8">
        <f>IF(OR(LOOKUP(A2099,characters!A:A,characters!B:B)=-1, LOOKUP(A2099,characters!A:A,characters!B:B)+0.1&gt;=B2099),1,0)</f>
        <v/>
      </c>
    </row>
    <row r="2101" spans="1:8">
      <c r="A2101" s="3" t="s">
        <v>52</v>
      </c>
      <c r="B2101" s="3" t="s">
        <v>9</v>
      </c>
      <c r="C2101" s="3" t="s">
        <v>10</v>
      </c>
    </row>
    <row r="2102" spans="1:8">
      <c r="A2102" s="4" t="s">
        <v>22</v>
      </c>
      <c r="B2102" s="5" t="s">
        <v>23</v>
      </c>
      <c r="C2102" s="6">
        <f>IF(SUM(D2103:D2107)=0,0,SUM(C2103:C2107)/SUM(D2103:D2107))</f>
        <v/>
      </c>
    </row>
    <row r="2103" spans="1:8">
      <c r="A2103" s="4" t="s">
        <v>27</v>
      </c>
      <c r="B2103" s="7">
        <v>0</v>
      </c>
      <c r="C2103" s="6">
        <f>IF(D2103=1,1.0,0)</f>
        <v/>
      </c>
      <c r="D2103" s="8">
        <f>IF(OR(LOOKUP(A2103,characters!A:A,characters!B:B)=-1, LOOKUP(A2103,characters!A:A,characters!B:B)+0.1&gt;=B2103),1,0)</f>
        <v/>
      </c>
    </row>
    <row r="2104" spans="1:8">
      <c r="A2104" s="4" t="s">
        <v>32</v>
      </c>
      <c r="B2104" s="7">
        <v>1</v>
      </c>
      <c r="C2104" s="6">
        <f>IF(D2104=1,1.0,0)</f>
        <v/>
      </c>
      <c r="D2104" s="8">
        <f>IF(OR(LOOKUP(A2104,characters!A:A,characters!B:B)=-1, LOOKUP(A2104,characters!A:A,characters!B:B)+0.1&gt;=B2104),1,0)</f>
        <v/>
      </c>
    </row>
    <row r="2105" spans="1:8">
      <c r="A2105" s="4" t="s">
        <v>37</v>
      </c>
      <c r="B2105" s="7">
        <v>0</v>
      </c>
      <c r="C2105" s="6">
        <f>IF(D2105=1,1.0,0)</f>
        <v/>
      </c>
      <c r="D2105" s="8">
        <f>IF(OR(LOOKUP(A2105,characters!A:A,characters!B:B)=-1, LOOKUP(A2105,characters!A:A,characters!B:B)+0.1&gt;=B2105),1,0)</f>
        <v/>
      </c>
    </row>
    <row r="2106" spans="1:8">
      <c r="A2106" s="4" t="s">
        <v>44</v>
      </c>
      <c r="B2106" s="7">
        <v>0</v>
      </c>
      <c r="C2106" s="6">
        <f>IF(D2106=1,1.0,0)</f>
        <v/>
      </c>
      <c r="D2106" s="8">
        <f>IF(OR(LOOKUP(A2106,characters!A:A,characters!B:B)=-1, LOOKUP(A2106,characters!A:A,characters!B:B)+0.1&gt;=B2106),1,0)</f>
        <v/>
      </c>
    </row>
    <row r="2107" spans="1:8">
      <c r="A2107" s="4" t="s">
        <v>45</v>
      </c>
      <c r="B2107" s="7">
        <v>0</v>
      </c>
      <c r="C2107" s="6">
        <f>IF(D2107=1,1.0,0)</f>
        <v/>
      </c>
      <c r="D2107" s="8">
        <f>IF(OR(LOOKUP(A2107,characters!A:A,characters!B:B)=-1, LOOKUP(A2107,characters!A:A,characters!B:B)+0.1&gt;=B2107),1,0)</f>
        <v/>
      </c>
    </row>
    <row r="2114" spans="1:10">
      <c r="A2114" s="3" t="s">
        <v>153</v>
      </c>
    </row>
    <row r="2115" spans="1:10">
      <c r="A2115" s="3" t="s">
        <v>8</v>
      </c>
      <c r="B2115" s="3" t="s">
        <v>9</v>
      </c>
      <c r="C2115" s="3" t="s">
        <v>10</v>
      </c>
      <c r="D2115" s="3" t="s">
        <v>18</v>
      </c>
      <c r="E2115" s="3" t="s">
        <v>20</v>
      </c>
      <c r="F2115" s="3" t="s">
        <v>17</v>
      </c>
      <c r="G2115" s="3" t="s">
        <v>11</v>
      </c>
      <c r="H2115" s="3" t="s">
        <v>13</v>
      </c>
      <c r="I2115" s="3" t="s">
        <v>12</v>
      </c>
    </row>
    <row r="2116" spans="1:10">
      <c r="A2116" s="4" t="s">
        <v>22</v>
      </c>
      <c r="B2116" s="5" t="s">
        <v>23</v>
      </c>
      <c r="C2116" s="6">
        <f>IF(SUM(J2117:J2118)=0,0,SUM(C2117:C2118)/SUM(J2117:J2118))</f>
        <v/>
      </c>
      <c r="D2116" s="6">
        <f>IF(SUM(J2117:J2118)=0,0,SUM(D2117:D2118)/SUM(J2117:J2118))</f>
        <v/>
      </c>
      <c r="E2116" s="6">
        <f>IF(SUM(J2117:J2118)=0,0,SUM(E2117:E2118)/SUM(J2117:J2118))</f>
        <v/>
      </c>
      <c r="F2116" s="6">
        <f>IF(SUM(J2117:J2118)=0,0,SUM(F2117:F2118)/SUM(J2117:J2118))</f>
        <v/>
      </c>
      <c r="G2116" s="6">
        <f>IF(SUM(J2117:J2118)=0,0,SUM(G2117:G2118)/SUM(J2117:J2118))</f>
        <v/>
      </c>
      <c r="H2116" s="6">
        <f>IF(SUM(J2117:J2118)=0,0,SUM(H2117:H2118)/SUM(J2117:J2118))</f>
        <v/>
      </c>
      <c r="I2116" s="6">
        <f>IF(SUM(J2117:J2118)=0,0,SUM(I2117:I2118)/SUM(J2117:J2118))</f>
        <v/>
      </c>
    </row>
    <row r="2117" spans="1:10">
      <c r="A2117" s="4" t="s">
        <v>29</v>
      </c>
      <c r="B2117" s="7">
        <v>0</v>
      </c>
      <c r="C2117" s="6">
        <f>IF(J2117=1,1.0,0)</f>
        <v/>
      </c>
      <c r="D2117" s="6">
        <f>IF(J2117=1,0.9,0)</f>
        <v/>
      </c>
      <c r="E2117" s="5" t="s">
        <v>23</v>
      </c>
      <c r="F2117" s="5" t="s">
        <v>23</v>
      </c>
      <c r="G2117" s="6">
        <f>IF(J2117=1,0.8,0)</f>
        <v/>
      </c>
      <c r="H2117" s="6">
        <f>IF(J2117=1,0.7,0)</f>
        <v/>
      </c>
      <c r="I2117" s="6">
        <f>IF(J2117=1,0.7,0)</f>
        <v/>
      </c>
      <c r="J2117" s="8">
        <f>IF(OR(LOOKUP(A2117,characters!A:A,characters!B:B)=-1, LOOKUP(A2117,characters!A:A,characters!B:B)+0.1&gt;=B2117),1,0)</f>
        <v/>
      </c>
    </row>
    <row r="2118" spans="1:10">
      <c r="A2118" s="4" t="s">
        <v>35</v>
      </c>
      <c r="B2118" s="7">
        <v>0</v>
      </c>
      <c r="C2118" s="6">
        <f>IF(J2118=1,1.0,0)</f>
        <v/>
      </c>
      <c r="D2118" s="5" t="s">
        <v>23</v>
      </c>
      <c r="E2118" s="6">
        <f>IF(J2118=1,0.9,0)</f>
        <v/>
      </c>
      <c r="F2118" s="6">
        <f>IF(J2118=1,0.89,0)</f>
        <v/>
      </c>
      <c r="G2118" s="5" t="s">
        <v>23</v>
      </c>
      <c r="H2118" s="5" t="s">
        <v>23</v>
      </c>
      <c r="I2118" s="5" t="s">
        <v>23</v>
      </c>
      <c r="J2118" s="8">
        <f>IF(OR(LOOKUP(A2118,characters!A:A,characters!B:B)=-1, LOOKUP(A2118,characters!A:A,characters!B:B)+0.1&gt;=B2118),1,0)</f>
        <v/>
      </c>
    </row>
    <row r="2120" spans="1:10">
      <c r="A2120" s="3" t="s">
        <v>49</v>
      </c>
      <c r="B2120" s="3" t="s">
        <v>9</v>
      </c>
      <c r="C2120" s="3" t="s">
        <v>50</v>
      </c>
    </row>
    <row r="2121" spans="1:10">
      <c r="A2121" s="4" t="s">
        <v>22</v>
      </c>
      <c r="B2121" s="5" t="s">
        <v>23</v>
      </c>
      <c r="C2121" s="6">
        <f>IF(SUM(D2122:D2123)=0,0,SUM(C2122:C2123)/SUM(D2122:D2123))</f>
        <v/>
      </c>
    </row>
    <row r="2122" spans="1:10">
      <c r="A2122" s="4" t="s">
        <v>29</v>
      </c>
      <c r="B2122" s="7">
        <v>0</v>
      </c>
      <c r="C2122" s="6">
        <f>IF(D2122=1,1.0,0)</f>
        <v/>
      </c>
      <c r="D2122" s="8">
        <f>IF(OR(LOOKUP(A2122,characters!A:A,characters!B:B)=-1, LOOKUP(A2122,characters!A:A,characters!B:B)+0.1&gt;=B2122),1,0)</f>
        <v/>
      </c>
    </row>
    <row r="2123" spans="1:10">
      <c r="A2123" s="4" t="s">
        <v>35</v>
      </c>
      <c r="B2123" s="7">
        <v>0</v>
      </c>
      <c r="C2123" s="6">
        <f>IF(D2123=1,1.0,0)</f>
        <v/>
      </c>
      <c r="D2123" s="8">
        <f>IF(OR(LOOKUP(A2123,characters!A:A,characters!B:B)=-1, LOOKUP(A2123,characters!A:A,characters!B:B)+0.1&gt;=B2123),1,0)</f>
        <v/>
      </c>
    </row>
    <row r="2125" spans="1:10">
      <c r="A2125" s="3" t="s">
        <v>52</v>
      </c>
      <c r="B2125" s="3" t="s">
        <v>9</v>
      </c>
      <c r="C2125" s="3" t="s">
        <v>10</v>
      </c>
    </row>
    <row r="2126" spans="1:10">
      <c r="A2126" s="4" t="s">
        <v>22</v>
      </c>
      <c r="B2126" s="5" t="s">
        <v>23</v>
      </c>
      <c r="C2126" s="6">
        <f>IF(SUM(D2127:D2128)=0,0,SUM(C2127:C2128)/SUM(D2127:D2128))</f>
        <v/>
      </c>
    </row>
    <row r="2127" spans="1:10">
      <c r="A2127" s="4" t="s">
        <v>29</v>
      </c>
      <c r="B2127" s="7">
        <v>0</v>
      </c>
      <c r="C2127" s="6">
        <f>IF(D2127=1,1.0,0)</f>
        <v/>
      </c>
      <c r="D2127" s="8">
        <f>IF(OR(LOOKUP(A2127,characters!A:A,characters!B:B)=-1, LOOKUP(A2127,characters!A:A,characters!B:B)+0.1&gt;=B2127),1,0)</f>
        <v/>
      </c>
    </row>
    <row r="2128" spans="1:10">
      <c r="A2128" s="4" t="s">
        <v>35</v>
      </c>
      <c r="B2128" s="7">
        <v>0</v>
      </c>
      <c r="C2128" s="6">
        <f>IF(D2128=1,1.0,0)</f>
        <v/>
      </c>
      <c r="D2128" s="8">
        <f>IF(OR(LOOKUP(A2128,characters!A:A,characters!B:B)=-1, LOOKUP(A2128,characters!A:A,characters!B:B)+0.1&gt;=B2128),1,0)</f>
        <v/>
      </c>
    </row>
    <row r="2135" spans="1:8">
      <c r="A2135" s="3" t="s">
        <v>154</v>
      </c>
    </row>
    <row r="2136" spans="1:8">
      <c r="A2136" s="3" t="s">
        <v>8</v>
      </c>
      <c r="B2136" s="3" t="s">
        <v>9</v>
      </c>
      <c r="C2136" s="3" t="s">
        <v>19</v>
      </c>
      <c r="D2136" s="3" t="s">
        <v>21</v>
      </c>
      <c r="E2136" s="3" t="s">
        <v>10</v>
      </c>
      <c r="F2136" s="3" t="s">
        <v>17</v>
      </c>
      <c r="G2136" s="3" t="s">
        <v>13</v>
      </c>
    </row>
    <row r="2137" spans="1:8">
      <c r="A2137" s="4" t="s">
        <v>22</v>
      </c>
      <c r="B2137" s="5" t="s">
        <v>23</v>
      </c>
      <c r="C2137" s="6">
        <f>IF(SUM(H2138:H2149)=0,0,SUM(C2138:C2149)/SUM(H2138:H2149))</f>
        <v/>
      </c>
      <c r="D2137" s="6">
        <f>IF(SUM(H2138:H2149)=0,0,SUM(D2138:D2149)/SUM(H2138:H2149))</f>
        <v/>
      </c>
      <c r="E2137" s="6">
        <f>IF(SUM(H2138:H2149)=0,0,SUM(E2138:E2149)/SUM(H2138:H2149))</f>
        <v/>
      </c>
      <c r="F2137" s="6">
        <f>IF(SUM(H2138:H2149)=0,0,SUM(F2138:F2149)/SUM(H2138:H2149))</f>
        <v/>
      </c>
      <c r="G2137" s="6">
        <f>IF(SUM(H2138:H2149)=0,0,SUM(G2138:G2149)/SUM(H2138:H2149))</f>
        <v/>
      </c>
    </row>
    <row r="2138" spans="1:8">
      <c r="A2138" s="4" t="s">
        <v>75</v>
      </c>
      <c r="B2138" s="7">
        <v>0</v>
      </c>
      <c r="C2138" s="6">
        <f>IF(H2138=1,0.9,0)</f>
        <v/>
      </c>
      <c r="D2138" s="6">
        <f>IF(H2138=1,0.9,0)</f>
        <v/>
      </c>
      <c r="E2138" s="6">
        <f>IF(H2138=1,1.0,0)</f>
        <v/>
      </c>
      <c r="F2138" s="6">
        <f>IF(H2138=1,0.8,0)</f>
        <v/>
      </c>
      <c r="G2138" s="5" t="s">
        <v>23</v>
      </c>
      <c r="H2138" s="8">
        <f>IF(OR(LOOKUP(A2138,characters!A:A,characters!B:B)=-1, LOOKUP(A2138,characters!A:A,characters!B:B)+0.1&gt;=B2138),1,0)</f>
        <v/>
      </c>
    </row>
    <row r="2139" spans="1:8">
      <c r="A2139" s="4" t="s">
        <v>57</v>
      </c>
      <c r="B2139" s="7">
        <v>0</v>
      </c>
      <c r="C2139" s="6">
        <f>IF(H2139=1,0.9,0)</f>
        <v/>
      </c>
      <c r="D2139" s="6">
        <f>IF(H2139=1,0.9,0)</f>
        <v/>
      </c>
      <c r="E2139" s="6">
        <f>IF(H2139=1,1.0,0)</f>
        <v/>
      </c>
      <c r="F2139" s="6">
        <f>IF(H2139=1,0.8,0)</f>
        <v/>
      </c>
      <c r="G2139" s="5" t="s">
        <v>23</v>
      </c>
      <c r="H2139" s="8">
        <f>IF(OR(LOOKUP(A2139,characters!A:A,characters!B:B)=-1, LOOKUP(A2139,characters!A:A,characters!B:B)+0.1&gt;=B2139),1,0)</f>
        <v/>
      </c>
    </row>
    <row r="2140" spans="1:8">
      <c r="A2140" s="4" t="s">
        <v>106</v>
      </c>
      <c r="B2140" s="7">
        <v>0</v>
      </c>
      <c r="C2140" s="6">
        <f>IF(H2140=1,0.9,0)</f>
        <v/>
      </c>
      <c r="D2140" s="6">
        <f>IF(H2140=1,0.9,0)</f>
        <v/>
      </c>
      <c r="E2140" s="6">
        <f>IF(H2140=1,1.0,0)</f>
        <v/>
      </c>
      <c r="F2140" s="6">
        <f>IF(H2140=1,0.8,0)</f>
        <v/>
      </c>
      <c r="G2140" s="5" t="s">
        <v>23</v>
      </c>
      <c r="H2140" s="8">
        <f>IF(OR(LOOKUP(A2140,characters!A:A,characters!B:B)=-1, LOOKUP(A2140,characters!A:A,characters!B:B)+0.1&gt;=B2140),1,0)</f>
        <v/>
      </c>
    </row>
    <row r="2141" spans="1:8">
      <c r="A2141" s="4" t="s">
        <v>103</v>
      </c>
      <c r="B2141" s="7">
        <v>0</v>
      </c>
      <c r="C2141" s="6">
        <f>IF(H2141=1,0.9,0)</f>
        <v/>
      </c>
      <c r="D2141" s="6">
        <f>IF(H2141=1,0.7,0)</f>
        <v/>
      </c>
      <c r="E2141" s="6">
        <f>IF(H2141=1,1.0,0)</f>
        <v/>
      </c>
      <c r="F2141" s="6">
        <f>IF(H2141=1,0.8,0)</f>
        <v/>
      </c>
      <c r="G2141" s="5" t="s">
        <v>23</v>
      </c>
      <c r="H2141" s="8">
        <f>IF(OR(LOOKUP(A2141,characters!A:A,characters!B:B)=-1, LOOKUP(A2141,characters!A:A,characters!B:B)+0.1&gt;=B2141),1,0)</f>
        <v/>
      </c>
    </row>
    <row r="2142" spans="1:8">
      <c r="A2142" s="4" t="s">
        <v>61</v>
      </c>
      <c r="B2142" s="7">
        <v>1</v>
      </c>
      <c r="C2142" s="6">
        <f>IF(H2142=1,0.9,0)</f>
        <v/>
      </c>
      <c r="D2142" s="6">
        <f>IF(H2142=1,0.9,0)</f>
        <v/>
      </c>
      <c r="E2142" s="6">
        <f>IF(H2142=1,1.0,0)</f>
        <v/>
      </c>
      <c r="F2142" s="6">
        <f>IF(H2142=1,0.8,0)</f>
        <v/>
      </c>
      <c r="G2142" s="5" t="s">
        <v>23</v>
      </c>
      <c r="H2142" s="8">
        <f>IF(OR(LOOKUP(A2142,characters!A:A,characters!B:B)=-1, LOOKUP(A2142,characters!A:A,characters!B:B)+0.1&gt;=B2142),1,0)</f>
        <v/>
      </c>
    </row>
    <row r="2143" spans="1:8">
      <c r="A2143" s="4" t="s">
        <v>125</v>
      </c>
      <c r="B2143" s="7">
        <v>1</v>
      </c>
      <c r="C2143" s="6">
        <f>IF(H2143=1,0.9,0)</f>
        <v/>
      </c>
      <c r="D2143" s="6">
        <f>IF(H2143=1,0.9,0)</f>
        <v/>
      </c>
      <c r="E2143" s="6">
        <f>IF(H2143=1,1.0,0)</f>
        <v/>
      </c>
      <c r="F2143" s="5" t="s">
        <v>23</v>
      </c>
      <c r="G2143" s="6">
        <f>IF(H2143=1,0.8,0)</f>
        <v/>
      </c>
      <c r="H2143" s="8">
        <f>IF(OR(LOOKUP(A2143,characters!A:A,characters!B:B)=-1, LOOKUP(A2143,characters!A:A,characters!B:B)+0.1&gt;=B2143),1,0)</f>
        <v/>
      </c>
    </row>
    <row r="2144" spans="1:8">
      <c r="A2144" s="4" t="s">
        <v>104</v>
      </c>
      <c r="B2144" s="7">
        <v>1</v>
      </c>
      <c r="C2144" s="6">
        <f>IF(H2144=1,1.0,0)</f>
        <v/>
      </c>
      <c r="D2144" s="6">
        <f>IF(H2144=1,1.0,0)</f>
        <v/>
      </c>
      <c r="E2144" s="6">
        <f>IF(H2144=1,1.0,0)</f>
        <v/>
      </c>
      <c r="F2144" s="6">
        <f>IF(H2144=1,0.9,0)</f>
        <v/>
      </c>
      <c r="G2144" s="5" t="s">
        <v>23</v>
      </c>
      <c r="H2144" s="8">
        <f>IF(OR(LOOKUP(A2144,characters!A:A,characters!B:B)=-1, LOOKUP(A2144,characters!A:A,characters!B:B)+0.1&gt;=B2144),1,0)</f>
        <v/>
      </c>
    </row>
    <row r="2145" spans="1:8">
      <c r="A2145" s="4" t="s">
        <v>101</v>
      </c>
      <c r="B2145" s="7">
        <v>1</v>
      </c>
      <c r="C2145" s="6">
        <f>IF(H2145=1,0.9,0)</f>
        <v/>
      </c>
      <c r="D2145" s="6">
        <f>IF(H2145=1,0.9,0)</f>
        <v/>
      </c>
      <c r="E2145" s="6">
        <f>IF(H2145=1,1.0,0)</f>
        <v/>
      </c>
      <c r="F2145" s="6">
        <f>IF(H2145=1,0.8,0)</f>
        <v/>
      </c>
      <c r="G2145" s="5" t="s">
        <v>23</v>
      </c>
      <c r="H2145" s="8">
        <f>IF(OR(LOOKUP(A2145,characters!A:A,characters!B:B)=-1, LOOKUP(A2145,characters!A:A,characters!B:B)+0.1&gt;=B2145),1,0)</f>
        <v/>
      </c>
    </row>
    <row r="2146" spans="1:8">
      <c r="A2146" s="4" t="s">
        <v>109</v>
      </c>
      <c r="B2146" s="7">
        <v>1</v>
      </c>
      <c r="C2146" s="6">
        <f>IF(H2146=1,1.0,0)</f>
        <v/>
      </c>
      <c r="D2146" s="6">
        <f>IF(H2146=1,1.0,0)</f>
        <v/>
      </c>
      <c r="E2146" s="5" t="s">
        <v>23</v>
      </c>
      <c r="F2146" s="6">
        <f>IF(H2146=1,0.9,0)</f>
        <v/>
      </c>
      <c r="G2146" s="5" t="s">
        <v>23</v>
      </c>
      <c r="H2146" s="8">
        <f>IF(OR(LOOKUP(A2146,characters!A:A,characters!B:B)=-1, LOOKUP(A2146,characters!A:A,characters!B:B)+0.1&gt;=B2146),1,0)</f>
        <v/>
      </c>
    </row>
    <row r="2147" spans="1:8">
      <c r="A2147" s="4" t="s">
        <v>105</v>
      </c>
      <c r="B2147" s="7">
        <v>2</v>
      </c>
      <c r="C2147" s="6">
        <f>IF(H2147=1,1.0,0)</f>
        <v/>
      </c>
      <c r="D2147" s="6">
        <f>IF(H2147=1,1.0,0)</f>
        <v/>
      </c>
      <c r="E2147" s="5" t="s">
        <v>23</v>
      </c>
      <c r="F2147" s="6">
        <f>IF(H2147=1,0.9,0)</f>
        <v/>
      </c>
      <c r="G2147" s="5" t="s">
        <v>23</v>
      </c>
      <c r="H2147" s="8">
        <f>IF(OR(LOOKUP(A2147,characters!A:A,characters!B:B)=-1, LOOKUP(A2147,characters!A:A,characters!B:B)+0.1&gt;=B2147),1,0)</f>
        <v/>
      </c>
    </row>
    <row r="2148" spans="1:8">
      <c r="A2148" s="4" t="s">
        <v>108</v>
      </c>
      <c r="B2148" s="7">
        <v>2</v>
      </c>
      <c r="C2148" s="6">
        <f>IF(H2148=1,0.9,0)</f>
        <v/>
      </c>
      <c r="D2148" s="6">
        <f>IF(H2148=1,0.9,0)</f>
        <v/>
      </c>
      <c r="E2148" s="6">
        <f>IF(H2148=1,1.0,0)</f>
        <v/>
      </c>
      <c r="F2148" s="6">
        <f>IF(H2148=1,0.8,0)</f>
        <v/>
      </c>
      <c r="G2148" s="5" t="s">
        <v>23</v>
      </c>
      <c r="H2148" s="8">
        <f>IF(OR(LOOKUP(A2148,characters!A:A,characters!B:B)=-1, LOOKUP(A2148,characters!A:A,characters!B:B)+0.1&gt;=B2148),1,0)</f>
        <v/>
      </c>
    </row>
    <row r="2149" spans="1:8">
      <c r="A2149" s="4" t="s">
        <v>86</v>
      </c>
      <c r="B2149" s="7">
        <v>3</v>
      </c>
      <c r="C2149" s="6">
        <f>IF(H2149=1,0.99,0)</f>
        <v/>
      </c>
      <c r="D2149" s="6">
        <f>IF(H2149=1,1.0,0)</f>
        <v/>
      </c>
      <c r="E2149" s="6">
        <f>IF(H2149=1,0.79,0)</f>
        <v/>
      </c>
      <c r="F2149" s="6">
        <f>IF(H2149=1,0.89,0)</f>
        <v/>
      </c>
      <c r="G2149" s="5" t="s">
        <v>23</v>
      </c>
      <c r="H2149" s="8">
        <f>IF(OR(LOOKUP(A2149,characters!A:A,characters!B:B)=-1, LOOKUP(A2149,characters!A:A,characters!B:B)+0.1&gt;=B2149),1,0)</f>
        <v/>
      </c>
    </row>
    <row r="2151" spans="1:8">
      <c r="A2151" s="3" t="s">
        <v>49</v>
      </c>
      <c r="B2151" s="3" t="s">
        <v>9</v>
      </c>
      <c r="C2151" s="3" t="s">
        <v>21</v>
      </c>
      <c r="D2151" s="3" t="s">
        <v>19</v>
      </c>
    </row>
    <row r="2152" spans="1:8">
      <c r="A2152" s="4" t="s">
        <v>22</v>
      </c>
      <c r="B2152" s="5" t="s">
        <v>23</v>
      </c>
      <c r="C2152" s="6">
        <f>IF(SUM(E2153:E2164)=0,0,SUM(C2153:C2164)/SUM(E2153:E2164))</f>
        <v/>
      </c>
      <c r="D2152" s="6">
        <f>IF(SUM(E2153:E2164)=0,0,SUM(D2153:D2164)/SUM(E2153:E2164))</f>
        <v/>
      </c>
    </row>
    <row r="2153" spans="1:8">
      <c r="A2153" s="4" t="s">
        <v>61</v>
      </c>
      <c r="B2153" s="7">
        <v>1</v>
      </c>
      <c r="C2153" s="6">
        <f>IF(E2153=1,1.0,0)</f>
        <v/>
      </c>
      <c r="D2153" s="6">
        <f>IF(E2153=1,0.99,0)</f>
        <v/>
      </c>
      <c r="E2153" s="8">
        <f>IF(OR(LOOKUP(A2153,characters!A:A,characters!B:B)=-1, LOOKUP(A2153,characters!A:A,characters!B:B)+0.1&gt;=B2153),1,0)</f>
        <v/>
      </c>
    </row>
    <row r="2154" spans="1:8">
      <c r="A2154" s="4" t="s">
        <v>75</v>
      </c>
      <c r="B2154" s="7">
        <v>0</v>
      </c>
      <c r="C2154" s="6">
        <f>IF(E2154=1,1.0,0)</f>
        <v/>
      </c>
      <c r="D2154" s="6">
        <f>IF(E2154=1,0.99,0)</f>
        <v/>
      </c>
      <c r="E2154" s="8">
        <f>IF(OR(LOOKUP(A2154,characters!A:A,characters!B:B)=-1, LOOKUP(A2154,characters!A:A,characters!B:B)+0.1&gt;=B2154),1,0)</f>
        <v/>
      </c>
    </row>
    <row r="2155" spans="1:8">
      <c r="A2155" s="4" t="s">
        <v>57</v>
      </c>
      <c r="B2155" s="7">
        <v>0</v>
      </c>
      <c r="C2155" s="6">
        <f>IF(E2155=1,1.0,0)</f>
        <v/>
      </c>
      <c r="D2155" s="6">
        <f>IF(E2155=1,0.99,0)</f>
        <v/>
      </c>
      <c r="E2155" s="8">
        <f>IF(OR(LOOKUP(A2155,characters!A:A,characters!B:B)=-1, LOOKUP(A2155,characters!A:A,characters!B:B)+0.1&gt;=B2155),1,0)</f>
        <v/>
      </c>
    </row>
    <row r="2156" spans="1:8">
      <c r="A2156" s="4" t="s">
        <v>125</v>
      </c>
      <c r="B2156" s="7">
        <v>1</v>
      </c>
      <c r="C2156" s="6">
        <f>IF(E2156=1,0.9,0)</f>
        <v/>
      </c>
      <c r="D2156" s="6">
        <f>IF(E2156=1,1.0,0)</f>
        <v/>
      </c>
      <c r="E2156" s="8">
        <f>IF(OR(LOOKUP(A2156,characters!A:A,characters!B:B)=-1, LOOKUP(A2156,characters!A:A,characters!B:B)+0.1&gt;=B2156),1,0)</f>
        <v/>
      </c>
    </row>
    <row r="2157" spans="1:8">
      <c r="A2157" s="4" t="s">
        <v>104</v>
      </c>
      <c r="B2157" s="7">
        <v>1</v>
      </c>
      <c r="C2157" s="6">
        <f>IF(E2157=1,1.0,0)</f>
        <v/>
      </c>
      <c r="D2157" s="6">
        <f>IF(E2157=1,0.99,0)</f>
        <v/>
      </c>
      <c r="E2157" s="8">
        <f>IF(OR(LOOKUP(A2157,characters!A:A,characters!B:B)=-1, LOOKUP(A2157,characters!A:A,characters!B:B)+0.1&gt;=B2157),1,0)</f>
        <v/>
      </c>
    </row>
    <row r="2158" spans="1:8">
      <c r="A2158" s="4" t="s">
        <v>105</v>
      </c>
      <c r="B2158" s="7">
        <v>2</v>
      </c>
      <c r="C2158" s="6">
        <f>IF(E2158=1,0.99,0)</f>
        <v/>
      </c>
      <c r="D2158" s="6">
        <f>IF(E2158=1,1.0,0)</f>
        <v/>
      </c>
      <c r="E2158" s="8">
        <f>IF(OR(LOOKUP(A2158,characters!A:A,characters!B:B)=-1, LOOKUP(A2158,characters!A:A,characters!B:B)+0.1&gt;=B2158),1,0)</f>
        <v/>
      </c>
    </row>
    <row r="2159" spans="1:8">
      <c r="A2159" s="4" t="s">
        <v>101</v>
      </c>
      <c r="B2159" s="7">
        <v>1</v>
      </c>
      <c r="C2159" s="6">
        <f>IF(E2159=1,1.0,0)</f>
        <v/>
      </c>
      <c r="D2159" s="6">
        <f>IF(E2159=1,0.99,0)</f>
        <v/>
      </c>
      <c r="E2159" s="8">
        <f>IF(OR(LOOKUP(A2159,characters!A:A,characters!B:B)=-1, LOOKUP(A2159,characters!A:A,characters!B:B)+0.1&gt;=B2159),1,0)</f>
        <v/>
      </c>
    </row>
    <row r="2160" spans="1:8">
      <c r="A2160" s="4" t="s">
        <v>86</v>
      </c>
      <c r="B2160" s="7">
        <v>3</v>
      </c>
      <c r="C2160" s="6">
        <f>IF(E2160=1,1.0,0)</f>
        <v/>
      </c>
      <c r="D2160" s="6">
        <f>IF(E2160=1,0.99,0)</f>
        <v/>
      </c>
      <c r="E2160" s="8">
        <f>IF(OR(LOOKUP(A2160,characters!A:A,characters!B:B)=-1, LOOKUP(A2160,characters!A:A,characters!B:B)+0.1&gt;=B2160),1,0)</f>
        <v/>
      </c>
    </row>
    <row r="2161" spans="1:6">
      <c r="A2161" s="4" t="s">
        <v>106</v>
      </c>
      <c r="B2161" s="7">
        <v>0</v>
      </c>
      <c r="C2161" s="5" t="s">
        <v>23</v>
      </c>
      <c r="D2161" s="6">
        <f>IF(E2161=1,1.0,0)</f>
        <v/>
      </c>
      <c r="E2161" s="8">
        <f>IF(OR(LOOKUP(A2161,characters!A:A,characters!B:B)=-1, LOOKUP(A2161,characters!A:A,characters!B:B)+0.1&gt;=B2161),1,0)</f>
        <v/>
      </c>
    </row>
    <row r="2162" spans="1:6">
      <c r="A2162" s="4" t="s">
        <v>108</v>
      </c>
      <c r="B2162" s="7">
        <v>2</v>
      </c>
      <c r="C2162" s="6">
        <f>IF(E2162=1,1.0,0)</f>
        <v/>
      </c>
      <c r="D2162" s="6">
        <f>IF(E2162=1,0.99,0)</f>
        <v/>
      </c>
      <c r="E2162" s="8">
        <f>IF(OR(LOOKUP(A2162,characters!A:A,characters!B:B)=-1, LOOKUP(A2162,characters!A:A,characters!B:B)+0.1&gt;=B2162),1,0)</f>
        <v/>
      </c>
    </row>
    <row r="2163" spans="1:6">
      <c r="A2163" s="4" t="s">
        <v>109</v>
      </c>
      <c r="B2163" s="7">
        <v>1</v>
      </c>
      <c r="C2163" s="6">
        <f>IF(E2163=1,1.0,0)</f>
        <v/>
      </c>
      <c r="D2163" s="6">
        <f>IF(E2163=1,0.99,0)</f>
        <v/>
      </c>
      <c r="E2163" s="8">
        <f>IF(OR(LOOKUP(A2163,characters!A:A,characters!B:B)=-1, LOOKUP(A2163,characters!A:A,characters!B:B)+0.1&gt;=B2163),1,0)</f>
        <v/>
      </c>
    </row>
    <row r="2164" spans="1:6">
      <c r="A2164" s="4" t="s">
        <v>103</v>
      </c>
      <c r="B2164" s="7">
        <v>0</v>
      </c>
      <c r="C2164" s="5" t="s">
        <v>23</v>
      </c>
      <c r="D2164" s="6">
        <f>IF(E2164=1,1.0,0)</f>
        <v/>
      </c>
      <c r="E2164" s="8">
        <f>IF(OR(LOOKUP(A2164,characters!A:A,characters!B:B)=-1, LOOKUP(A2164,characters!A:A,characters!B:B)+0.1&gt;=B2164),1,0)</f>
        <v/>
      </c>
    </row>
    <row r="2166" spans="1:6">
      <c r="A2166" s="3" t="s">
        <v>52</v>
      </c>
      <c r="B2166" s="3" t="s">
        <v>9</v>
      </c>
      <c r="C2166" s="3" t="s">
        <v>17</v>
      </c>
      <c r="D2166" s="3" t="s">
        <v>10</v>
      </c>
      <c r="E2166" s="3" t="s">
        <v>13</v>
      </c>
    </row>
    <row r="2167" spans="1:6">
      <c r="A2167" s="4" t="s">
        <v>22</v>
      </c>
      <c r="B2167" s="5" t="s">
        <v>23</v>
      </c>
      <c r="C2167" s="6">
        <f>IF(SUM(F2168:F2179)=0,0,SUM(C2168:C2179)/SUM(F2168:F2179))</f>
        <v/>
      </c>
      <c r="D2167" s="6">
        <f>IF(SUM(F2168:F2179)=0,0,SUM(D2168:D2179)/SUM(F2168:F2179))</f>
        <v/>
      </c>
      <c r="E2167" s="6">
        <f>IF(SUM(F2168:F2179)=0,0,SUM(E2168:E2179)/SUM(F2168:F2179))</f>
        <v/>
      </c>
    </row>
    <row r="2168" spans="1:6">
      <c r="A2168" s="4" t="s">
        <v>61</v>
      </c>
      <c r="B2168" s="7">
        <v>1</v>
      </c>
      <c r="C2168" s="6">
        <f>IF(F2168=1,1.0,0)</f>
        <v/>
      </c>
      <c r="D2168" s="6">
        <f>IF(F2168=1,0.9,0)</f>
        <v/>
      </c>
      <c r="E2168" s="5" t="s">
        <v>23</v>
      </c>
      <c r="F2168" s="8">
        <f>IF(OR(LOOKUP(A2168,characters!A:A,characters!B:B)=-1, LOOKUP(A2168,characters!A:A,characters!B:B)+0.1&gt;=B2168),1,0)</f>
        <v/>
      </c>
    </row>
    <row r="2169" spans="1:6">
      <c r="A2169" s="4" t="s">
        <v>75</v>
      </c>
      <c r="B2169" s="7">
        <v>0</v>
      </c>
      <c r="C2169" s="6">
        <f>IF(F2169=1,1.0,0)</f>
        <v/>
      </c>
      <c r="D2169" s="6">
        <f>IF(F2169=1,0.99,0)</f>
        <v/>
      </c>
      <c r="E2169" s="5" t="s">
        <v>23</v>
      </c>
      <c r="F2169" s="8">
        <f>IF(OR(LOOKUP(A2169,characters!A:A,characters!B:B)=-1, LOOKUP(A2169,characters!A:A,characters!B:B)+0.1&gt;=B2169),1,0)</f>
        <v/>
      </c>
    </row>
    <row r="2170" spans="1:6">
      <c r="A2170" s="4" t="s">
        <v>57</v>
      </c>
      <c r="B2170" s="7">
        <v>0</v>
      </c>
      <c r="C2170" s="6">
        <f>IF(F2170=1,0.99,0)</f>
        <v/>
      </c>
      <c r="D2170" s="6">
        <f>IF(F2170=1,1.0,0)</f>
        <v/>
      </c>
      <c r="E2170" s="5" t="s">
        <v>23</v>
      </c>
      <c r="F2170" s="8">
        <f>IF(OR(LOOKUP(A2170,characters!A:A,characters!B:B)=-1, LOOKUP(A2170,characters!A:A,characters!B:B)+0.1&gt;=B2170),1,0)</f>
        <v/>
      </c>
    </row>
    <row r="2171" spans="1:6">
      <c r="A2171" s="4" t="s">
        <v>125</v>
      </c>
      <c r="B2171" s="7">
        <v>1</v>
      </c>
      <c r="C2171" s="5" t="s">
        <v>23</v>
      </c>
      <c r="D2171" s="6">
        <f>IF(F2171=1,1.0,0)</f>
        <v/>
      </c>
      <c r="E2171" s="6">
        <f>IF(F2171=1,0.99,0)</f>
        <v/>
      </c>
      <c r="F2171" s="8">
        <f>IF(OR(LOOKUP(A2171,characters!A:A,characters!B:B)=-1, LOOKUP(A2171,characters!A:A,characters!B:B)+0.1&gt;=B2171),1,0)</f>
        <v/>
      </c>
    </row>
    <row r="2172" spans="1:6">
      <c r="A2172" s="4" t="s">
        <v>104</v>
      </c>
      <c r="B2172" s="7">
        <v>1</v>
      </c>
      <c r="C2172" s="6">
        <f>IF(F2172=1,0.99,0)</f>
        <v/>
      </c>
      <c r="D2172" s="6">
        <f>IF(F2172=1,1.0,0)</f>
        <v/>
      </c>
      <c r="E2172" s="5" t="s">
        <v>23</v>
      </c>
      <c r="F2172" s="8">
        <f>IF(OR(LOOKUP(A2172,characters!A:A,characters!B:B)=-1, LOOKUP(A2172,characters!A:A,characters!B:B)+0.1&gt;=B2172),1,0)</f>
        <v/>
      </c>
    </row>
    <row r="2173" spans="1:6">
      <c r="A2173" s="4" t="s">
        <v>105</v>
      </c>
      <c r="B2173" s="7">
        <v>2</v>
      </c>
      <c r="C2173" s="6">
        <f>IF(F2173=1,1.0,0)</f>
        <v/>
      </c>
      <c r="D2173" s="6">
        <f>IF(F2173=1,0.9,0)</f>
        <v/>
      </c>
      <c r="E2173" s="5" t="s">
        <v>23</v>
      </c>
      <c r="F2173" s="8">
        <f>IF(OR(LOOKUP(A2173,characters!A:A,characters!B:B)=-1, LOOKUP(A2173,characters!A:A,characters!B:B)+0.1&gt;=B2173),1,0)</f>
        <v/>
      </c>
    </row>
    <row r="2174" spans="1:6">
      <c r="A2174" s="4" t="s">
        <v>101</v>
      </c>
      <c r="B2174" s="7">
        <v>1</v>
      </c>
      <c r="C2174" s="6">
        <f>IF(F2174=1,0.99,0)</f>
        <v/>
      </c>
      <c r="D2174" s="6">
        <f>IF(F2174=1,1.0,0)</f>
        <v/>
      </c>
      <c r="E2174" s="5" t="s">
        <v>23</v>
      </c>
      <c r="F2174" s="8">
        <f>IF(OR(LOOKUP(A2174,characters!A:A,characters!B:B)=-1, LOOKUP(A2174,characters!A:A,characters!B:B)+0.1&gt;=B2174),1,0)</f>
        <v/>
      </c>
    </row>
    <row r="2175" spans="1:6">
      <c r="A2175" s="4" t="s">
        <v>86</v>
      </c>
      <c r="B2175" s="7">
        <v>3</v>
      </c>
      <c r="C2175" s="6">
        <f>IF(F2175=1,1.0,0)</f>
        <v/>
      </c>
      <c r="D2175" s="5" t="s">
        <v>23</v>
      </c>
      <c r="E2175" s="5" t="s">
        <v>23</v>
      </c>
      <c r="F2175" s="8">
        <f>IF(OR(LOOKUP(A2175,characters!A:A,characters!B:B)=-1, LOOKUP(A2175,characters!A:A,characters!B:B)+0.1&gt;=B2175),1,0)</f>
        <v/>
      </c>
    </row>
    <row r="2176" spans="1:6">
      <c r="A2176" s="4" t="s">
        <v>106</v>
      </c>
      <c r="B2176" s="7">
        <v>0</v>
      </c>
      <c r="C2176" s="6">
        <f>IF(F2176=1,0.99,0)</f>
        <v/>
      </c>
      <c r="D2176" s="6">
        <f>IF(F2176=1,1.0,0)</f>
        <v/>
      </c>
      <c r="E2176" s="5" t="s">
        <v>23</v>
      </c>
      <c r="F2176" s="8">
        <f>IF(OR(LOOKUP(A2176,characters!A:A,characters!B:B)=-1, LOOKUP(A2176,characters!A:A,characters!B:B)+0.1&gt;=B2176),1,0)</f>
        <v/>
      </c>
    </row>
    <row r="2177" spans="1:7">
      <c r="A2177" s="4" t="s">
        <v>108</v>
      </c>
      <c r="B2177" s="7">
        <v>2</v>
      </c>
      <c r="C2177" s="6">
        <f>IF(F2177=1,1.0,0)</f>
        <v/>
      </c>
      <c r="D2177" s="6">
        <f>IF(F2177=1,0.9,0)</f>
        <v/>
      </c>
      <c r="E2177" s="5" t="s">
        <v>23</v>
      </c>
      <c r="F2177" s="8">
        <f>IF(OR(LOOKUP(A2177,characters!A:A,characters!B:B)=-1, LOOKUP(A2177,characters!A:A,characters!B:B)+0.1&gt;=B2177),1,0)</f>
        <v/>
      </c>
    </row>
    <row r="2178" spans="1:7">
      <c r="A2178" s="4" t="s">
        <v>109</v>
      </c>
      <c r="B2178" s="7">
        <v>1</v>
      </c>
      <c r="C2178" s="6">
        <f>IF(F2178=1,1.0,0)</f>
        <v/>
      </c>
      <c r="D2178" s="5" t="s">
        <v>23</v>
      </c>
      <c r="E2178" s="5" t="s">
        <v>23</v>
      </c>
      <c r="F2178" s="8">
        <f>IF(OR(LOOKUP(A2178,characters!A:A,characters!B:B)=-1, LOOKUP(A2178,characters!A:A,characters!B:B)+0.1&gt;=B2178),1,0)</f>
        <v/>
      </c>
    </row>
    <row r="2179" spans="1:7">
      <c r="A2179" s="4" t="s">
        <v>103</v>
      </c>
      <c r="B2179" s="7">
        <v>0</v>
      </c>
      <c r="C2179" s="6">
        <f>IF(F2179=1,0.99,0)</f>
        <v/>
      </c>
      <c r="D2179" s="6">
        <f>IF(F2179=1,1.0,0)</f>
        <v/>
      </c>
      <c r="E2179" s="5" t="s">
        <v>23</v>
      </c>
      <c r="F2179" s="8">
        <f>IF(OR(LOOKUP(A2179,characters!A:A,characters!B:B)=-1, LOOKUP(A2179,characters!A:A,characters!B:B)+0.1&gt;=B2179),1,0)</f>
        <v/>
      </c>
    </row>
    <row r="2186" spans="1:7">
      <c r="A2186" s="3" t="s">
        <v>155</v>
      </c>
    </row>
    <row r="2187" spans="1:7">
      <c r="A2187" s="3" t="s">
        <v>8</v>
      </c>
      <c r="B2187" s="3" t="s">
        <v>9</v>
      </c>
      <c r="C2187" s="3" t="s">
        <v>10</v>
      </c>
      <c r="D2187" s="3" t="s">
        <v>13</v>
      </c>
      <c r="E2187" s="3" t="s">
        <v>11</v>
      </c>
      <c r="F2187" s="3" t="s">
        <v>12</v>
      </c>
    </row>
    <row r="2188" spans="1:7">
      <c r="A2188" s="4" t="s">
        <v>22</v>
      </c>
      <c r="B2188" s="5" t="s">
        <v>23</v>
      </c>
      <c r="C2188" s="6">
        <f>IF(SUM(G2189)=0,0,SUM(C2189)/SUM(G2189))</f>
        <v/>
      </c>
      <c r="D2188" s="6">
        <f>IF(SUM(G2189)=0,0,SUM(D2189)/SUM(G2189))</f>
        <v/>
      </c>
      <c r="E2188" s="6">
        <f>IF(SUM(G2189)=0,0,SUM(E2189)/SUM(G2189))</f>
        <v/>
      </c>
      <c r="F2188" s="6">
        <f>IF(SUM(G2189)=0,0,SUM(F2189)/SUM(G2189))</f>
        <v/>
      </c>
    </row>
    <row r="2189" spans="1:7">
      <c r="A2189" s="4" t="s">
        <v>33</v>
      </c>
      <c r="B2189" s="7">
        <v>2</v>
      </c>
      <c r="C2189" s="6">
        <f>IF(G2189=1,1.0,0)</f>
        <v/>
      </c>
      <c r="D2189" s="6">
        <f>IF(G2189=1,0.9,0)</f>
        <v/>
      </c>
      <c r="E2189" s="6">
        <f>IF(G2189=1,0.8,0)</f>
        <v/>
      </c>
      <c r="F2189" s="6">
        <f>IF(G2189=1,0.8,0)</f>
        <v/>
      </c>
      <c r="G2189" s="8">
        <f>IF(OR(LOOKUP(A2189,characters!A:A,characters!B:B)=-1, LOOKUP(A2189,characters!A:A,characters!B:B)+0.1&gt;=B2189),1,0)</f>
        <v/>
      </c>
    </row>
    <row r="2191" spans="1:7">
      <c r="A2191" s="3" t="s">
        <v>49</v>
      </c>
      <c r="B2191" s="3" t="s">
        <v>9</v>
      </c>
      <c r="C2191" s="3" t="s">
        <v>50</v>
      </c>
      <c r="D2191" s="3" t="s">
        <v>13</v>
      </c>
    </row>
    <row r="2192" spans="1:7">
      <c r="A2192" s="4" t="s">
        <v>22</v>
      </c>
      <c r="B2192" s="5" t="s">
        <v>23</v>
      </c>
      <c r="C2192" s="6">
        <f>IF(SUM(E2193)=0,0,SUM(C2193)/SUM(E2193))</f>
        <v/>
      </c>
      <c r="D2192" s="6">
        <f>IF(SUM(E2193)=0,0,SUM(D2193)/SUM(E2193))</f>
        <v/>
      </c>
    </row>
    <row r="2193" spans="1:7">
      <c r="A2193" s="4" t="s">
        <v>33</v>
      </c>
      <c r="B2193" s="7">
        <v>2</v>
      </c>
      <c r="C2193" s="6">
        <f>IF(E2193=1,1.0,0)</f>
        <v/>
      </c>
      <c r="D2193" s="6">
        <f>IF(E2193=1,0.9,0)</f>
        <v/>
      </c>
      <c r="E2193" s="8">
        <f>IF(OR(LOOKUP(A2193,characters!A:A,characters!B:B)=-1, LOOKUP(A2193,characters!A:A,characters!B:B)+0.1&gt;=B2193),1,0)</f>
        <v/>
      </c>
    </row>
    <row r="2195" spans="1:7">
      <c r="A2195" s="3" t="s">
        <v>52</v>
      </c>
      <c r="B2195" s="3" t="s">
        <v>9</v>
      </c>
      <c r="C2195" s="3" t="s">
        <v>10</v>
      </c>
    </row>
    <row r="2196" spans="1:7">
      <c r="A2196" s="4" t="s">
        <v>22</v>
      </c>
      <c r="B2196" s="5" t="s">
        <v>23</v>
      </c>
      <c r="C2196" s="6">
        <f>IF(SUM(D2197)=0,0,SUM(C2197)/SUM(D2197))</f>
        <v/>
      </c>
    </row>
    <row r="2197" spans="1:7">
      <c r="A2197" s="4" t="s">
        <v>33</v>
      </c>
      <c r="B2197" s="7">
        <v>2</v>
      </c>
      <c r="C2197" s="6">
        <f>IF(D2197=1,1.0,0)</f>
        <v/>
      </c>
      <c r="D2197" s="8">
        <f>IF(OR(LOOKUP(A2197,characters!A:A,characters!B:B)=-1, LOOKUP(A2197,characters!A:A,characters!B:B)+0.1&gt;=B2197),1,0)</f>
        <v/>
      </c>
    </row>
    <row r="2204" spans="1:7">
      <c r="A2204" s="3" t="s">
        <v>156</v>
      </c>
    </row>
    <row r="2205" spans="1:7">
      <c r="A2205" s="3" t="s">
        <v>8</v>
      </c>
      <c r="B2205" s="3" t="s">
        <v>9</v>
      </c>
      <c r="C2205" s="3" t="s">
        <v>10</v>
      </c>
      <c r="D2205" s="3" t="s">
        <v>13</v>
      </c>
      <c r="E2205" s="3" t="s">
        <v>12</v>
      </c>
      <c r="F2205" s="3" t="s">
        <v>11</v>
      </c>
    </row>
    <row r="2206" spans="1:7">
      <c r="A2206" s="4" t="s">
        <v>22</v>
      </c>
      <c r="B2206" s="5" t="s">
        <v>23</v>
      </c>
      <c r="C2206" s="6">
        <f>IF(SUM(G2207)=0,0,SUM(C2207)/SUM(G2207))</f>
        <v/>
      </c>
      <c r="D2206" s="6">
        <f>IF(SUM(G2207)=0,0,SUM(D2207)/SUM(G2207))</f>
        <v/>
      </c>
      <c r="E2206" s="6">
        <f>IF(SUM(G2207)=0,0,SUM(E2207)/SUM(G2207))</f>
        <v/>
      </c>
      <c r="F2206" s="6">
        <f>IF(SUM(G2207)=0,0,SUM(F2207)/SUM(G2207))</f>
        <v/>
      </c>
    </row>
    <row r="2207" spans="1:7">
      <c r="A2207" s="4" t="s">
        <v>28</v>
      </c>
      <c r="B2207" s="7">
        <v>0</v>
      </c>
      <c r="C2207" s="6">
        <f>IF(G2207=1,1.0,0)</f>
        <v/>
      </c>
      <c r="D2207" s="6">
        <f>IF(G2207=1,1.0,0)</f>
        <v/>
      </c>
      <c r="E2207" s="6">
        <f>IF(G2207=1,0.99,0)</f>
        <v/>
      </c>
      <c r="F2207" s="6">
        <f>IF(G2207=1,0.89,0)</f>
        <v/>
      </c>
      <c r="G2207" s="8">
        <f>IF(OR(LOOKUP(A2207,characters!A:A,characters!B:B)=-1, LOOKUP(A2207,characters!A:A,characters!B:B)+0.1&gt;=B2207),1,0)</f>
        <v/>
      </c>
    </row>
    <row r="2209" spans="1:6">
      <c r="A2209" s="3" t="s">
        <v>49</v>
      </c>
      <c r="B2209" s="3" t="s">
        <v>9</v>
      </c>
      <c r="C2209" s="3" t="s">
        <v>13</v>
      </c>
      <c r="D2209" s="3" t="s">
        <v>12</v>
      </c>
    </row>
    <row r="2210" spans="1:6">
      <c r="A2210" s="4" t="s">
        <v>22</v>
      </c>
      <c r="B2210" s="5" t="s">
        <v>23</v>
      </c>
      <c r="C2210" s="6">
        <f>IF(SUM(E2211)=0,0,SUM(C2211)/SUM(E2211))</f>
        <v/>
      </c>
      <c r="D2210" s="6">
        <f>IF(SUM(E2211)=0,0,SUM(D2211)/SUM(E2211))</f>
        <v/>
      </c>
    </row>
    <row r="2211" spans="1:6">
      <c r="A2211" s="4" t="s">
        <v>28</v>
      </c>
      <c r="B2211" s="7">
        <v>0</v>
      </c>
      <c r="C2211" s="6">
        <f>IF(E2211=1,1.0,0)</f>
        <v/>
      </c>
      <c r="D2211" s="6">
        <f>IF(E2211=1,0.9,0)</f>
        <v/>
      </c>
      <c r="E2211" s="8">
        <f>IF(OR(LOOKUP(A2211,characters!A:A,characters!B:B)=-1, LOOKUP(A2211,characters!A:A,characters!B:B)+0.1&gt;=B2211),1,0)</f>
        <v/>
      </c>
    </row>
    <row r="2213" spans="1:6">
      <c r="A2213" s="3" t="s">
        <v>52</v>
      </c>
      <c r="B2213" s="3" t="s">
        <v>9</v>
      </c>
      <c r="C2213" s="3" t="s">
        <v>10</v>
      </c>
      <c r="D2213" s="3" t="s">
        <v>13</v>
      </c>
    </row>
    <row r="2214" spans="1:6">
      <c r="A2214" s="4" t="s">
        <v>22</v>
      </c>
      <c r="B2214" s="5" t="s">
        <v>23</v>
      </c>
      <c r="C2214" s="6">
        <f>IF(SUM(E2215)=0,0,SUM(C2215)/SUM(E2215))</f>
        <v/>
      </c>
      <c r="D2214" s="6">
        <f>IF(SUM(E2215)=0,0,SUM(D2215)/SUM(E2215))</f>
        <v/>
      </c>
    </row>
    <row r="2215" spans="1:6">
      <c r="A2215" s="4" t="s">
        <v>28</v>
      </c>
      <c r="B2215" s="7">
        <v>0</v>
      </c>
      <c r="C2215" s="6">
        <f>IF(E2215=1,1.0,0)</f>
        <v/>
      </c>
      <c r="D2215" s="6">
        <f>IF(E2215=1,0.9,0)</f>
        <v/>
      </c>
      <c r="E2215" s="8">
        <f>IF(OR(LOOKUP(A2215,characters!A:A,characters!B:B)=-1, LOOKUP(A2215,characters!A:A,characters!B:B)+0.1&gt;=B2215),1,0)</f>
        <v/>
      </c>
    </row>
    <row r="2222" spans="1:6">
      <c r="A2222" s="3" t="s">
        <v>157</v>
      </c>
    </row>
    <row r="2223" spans="1:6">
      <c r="A2223" s="3" t="s">
        <v>8</v>
      </c>
      <c r="B2223" s="3" t="s">
        <v>9</v>
      </c>
      <c r="C2223" s="3" t="s">
        <v>21</v>
      </c>
      <c r="D2223" s="3" t="s">
        <v>19</v>
      </c>
      <c r="E2223" s="3" t="s">
        <v>10</v>
      </c>
      <c r="F2223" s="3" t="s">
        <v>17</v>
      </c>
    </row>
    <row r="2224" spans="1:6">
      <c r="A2224" s="4" t="s">
        <v>22</v>
      </c>
      <c r="B2224" s="5" t="s">
        <v>23</v>
      </c>
      <c r="C2224" s="6">
        <f>IF(SUM(G2225:G2228)=0,0,SUM(C2225:C2228)/SUM(G2225:G2228))</f>
        <v/>
      </c>
      <c r="D2224" s="6">
        <f>IF(SUM(G2225:G2228)=0,0,SUM(D2225:D2228)/SUM(G2225:G2228))</f>
        <v/>
      </c>
      <c r="E2224" s="6">
        <f>IF(SUM(G2225:G2228)=0,0,SUM(E2225:E2228)/SUM(G2225:G2228))</f>
        <v/>
      </c>
      <c r="F2224" s="6">
        <f>IF(SUM(G2225:G2228)=0,0,SUM(F2225:F2228)/SUM(G2225:G2228))</f>
        <v/>
      </c>
    </row>
    <row r="2225" spans="1:8">
      <c r="A2225" s="4" t="s">
        <v>75</v>
      </c>
      <c r="B2225" s="7">
        <v>1</v>
      </c>
      <c r="C2225" s="6">
        <f>IF(G2225=1,0.9,0)</f>
        <v/>
      </c>
      <c r="D2225" s="6">
        <f>IF(G2225=1,0.9,0)</f>
        <v/>
      </c>
      <c r="E2225" s="6">
        <f>IF(G2225=1,1.0,0)</f>
        <v/>
      </c>
      <c r="F2225" s="6">
        <f>IF(G2225=1,0.8,0)</f>
        <v/>
      </c>
      <c r="G2225" s="8">
        <f>IF(OR(LOOKUP(A2225,characters!A:A,characters!B:B)=-1, LOOKUP(A2225,characters!A:A,characters!B:B)+0.1&gt;=B2225),1,0)</f>
        <v/>
      </c>
    </row>
    <row r="2226" spans="1:8">
      <c r="A2226" s="4" t="s">
        <v>112</v>
      </c>
      <c r="B2226" s="7">
        <v>1</v>
      </c>
      <c r="C2226" s="6">
        <f>IF(G2226=1,1.0,0)</f>
        <v/>
      </c>
      <c r="D2226" s="6">
        <f>IF(G2226=1,1.0,0)</f>
        <v/>
      </c>
      <c r="E2226" s="6">
        <f>IF(G2226=1,1.0,0)</f>
        <v/>
      </c>
      <c r="F2226" s="6">
        <f>IF(G2226=1,0.9,0)</f>
        <v/>
      </c>
      <c r="G2226" s="8">
        <f>IF(OR(LOOKUP(A2226,characters!A:A,characters!B:B)=-1, LOOKUP(A2226,characters!A:A,characters!B:B)+0.1&gt;=B2226),1,0)</f>
        <v/>
      </c>
    </row>
    <row r="2227" spans="1:8">
      <c r="A2227" s="4" t="s">
        <v>100</v>
      </c>
      <c r="B2227" s="7">
        <v>1</v>
      </c>
      <c r="C2227" s="6">
        <f>IF(G2227=1,1.0,0)</f>
        <v/>
      </c>
      <c r="D2227" s="6">
        <f>IF(G2227=1,1.0,0)</f>
        <v/>
      </c>
      <c r="E2227" s="6">
        <f>IF(G2227=1,1.0,0)</f>
        <v/>
      </c>
      <c r="F2227" s="6">
        <f>IF(G2227=1,0.9,0)</f>
        <v/>
      </c>
      <c r="G2227" s="8">
        <f>IF(OR(LOOKUP(A2227,characters!A:A,characters!B:B)=-1, LOOKUP(A2227,characters!A:A,characters!B:B)+0.1&gt;=B2227),1,0)</f>
        <v/>
      </c>
    </row>
    <row r="2228" spans="1:8">
      <c r="A2228" s="4" t="s">
        <v>86</v>
      </c>
      <c r="B2228" s="7">
        <v>1</v>
      </c>
      <c r="C2228" s="6">
        <f>IF(G2228=1,1.0,0)</f>
        <v/>
      </c>
      <c r="D2228" s="6">
        <f>IF(G2228=1,0.99,0)</f>
        <v/>
      </c>
      <c r="E2228" s="6">
        <f>IF(G2228=1,0.79,0)</f>
        <v/>
      </c>
      <c r="F2228" s="6">
        <f>IF(G2228=1,0.89,0)</f>
        <v/>
      </c>
      <c r="G2228" s="8">
        <f>IF(OR(LOOKUP(A2228,characters!A:A,characters!B:B)=-1, LOOKUP(A2228,characters!A:A,characters!B:B)+0.1&gt;=B2228),1,0)</f>
        <v/>
      </c>
    </row>
    <row r="2230" spans="1:8">
      <c r="A2230" s="3" t="s">
        <v>64</v>
      </c>
      <c r="B2230" s="3" t="s">
        <v>9</v>
      </c>
      <c r="C2230" s="3" t="s">
        <v>87</v>
      </c>
      <c r="D2230" s="3" t="s">
        <v>17</v>
      </c>
      <c r="E2230" s="3" t="s">
        <v>114</v>
      </c>
      <c r="F2230" s="3" t="s">
        <v>90</v>
      </c>
      <c r="G2230" s="3" t="s">
        <v>69</v>
      </c>
    </row>
    <row r="2231" spans="1:8">
      <c r="A2231" s="4" t="s">
        <v>22</v>
      </c>
      <c r="B2231" s="5" t="s">
        <v>23</v>
      </c>
      <c r="C2231" s="6">
        <f>IF(SUM(H2232:H2235)=0,0,SUM(C2232:C2235)/SUM(H2232:H2235))</f>
        <v/>
      </c>
      <c r="D2231" s="6">
        <f>IF(SUM(H2232:H2235)=0,0,SUM(D2232:D2235)/SUM(H2232:H2235))</f>
        <v/>
      </c>
      <c r="E2231" s="6">
        <f>IF(SUM(H2232:H2235)=0,0,SUM(E2232:E2235)/SUM(H2232:H2235))</f>
        <v/>
      </c>
      <c r="F2231" s="6">
        <f>IF(SUM(H2232:H2235)=0,0,SUM(F2232:F2235)/SUM(H2232:H2235))</f>
        <v/>
      </c>
      <c r="G2231" s="6">
        <f>IF(SUM(H2232:H2235)=0,0,SUM(G2232:G2235)/SUM(H2232:H2235))</f>
        <v/>
      </c>
    </row>
    <row r="2232" spans="1:8">
      <c r="A2232" s="4" t="s">
        <v>75</v>
      </c>
      <c r="B2232" s="7">
        <v>1</v>
      </c>
      <c r="C2232" s="6">
        <f>IF(H2232=1,1.0,0)</f>
        <v/>
      </c>
      <c r="D2232" s="6">
        <f>IF(H2232=1,1.0,0)</f>
        <v/>
      </c>
      <c r="E2232" s="5" t="s">
        <v>23</v>
      </c>
      <c r="F2232" s="5" t="s">
        <v>23</v>
      </c>
      <c r="G2232" s="5" t="s">
        <v>23</v>
      </c>
      <c r="H2232" s="8">
        <f>IF(OR(LOOKUP(A2232,characters!A:A,characters!B:B)=-1, LOOKUP(A2232,characters!A:A,characters!B:B)+0.1&gt;=B2232),1,0)</f>
        <v/>
      </c>
    </row>
    <row r="2233" spans="1:8">
      <c r="A2233" s="4" t="s">
        <v>112</v>
      </c>
      <c r="B2233" s="7">
        <v>1</v>
      </c>
      <c r="C2233" s="5" t="s">
        <v>23</v>
      </c>
      <c r="D2233" s="6">
        <f>IF(H2233=1,0.9,0)</f>
        <v/>
      </c>
      <c r="E2233" s="6">
        <f>IF(H2233=1,1.0,0)</f>
        <v/>
      </c>
      <c r="F2233" s="5" t="s">
        <v>23</v>
      </c>
      <c r="G2233" s="5" t="s">
        <v>23</v>
      </c>
      <c r="H2233" s="8">
        <f>IF(OR(LOOKUP(A2233,characters!A:A,characters!B:B)=-1, LOOKUP(A2233,characters!A:A,characters!B:B)+0.1&gt;=B2233),1,0)</f>
        <v/>
      </c>
    </row>
    <row r="2234" spans="1:8">
      <c r="A2234" s="4" t="s">
        <v>100</v>
      </c>
      <c r="B2234" s="7">
        <v>1</v>
      </c>
      <c r="C2234" s="5" t="s">
        <v>23</v>
      </c>
      <c r="D2234" s="6">
        <f>IF(H2234=1,0.9,0)</f>
        <v/>
      </c>
      <c r="E2234" s="5" t="s">
        <v>23</v>
      </c>
      <c r="F2234" s="6">
        <f>IF(H2234=1,1.0,0)</f>
        <v/>
      </c>
      <c r="G2234" s="5" t="s">
        <v>23</v>
      </c>
      <c r="H2234" s="8">
        <f>IF(OR(LOOKUP(A2234,characters!A:A,characters!B:B)=-1, LOOKUP(A2234,characters!A:A,characters!B:B)+0.1&gt;=B2234),1,0)</f>
        <v/>
      </c>
    </row>
    <row r="2235" spans="1:8">
      <c r="A2235" s="4" t="s">
        <v>86</v>
      </c>
      <c r="B2235" s="7">
        <v>1</v>
      </c>
      <c r="C2235" s="5" t="s">
        <v>23</v>
      </c>
      <c r="D2235" s="5" t="s">
        <v>23</v>
      </c>
      <c r="E2235" s="5" t="s">
        <v>23</v>
      </c>
      <c r="F2235" s="5" t="s">
        <v>23</v>
      </c>
      <c r="G2235" s="6">
        <f>IF(H2235=1,1.0,0)</f>
        <v/>
      </c>
      <c r="H2235" s="8">
        <f>IF(OR(LOOKUP(A2235,characters!A:A,characters!B:B)=-1, LOOKUP(A2235,characters!A:A,characters!B:B)+0.1&gt;=B2235),1,0)</f>
        <v/>
      </c>
    </row>
    <row r="2237" spans="1:8">
      <c r="A2237" s="3" t="s">
        <v>65</v>
      </c>
      <c r="B2237" s="3" t="s">
        <v>9</v>
      </c>
      <c r="C2237" s="3" t="s">
        <v>17</v>
      </c>
    </row>
    <row r="2238" spans="1:8">
      <c r="A2238" s="4" t="s">
        <v>22</v>
      </c>
      <c r="B2238" s="5" t="s">
        <v>23</v>
      </c>
      <c r="C2238" s="6">
        <f>IF(SUM(D2239:D2242)=0,0,SUM(C2239:C2242)/SUM(D2239:D2242))</f>
        <v/>
      </c>
    </row>
    <row r="2239" spans="1:8">
      <c r="A2239" s="4" t="s">
        <v>75</v>
      </c>
      <c r="B2239" s="7">
        <v>1</v>
      </c>
      <c r="C2239" s="6">
        <f>IF(D2239=1,1.0,0)</f>
        <v/>
      </c>
      <c r="D2239" s="8">
        <f>IF(OR(LOOKUP(A2239,characters!A:A,characters!B:B)=-1, LOOKUP(A2239,characters!A:A,characters!B:B)+0.1&gt;=B2239),1,0)</f>
        <v/>
      </c>
    </row>
    <row r="2240" spans="1:8">
      <c r="A2240" s="4" t="s">
        <v>112</v>
      </c>
      <c r="B2240" s="7">
        <v>1</v>
      </c>
      <c r="C2240" s="6">
        <f>IF(D2240=1,1.0,0)</f>
        <v/>
      </c>
      <c r="D2240" s="8">
        <f>IF(OR(LOOKUP(A2240,characters!A:A,characters!B:B)=-1, LOOKUP(A2240,characters!A:A,characters!B:B)+0.1&gt;=B2240),1,0)</f>
        <v/>
      </c>
    </row>
    <row r="2241" spans="1:9">
      <c r="A2241" s="4" t="s">
        <v>100</v>
      </c>
      <c r="B2241" s="7">
        <v>1</v>
      </c>
      <c r="C2241" s="6">
        <f>IF(D2241=1,1.0,0)</f>
        <v/>
      </c>
      <c r="D2241" s="8">
        <f>IF(OR(LOOKUP(A2241,characters!A:A,characters!B:B)=-1, LOOKUP(A2241,characters!A:A,characters!B:B)+0.1&gt;=B2241),1,0)</f>
        <v/>
      </c>
    </row>
    <row r="2242" spans="1:9">
      <c r="A2242" s="4" t="s">
        <v>86</v>
      </c>
      <c r="B2242" s="7">
        <v>1</v>
      </c>
      <c r="C2242" s="6">
        <f>IF(D2242=1,1.0,0)</f>
        <v/>
      </c>
      <c r="D2242" s="8">
        <f>IF(OR(LOOKUP(A2242,characters!A:A,characters!B:B)=-1, LOOKUP(A2242,characters!A:A,characters!B:B)+0.1&gt;=B2242),1,0)</f>
        <v/>
      </c>
    </row>
    <row r="2249" spans="1:9">
      <c r="A2249" s="3" t="s">
        <v>158</v>
      </c>
    </row>
    <row r="2250" spans="1:9">
      <c r="A2250" s="3" t="s">
        <v>8</v>
      </c>
      <c r="B2250" s="3" t="s">
        <v>9</v>
      </c>
      <c r="C2250" s="3" t="s">
        <v>16</v>
      </c>
      <c r="D2250" s="3" t="s">
        <v>10</v>
      </c>
      <c r="E2250" s="3" t="s">
        <v>17</v>
      </c>
      <c r="F2250" s="3" t="s">
        <v>13</v>
      </c>
      <c r="G2250" s="3" t="s">
        <v>12</v>
      </c>
      <c r="H2250" s="3" t="s">
        <v>18</v>
      </c>
    </row>
    <row r="2251" spans="1:9">
      <c r="A2251" s="4" t="s">
        <v>22</v>
      </c>
      <c r="B2251" s="5" t="s">
        <v>23</v>
      </c>
      <c r="C2251" s="6">
        <f>IF(SUM(I2252:I2253)=0,0,SUM(C2252:C2253)/SUM(I2252:I2253))</f>
        <v/>
      </c>
      <c r="D2251" s="6">
        <f>IF(SUM(I2252:I2253)=0,0,SUM(D2252:D2253)/SUM(I2252:I2253))</f>
        <v/>
      </c>
      <c r="E2251" s="6">
        <f>IF(SUM(I2252:I2253)=0,0,SUM(E2252:E2253)/SUM(I2252:I2253))</f>
        <v/>
      </c>
      <c r="F2251" s="6">
        <f>IF(SUM(I2252:I2253)=0,0,SUM(F2252:F2253)/SUM(I2252:I2253))</f>
        <v/>
      </c>
      <c r="G2251" s="6">
        <f>IF(SUM(I2252:I2253)=0,0,SUM(G2252:G2253)/SUM(I2252:I2253))</f>
        <v/>
      </c>
      <c r="H2251" s="6">
        <f>IF(SUM(I2252:I2253)=0,0,SUM(H2252:H2253)/SUM(I2252:I2253))</f>
        <v/>
      </c>
    </row>
    <row r="2252" spans="1:9">
      <c r="A2252" s="4" t="s">
        <v>31</v>
      </c>
      <c r="B2252" s="7">
        <v>1</v>
      </c>
      <c r="C2252" s="6">
        <f>IF(I2252=1,1.0,0)</f>
        <v/>
      </c>
      <c r="D2252" s="6">
        <f>IF(I2252=1,0.9,0)</f>
        <v/>
      </c>
      <c r="E2252" s="6">
        <f>IF(I2252=1,0.8,0)</f>
        <v/>
      </c>
      <c r="F2252" s="6">
        <f>IF(I2252=1,0.7,0)</f>
        <v/>
      </c>
      <c r="G2252" s="6">
        <f>IF(I2252=1,0.7,0)</f>
        <v/>
      </c>
      <c r="H2252" s="6">
        <f>IF(I2252=1,0.7,0)</f>
        <v/>
      </c>
      <c r="I2252" s="8">
        <f>IF(OR(LOOKUP(A2252,characters!A:A,characters!B:B)=-1, LOOKUP(A2252,characters!A:A,characters!B:B)+0.1&gt;=B2252),1,0)</f>
        <v/>
      </c>
    </row>
    <row r="2253" spans="1:9">
      <c r="A2253" s="4" t="s">
        <v>34</v>
      </c>
      <c r="B2253" s="7">
        <v>1</v>
      </c>
      <c r="C2253" s="6">
        <f>IF(I2253=1,1.0,0)</f>
        <v/>
      </c>
      <c r="D2253" s="6">
        <f>IF(I2253=1,0.9,0)</f>
        <v/>
      </c>
      <c r="E2253" s="6">
        <f>IF(I2253=1,0.8,0)</f>
        <v/>
      </c>
      <c r="F2253" s="5" t="s">
        <v>23</v>
      </c>
      <c r="G2253" s="5" t="s">
        <v>23</v>
      </c>
      <c r="H2253" s="5" t="s">
        <v>23</v>
      </c>
      <c r="I2253" s="8">
        <f>IF(OR(LOOKUP(A2253,characters!A:A,characters!B:B)=-1, LOOKUP(A2253,characters!A:A,characters!B:B)+0.1&gt;=B2253),1,0)</f>
        <v/>
      </c>
    </row>
    <row r="2255" spans="1:9">
      <c r="A2255" s="3" t="s">
        <v>49</v>
      </c>
      <c r="B2255" s="3" t="s">
        <v>9</v>
      </c>
      <c r="C2255" s="3" t="s">
        <v>17</v>
      </c>
      <c r="D2255" s="3" t="s">
        <v>16</v>
      </c>
    </row>
    <row r="2256" spans="1:9">
      <c r="A2256" s="4" t="s">
        <v>22</v>
      </c>
      <c r="B2256" s="5" t="s">
        <v>23</v>
      </c>
      <c r="C2256" s="6">
        <f>IF(SUM(E2257:E2258)=0,0,SUM(C2257:C2258)/SUM(E2257:E2258))</f>
        <v/>
      </c>
      <c r="D2256" s="6">
        <f>IF(SUM(E2257:E2258)=0,0,SUM(D2257:D2258)/SUM(E2257:E2258))</f>
        <v/>
      </c>
    </row>
    <row r="2257" spans="1:8">
      <c r="A2257" s="4" t="s">
        <v>31</v>
      </c>
      <c r="B2257" s="7">
        <v>1</v>
      </c>
      <c r="C2257" s="6">
        <f>IF(E2257=1,1.0,0)</f>
        <v/>
      </c>
      <c r="D2257" s="6">
        <f>IF(E2257=1,0.9,0)</f>
        <v/>
      </c>
      <c r="E2257" s="8">
        <f>IF(OR(LOOKUP(A2257,characters!A:A,characters!B:B)=-1, LOOKUP(A2257,characters!A:A,characters!B:B)+0.1&gt;=B2257),1,0)</f>
        <v/>
      </c>
    </row>
    <row r="2258" spans="1:8">
      <c r="A2258" s="4" t="s">
        <v>34</v>
      </c>
      <c r="B2258" s="7">
        <v>1</v>
      </c>
      <c r="C2258" s="5" t="s">
        <v>23</v>
      </c>
      <c r="D2258" s="6">
        <f>IF(E2258=1,1.0,0)</f>
        <v/>
      </c>
      <c r="E2258" s="8">
        <f>IF(OR(LOOKUP(A2258,characters!A:A,characters!B:B)=-1, LOOKUP(A2258,characters!A:A,characters!B:B)+0.1&gt;=B2258),1,0)</f>
        <v/>
      </c>
    </row>
    <row r="2260" spans="1:8">
      <c r="A2260" s="3" t="s">
        <v>52</v>
      </c>
      <c r="B2260" s="3" t="s">
        <v>9</v>
      </c>
      <c r="C2260" s="3" t="s">
        <v>10</v>
      </c>
    </row>
    <row r="2261" spans="1:8">
      <c r="A2261" s="4" t="s">
        <v>22</v>
      </c>
      <c r="B2261" s="5" t="s">
        <v>23</v>
      </c>
      <c r="C2261" s="6">
        <f>IF(SUM(D2262:D2263)=0,0,SUM(C2262:C2263)/SUM(D2262:D2263))</f>
        <v/>
      </c>
    </row>
    <row r="2262" spans="1:8">
      <c r="A2262" s="4" t="s">
        <v>31</v>
      </c>
      <c r="B2262" s="7">
        <v>1</v>
      </c>
      <c r="C2262" s="6">
        <f>IF(D2262=1,1.0,0)</f>
        <v/>
      </c>
      <c r="D2262" s="8">
        <f>IF(OR(LOOKUP(A2262,characters!A:A,characters!B:B)=-1, LOOKUP(A2262,characters!A:A,characters!B:B)+0.1&gt;=B2262),1,0)</f>
        <v/>
      </c>
    </row>
    <row r="2263" spans="1:8">
      <c r="A2263" s="4" t="s">
        <v>34</v>
      </c>
      <c r="B2263" s="7">
        <v>1</v>
      </c>
      <c r="C2263" s="6">
        <f>IF(D2263=1,1.0,0)</f>
        <v/>
      </c>
      <c r="D2263" s="8">
        <f>IF(OR(LOOKUP(A2263,characters!A:A,characters!B:B)=-1, LOOKUP(A2263,characters!A:A,characters!B:B)+0.1&gt;=B2263),1,0)</f>
        <v/>
      </c>
    </row>
    <row r="2270" spans="1:8">
      <c r="A2270" s="3" t="s">
        <v>159</v>
      </c>
    </row>
    <row r="2271" spans="1:8">
      <c r="A2271" s="3" t="s">
        <v>8</v>
      </c>
      <c r="B2271" s="3" t="s">
        <v>9</v>
      </c>
      <c r="C2271" s="3" t="s">
        <v>10</v>
      </c>
      <c r="D2271" s="3" t="s">
        <v>17</v>
      </c>
      <c r="E2271" s="3" t="s">
        <v>19</v>
      </c>
      <c r="F2271" s="3" t="s">
        <v>21</v>
      </c>
      <c r="G2271" s="3" t="s">
        <v>18</v>
      </c>
      <c r="H2271" s="3" t="s">
        <v>16</v>
      </c>
    </row>
    <row r="2272" spans="1:8">
      <c r="A2272" s="4" t="s">
        <v>22</v>
      </c>
      <c r="B2272" s="5" t="s">
        <v>23</v>
      </c>
      <c r="C2272" s="6">
        <f>IF(SUM(I2273:I2288)=0,0,SUM(C2273:C2288)/SUM(I2273:I2288))</f>
        <v/>
      </c>
      <c r="D2272" s="6">
        <f>IF(SUM(I2273:I2288)=0,0,SUM(D2273:D2288)/SUM(I2273:I2288))</f>
        <v/>
      </c>
      <c r="E2272" s="6">
        <f>IF(SUM(I2273:I2288)=0,0,SUM(E2273:E2288)/SUM(I2273:I2288))</f>
        <v/>
      </c>
      <c r="F2272" s="6">
        <f>IF(SUM(I2273:I2288)=0,0,SUM(F2273:F2288)/SUM(I2273:I2288))</f>
        <v/>
      </c>
      <c r="G2272" s="6">
        <f>IF(SUM(I2273:I2288)=0,0,SUM(G2273:G2288)/SUM(I2273:I2288))</f>
        <v/>
      </c>
      <c r="H2272" s="6">
        <f>IF(SUM(I2273:I2288)=0,0,SUM(H2273:H2288)/SUM(I2273:I2288))</f>
        <v/>
      </c>
    </row>
    <row r="2273" spans="1:9">
      <c r="A2273" s="4" t="s">
        <v>60</v>
      </c>
      <c r="B2273" s="7">
        <v>1</v>
      </c>
      <c r="C2273" s="6">
        <f>IF(I2273=1,1.0,0)</f>
        <v/>
      </c>
      <c r="D2273" s="6">
        <f>IF(I2273=1,0.8,0)</f>
        <v/>
      </c>
      <c r="E2273" s="6">
        <f>IF(I2273=1,0.9,0)</f>
        <v/>
      </c>
      <c r="F2273" s="6">
        <f>IF(I2273=1,0.9,0)</f>
        <v/>
      </c>
      <c r="G2273" s="5" t="s">
        <v>23</v>
      </c>
      <c r="H2273" s="5" t="s">
        <v>23</v>
      </c>
      <c r="I2273" s="8">
        <f>IF(OR(LOOKUP(A2273,characters!A:A,characters!B:B)=-1, LOOKUP(A2273,characters!A:A,characters!B:B)+0.1&gt;=B2273),1,0)</f>
        <v/>
      </c>
    </row>
    <row r="2274" spans="1:9">
      <c r="A2274" s="4" t="s">
        <v>111</v>
      </c>
      <c r="B2274" s="7">
        <v>1</v>
      </c>
      <c r="C2274" s="6">
        <f>IF(I2274=1,1.0,0)</f>
        <v/>
      </c>
      <c r="D2274" s="6">
        <f>IF(I2274=1,0.8,0)</f>
        <v/>
      </c>
      <c r="E2274" s="6">
        <f>IF(I2274=1,0.9,0)</f>
        <v/>
      </c>
      <c r="F2274" s="6">
        <f>IF(I2274=1,0.9,0)</f>
        <v/>
      </c>
      <c r="G2274" s="5" t="s">
        <v>23</v>
      </c>
      <c r="H2274" s="6">
        <f>IF(I2274=1,1.0,0)</f>
        <v/>
      </c>
      <c r="I2274" s="8">
        <f>IF(OR(LOOKUP(A2274,characters!A:A,characters!B:B)=-1, LOOKUP(A2274,characters!A:A,characters!B:B)+0.1&gt;=B2274),1,0)</f>
        <v/>
      </c>
    </row>
    <row r="2275" spans="1:9">
      <c r="A2275" s="4" t="s">
        <v>113</v>
      </c>
      <c r="B2275" s="7">
        <v>1</v>
      </c>
      <c r="C2275" s="6">
        <f>IF(I2275=1,1.0,0)</f>
        <v/>
      </c>
      <c r="D2275" s="6">
        <f>IF(I2275=1,0.79,0)</f>
        <v/>
      </c>
      <c r="E2275" s="6">
        <f>IF(I2275=1,0.89,0)</f>
        <v/>
      </c>
      <c r="F2275" s="6">
        <f>IF(I2275=1,0.89,0)</f>
        <v/>
      </c>
      <c r="G2275" s="6">
        <f>IF(I2275=1,0.9,0)</f>
        <v/>
      </c>
      <c r="H2275" s="5" t="s">
        <v>23</v>
      </c>
      <c r="I2275" s="8">
        <f>IF(OR(LOOKUP(A2275,characters!A:A,characters!B:B)=-1, LOOKUP(A2275,characters!A:A,characters!B:B)+0.1&gt;=B2275),1,0)</f>
        <v/>
      </c>
    </row>
    <row r="2276" spans="1:9">
      <c r="A2276" s="4" t="s">
        <v>61</v>
      </c>
      <c r="B2276" s="7">
        <v>2</v>
      </c>
      <c r="C2276" s="6">
        <f>IF(I2276=1,1.0,0)</f>
        <v/>
      </c>
      <c r="D2276" s="6">
        <f>IF(I2276=1,0.8,0)</f>
        <v/>
      </c>
      <c r="E2276" s="6">
        <f>IF(I2276=1,0.9,0)</f>
        <v/>
      </c>
      <c r="F2276" s="6">
        <f>IF(I2276=1,0.9,0)</f>
        <v/>
      </c>
      <c r="G2276" s="5" t="s">
        <v>23</v>
      </c>
      <c r="H2276" s="5" t="s">
        <v>23</v>
      </c>
      <c r="I2276" s="8">
        <f>IF(OR(LOOKUP(A2276,characters!A:A,characters!B:B)=-1, LOOKUP(A2276,characters!A:A,characters!B:B)+0.1&gt;=B2276),1,0)</f>
        <v/>
      </c>
    </row>
    <row r="2277" spans="1:9">
      <c r="A2277" s="4" t="s">
        <v>57</v>
      </c>
      <c r="B2277" s="7">
        <v>2</v>
      </c>
      <c r="C2277" s="6">
        <f>IF(I2277=1,1.0,0)</f>
        <v/>
      </c>
      <c r="D2277" s="6">
        <f>IF(I2277=1,0.8,0)</f>
        <v/>
      </c>
      <c r="E2277" s="6">
        <f>IF(I2277=1,0.9,0)</f>
        <v/>
      </c>
      <c r="F2277" s="6">
        <f>IF(I2277=1,0.9,0)</f>
        <v/>
      </c>
      <c r="G2277" s="5" t="s">
        <v>23</v>
      </c>
      <c r="H2277" s="5" t="s">
        <v>23</v>
      </c>
      <c r="I2277" s="8">
        <f>IF(OR(LOOKUP(A2277,characters!A:A,characters!B:B)=-1, LOOKUP(A2277,characters!A:A,characters!B:B)+0.1&gt;=B2277),1,0)</f>
        <v/>
      </c>
    </row>
    <row r="2278" spans="1:9">
      <c r="A2278" s="4" t="s">
        <v>104</v>
      </c>
      <c r="B2278" s="7">
        <v>2</v>
      </c>
      <c r="C2278" s="6">
        <f>IF(I2278=1,1.0,0)</f>
        <v/>
      </c>
      <c r="D2278" s="6">
        <f>IF(I2278=1,0.9,0)</f>
        <v/>
      </c>
      <c r="E2278" s="6">
        <f>IF(I2278=1,1.0,0)</f>
        <v/>
      </c>
      <c r="F2278" s="6">
        <f>IF(I2278=1,1.0,0)</f>
        <v/>
      </c>
      <c r="G2278" s="5" t="s">
        <v>23</v>
      </c>
      <c r="H2278" s="5" t="s">
        <v>23</v>
      </c>
      <c r="I2278" s="8">
        <f>IF(OR(LOOKUP(A2278,characters!A:A,characters!B:B)=-1, LOOKUP(A2278,characters!A:A,characters!B:B)+0.1&gt;=B2278),1,0)</f>
        <v/>
      </c>
    </row>
    <row r="2279" spans="1:9">
      <c r="A2279" s="4" t="s">
        <v>105</v>
      </c>
      <c r="B2279" s="7">
        <v>2</v>
      </c>
      <c r="C2279" s="5" t="s">
        <v>23</v>
      </c>
      <c r="D2279" s="6">
        <f>IF(I2279=1,0.9,0)</f>
        <v/>
      </c>
      <c r="E2279" s="6">
        <f>IF(I2279=1,1.0,0)</f>
        <v/>
      </c>
      <c r="F2279" s="6">
        <f>IF(I2279=1,1.0,0)</f>
        <v/>
      </c>
      <c r="G2279" s="5" t="s">
        <v>23</v>
      </c>
      <c r="H2279" s="5" t="s">
        <v>23</v>
      </c>
      <c r="I2279" s="8">
        <f>IF(OR(LOOKUP(A2279,characters!A:A,characters!B:B)=-1, LOOKUP(A2279,characters!A:A,characters!B:B)+0.1&gt;=B2279),1,0)</f>
        <v/>
      </c>
    </row>
    <row r="2280" spans="1:9">
      <c r="A2280" s="4" t="s">
        <v>101</v>
      </c>
      <c r="B2280" s="7">
        <v>2</v>
      </c>
      <c r="C2280" s="6">
        <f>IF(I2280=1,1.0,0)</f>
        <v/>
      </c>
      <c r="D2280" s="6">
        <f>IF(I2280=1,0.8,0)</f>
        <v/>
      </c>
      <c r="E2280" s="6">
        <f>IF(I2280=1,0.9,0)</f>
        <v/>
      </c>
      <c r="F2280" s="6">
        <f>IF(I2280=1,0.9,0)</f>
        <v/>
      </c>
      <c r="G2280" s="5" t="s">
        <v>23</v>
      </c>
      <c r="H2280" s="5" t="s">
        <v>23</v>
      </c>
      <c r="I2280" s="8">
        <f>IF(OR(LOOKUP(A2280,characters!A:A,characters!B:B)=-1, LOOKUP(A2280,characters!A:A,characters!B:B)+0.1&gt;=B2280),1,0)</f>
        <v/>
      </c>
    </row>
    <row r="2281" spans="1:9">
      <c r="A2281" s="4" t="s">
        <v>106</v>
      </c>
      <c r="B2281" s="7">
        <v>2</v>
      </c>
      <c r="C2281" s="6">
        <f>IF(I2281=1,1.0,0)</f>
        <v/>
      </c>
      <c r="D2281" s="6">
        <f>IF(I2281=1,0.8,0)</f>
        <v/>
      </c>
      <c r="E2281" s="6">
        <f>IF(I2281=1,0.9,0)</f>
        <v/>
      </c>
      <c r="F2281" s="6">
        <f>IF(I2281=1,0.9,0)</f>
        <v/>
      </c>
      <c r="G2281" s="5" t="s">
        <v>23</v>
      </c>
      <c r="H2281" s="5" t="s">
        <v>23</v>
      </c>
      <c r="I2281" s="8">
        <f>IF(OR(LOOKUP(A2281,characters!A:A,characters!B:B)=-1, LOOKUP(A2281,characters!A:A,characters!B:B)+0.1&gt;=B2281),1,0)</f>
        <v/>
      </c>
    </row>
    <row r="2282" spans="1:9">
      <c r="A2282" s="4" t="s">
        <v>59</v>
      </c>
      <c r="B2282" s="7">
        <v>2</v>
      </c>
      <c r="C2282" s="6">
        <f>IF(I2282=1,1.0,0)</f>
        <v/>
      </c>
      <c r="D2282" s="6">
        <f>IF(I2282=1,0.9,0)</f>
        <v/>
      </c>
      <c r="E2282" s="5" t="s">
        <v>23</v>
      </c>
      <c r="F2282" s="5" t="s">
        <v>23</v>
      </c>
      <c r="G2282" s="6">
        <f>IF(I2282=1,0.8,0)</f>
        <v/>
      </c>
      <c r="H2282" s="6">
        <f>IF(I2282=1,1.0,0)</f>
        <v/>
      </c>
      <c r="I2282" s="8">
        <f>IF(OR(LOOKUP(A2282,characters!A:A,characters!B:B)=-1, LOOKUP(A2282,characters!A:A,characters!B:B)+0.1&gt;=B2282),1,0)</f>
        <v/>
      </c>
    </row>
    <row r="2283" spans="1:9">
      <c r="A2283" s="4" t="s">
        <v>103</v>
      </c>
      <c r="B2283" s="7">
        <v>2</v>
      </c>
      <c r="C2283" s="6">
        <f>IF(I2283=1,1.0,0)</f>
        <v/>
      </c>
      <c r="D2283" s="6">
        <f>IF(I2283=1,0.8,0)</f>
        <v/>
      </c>
      <c r="E2283" s="6">
        <f>IF(I2283=1,0.9,0)</f>
        <v/>
      </c>
      <c r="F2283" s="6">
        <f>IF(I2283=1,0.7,0)</f>
        <v/>
      </c>
      <c r="G2283" s="5" t="s">
        <v>23</v>
      </c>
      <c r="H2283" s="5" t="s">
        <v>23</v>
      </c>
      <c r="I2283" s="8">
        <f>IF(OR(LOOKUP(A2283,characters!A:A,characters!B:B)=-1, LOOKUP(A2283,characters!A:A,characters!B:B)+0.1&gt;=B2283),1,0)</f>
        <v/>
      </c>
    </row>
    <row r="2284" spans="1:9">
      <c r="A2284" s="4" t="s">
        <v>92</v>
      </c>
      <c r="B2284" s="7">
        <v>3</v>
      </c>
      <c r="C2284" s="6">
        <f>IF(I2284=1,0.9,0)</f>
        <v/>
      </c>
      <c r="D2284" s="6">
        <f>IF(I2284=1,0.8,0)</f>
        <v/>
      </c>
      <c r="E2284" s="5" t="s">
        <v>23</v>
      </c>
      <c r="F2284" s="5" t="s">
        <v>23</v>
      </c>
      <c r="G2284" s="6">
        <f>IF(I2284=1,0.7,0)</f>
        <v/>
      </c>
      <c r="H2284" s="6">
        <f>IF(I2284=1,1.0,0)</f>
        <v/>
      </c>
      <c r="I2284" s="8">
        <f>IF(OR(LOOKUP(A2284,characters!A:A,characters!B:B)=-1, LOOKUP(A2284,characters!A:A,characters!B:B)+0.1&gt;=B2284),1,0)</f>
        <v/>
      </c>
    </row>
    <row r="2285" spans="1:9">
      <c r="A2285" s="4" t="s">
        <v>76</v>
      </c>
      <c r="B2285" s="7">
        <v>3</v>
      </c>
      <c r="C2285" s="6">
        <f>IF(I2285=1,1.0,0)</f>
        <v/>
      </c>
      <c r="D2285" s="6">
        <f>IF(I2285=1,0.89,0)</f>
        <v/>
      </c>
      <c r="E2285" s="5" t="s">
        <v>23</v>
      </c>
      <c r="F2285" s="5" t="s">
        <v>23</v>
      </c>
      <c r="G2285" s="6">
        <f>IF(I2285=1,0.9,0)</f>
        <v/>
      </c>
      <c r="H2285" s="6">
        <f>IF(I2285=1,1.0,0)</f>
        <v/>
      </c>
      <c r="I2285" s="8">
        <f>IF(OR(LOOKUP(A2285,characters!A:A,characters!B:B)=-1, LOOKUP(A2285,characters!A:A,characters!B:B)+0.1&gt;=B2285),1,0)</f>
        <v/>
      </c>
    </row>
    <row r="2286" spans="1:9">
      <c r="A2286" s="4" t="s">
        <v>93</v>
      </c>
      <c r="B2286" s="7">
        <v>3</v>
      </c>
      <c r="C2286" s="6">
        <f>IF(I2286=1,1.0,0)</f>
        <v/>
      </c>
      <c r="D2286" s="6">
        <f>IF(I2286=1,0.9,0)</f>
        <v/>
      </c>
      <c r="E2286" s="5" t="s">
        <v>23</v>
      </c>
      <c r="F2286" s="5" t="s">
        <v>23</v>
      </c>
      <c r="G2286" s="6">
        <f>IF(I2286=1,0.8,0)</f>
        <v/>
      </c>
      <c r="H2286" s="6">
        <f>IF(I2286=1,1.0,0)</f>
        <v/>
      </c>
      <c r="I2286" s="8">
        <f>IF(OR(LOOKUP(A2286,characters!A:A,characters!B:B)=-1, LOOKUP(A2286,characters!A:A,characters!B:B)+0.1&gt;=B2286),1,0)</f>
        <v/>
      </c>
    </row>
    <row r="2287" spans="1:9">
      <c r="A2287" s="4" t="s">
        <v>73</v>
      </c>
      <c r="B2287" s="7">
        <v>3</v>
      </c>
      <c r="C2287" s="6">
        <f>IF(I2287=1,1.0,0)</f>
        <v/>
      </c>
      <c r="D2287" s="6">
        <f>IF(I2287=1,0.79,0)</f>
        <v/>
      </c>
      <c r="E2287" s="6">
        <f>IF(I2287=1,0.89,0)</f>
        <v/>
      </c>
      <c r="F2287" s="6">
        <f>IF(I2287=1,0.89,0)</f>
        <v/>
      </c>
      <c r="G2287" s="6">
        <f>IF(I2287=1,0.9,0)</f>
        <v/>
      </c>
      <c r="H2287" s="5" t="s">
        <v>23</v>
      </c>
      <c r="I2287" s="8">
        <f>IF(OR(LOOKUP(A2287,characters!A:A,characters!B:B)=-1, LOOKUP(A2287,characters!A:A,characters!B:B)+0.1&gt;=B2287),1,0)</f>
        <v/>
      </c>
    </row>
    <row r="2288" spans="1:9">
      <c r="A2288" s="4" t="s">
        <v>74</v>
      </c>
      <c r="B2288" s="7">
        <v>3</v>
      </c>
      <c r="C2288" s="6">
        <f>IF(I2288=1,1.0,0)</f>
        <v/>
      </c>
      <c r="D2288" s="6">
        <f>IF(I2288=1,0.79,0)</f>
        <v/>
      </c>
      <c r="E2288" s="6">
        <f>IF(I2288=1,0.89,0)</f>
        <v/>
      </c>
      <c r="F2288" s="6">
        <f>IF(I2288=1,0.89,0)</f>
        <v/>
      </c>
      <c r="G2288" s="6">
        <f>IF(I2288=1,0.9,0)</f>
        <v/>
      </c>
      <c r="H2288" s="5" t="s">
        <v>23</v>
      </c>
      <c r="I2288" s="8">
        <f>IF(OR(LOOKUP(A2288,characters!A:A,characters!B:B)=-1, LOOKUP(A2288,characters!A:A,characters!B:B)+0.1&gt;=B2288),1,0)</f>
        <v/>
      </c>
    </row>
    <row r="2290" spans="1:11">
      <c r="A2290" s="3" t="s">
        <v>64</v>
      </c>
      <c r="B2290" s="3" t="s">
        <v>9</v>
      </c>
      <c r="C2290" s="3" t="s">
        <v>17</v>
      </c>
      <c r="D2290" s="3" t="s">
        <v>89</v>
      </c>
      <c r="E2290" s="3" t="s">
        <v>88</v>
      </c>
      <c r="F2290" s="3" t="s">
        <v>68</v>
      </c>
      <c r="G2290" s="3" t="s">
        <v>90</v>
      </c>
      <c r="H2290" s="3" t="s">
        <v>114</v>
      </c>
      <c r="I2290" s="3" t="s">
        <v>87</v>
      </c>
      <c r="J2290" s="3" t="s">
        <v>69</v>
      </c>
    </row>
    <row r="2291" spans="1:11">
      <c r="A2291" s="4" t="s">
        <v>22</v>
      </c>
      <c r="B2291" s="5" t="s">
        <v>23</v>
      </c>
      <c r="C2291" s="6">
        <f>IF(SUM(K2292:K2307)=0,0,SUM(C2292:C2307)/SUM(K2292:K2307))</f>
        <v/>
      </c>
      <c r="D2291" s="6">
        <f>IF(SUM(K2292:K2307)=0,0,SUM(D2292:D2307)/SUM(K2292:K2307))</f>
        <v/>
      </c>
      <c r="E2291" s="6">
        <f>IF(SUM(K2292:K2307)=0,0,SUM(E2292:E2307)/SUM(K2292:K2307))</f>
        <v/>
      </c>
      <c r="F2291" s="6">
        <f>IF(SUM(K2292:K2307)=0,0,SUM(F2292:F2307)/SUM(K2292:K2307))</f>
        <v/>
      </c>
      <c r="G2291" s="6">
        <f>IF(SUM(K2292:K2307)=0,0,SUM(G2292:G2307)/SUM(K2292:K2307))</f>
        <v/>
      </c>
      <c r="H2291" s="6">
        <f>IF(SUM(K2292:K2307)=0,0,SUM(H2292:H2307)/SUM(K2292:K2307))</f>
        <v/>
      </c>
      <c r="I2291" s="6">
        <f>IF(SUM(K2292:K2307)=0,0,SUM(I2292:I2307)/SUM(K2292:K2307))</f>
        <v/>
      </c>
      <c r="J2291" s="6">
        <f>IF(SUM(K2292:K2307)=0,0,SUM(J2292:J2307)/SUM(K2292:K2307))</f>
        <v/>
      </c>
    </row>
    <row r="2292" spans="1:11">
      <c r="A2292" s="4" t="s">
        <v>61</v>
      </c>
      <c r="B2292" s="7">
        <v>2</v>
      </c>
      <c r="C2292" s="6">
        <f>IF(K2292=1,1.0,0)</f>
        <v/>
      </c>
      <c r="D2292" s="6">
        <f>IF(K2292=1,0.9,0)</f>
        <v/>
      </c>
      <c r="E2292" s="5" t="s">
        <v>23</v>
      </c>
      <c r="F2292" s="5" t="s">
        <v>23</v>
      </c>
      <c r="G2292" s="5" t="s">
        <v>23</v>
      </c>
      <c r="H2292" s="5" t="s">
        <v>23</v>
      </c>
      <c r="I2292" s="5" t="s">
        <v>23</v>
      </c>
      <c r="J2292" s="5" t="s">
        <v>23</v>
      </c>
      <c r="K2292" s="8">
        <f>IF(OR(LOOKUP(A2292,characters!A:A,characters!B:B)=-1, LOOKUP(A2292,characters!A:A,characters!B:B)+0.1&gt;=B2292),1,0)</f>
        <v/>
      </c>
    </row>
    <row r="2293" spans="1:11">
      <c r="A2293" s="4" t="s">
        <v>57</v>
      </c>
      <c r="B2293" s="7">
        <v>2</v>
      </c>
      <c r="C2293" s="6">
        <f>IF(K2293=1,0.9,0)</f>
        <v/>
      </c>
      <c r="D2293" s="6">
        <f>IF(K2293=1,1.0,0)</f>
        <v/>
      </c>
      <c r="E2293" s="5" t="s">
        <v>23</v>
      </c>
      <c r="F2293" s="5" t="s">
        <v>23</v>
      </c>
      <c r="G2293" s="5" t="s">
        <v>23</v>
      </c>
      <c r="H2293" s="5" t="s">
        <v>23</v>
      </c>
      <c r="I2293" s="5" t="s">
        <v>23</v>
      </c>
      <c r="J2293" s="5" t="s">
        <v>23</v>
      </c>
      <c r="K2293" s="8">
        <f>IF(OR(LOOKUP(A2293,characters!A:A,characters!B:B)=-1, LOOKUP(A2293,characters!A:A,characters!B:B)+0.1&gt;=B2293),1,0)</f>
        <v/>
      </c>
    </row>
    <row r="2294" spans="1:11">
      <c r="A2294" s="4" t="s">
        <v>92</v>
      </c>
      <c r="B2294" s="7">
        <v>3</v>
      </c>
      <c r="C2294" s="6">
        <f>IF(K2294=1,0.9,0)</f>
        <v/>
      </c>
      <c r="D2294" s="5" t="s">
        <v>23</v>
      </c>
      <c r="E2294" s="6">
        <f>IF(K2294=1,1.0,0)</f>
        <v/>
      </c>
      <c r="F2294" s="5" t="s">
        <v>23</v>
      </c>
      <c r="G2294" s="5" t="s">
        <v>23</v>
      </c>
      <c r="H2294" s="5" t="s">
        <v>23</v>
      </c>
      <c r="I2294" s="5" t="s">
        <v>23</v>
      </c>
      <c r="J2294" s="5" t="s">
        <v>23</v>
      </c>
      <c r="K2294" s="8">
        <f>IF(OR(LOOKUP(A2294,characters!A:A,characters!B:B)=-1, LOOKUP(A2294,characters!A:A,characters!B:B)+0.1&gt;=B2294),1,0)</f>
        <v/>
      </c>
    </row>
    <row r="2295" spans="1:11">
      <c r="A2295" s="4" t="s">
        <v>104</v>
      </c>
      <c r="B2295" s="7">
        <v>2</v>
      </c>
      <c r="C2295" s="6">
        <f>IF(K2295=1,0.99,0)</f>
        <v/>
      </c>
      <c r="D2295" s="5" t="s">
        <v>23</v>
      </c>
      <c r="E2295" s="6">
        <f>IF(K2295=1,1.0,0)</f>
        <v/>
      </c>
      <c r="F2295" s="5" t="s">
        <v>23</v>
      </c>
      <c r="G2295" s="5" t="s">
        <v>23</v>
      </c>
      <c r="H2295" s="5" t="s">
        <v>23</v>
      </c>
      <c r="I2295" s="5" t="s">
        <v>23</v>
      </c>
      <c r="J2295" s="5" t="s">
        <v>23</v>
      </c>
      <c r="K2295" s="8">
        <f>IF(OR(LOOKUP(A2295,characters!A:A,characters!B:B)=-1, LOOKUP(A2295,characters!A:A,characters!B:B)+0.1&gt;=B2295),1,0)</f>
        <v/>
      </c>
    </row>
    <row r="2296" spans="1:11">
      <c r="A2296" s="4" t="s">
        <v>105</v>
      </c>
      <c r="B2296" s="7">
        <v>2</v>
      </c>
      <c r="C2296" s="6">
        <f>IF(K2296=1,0.9,0)</f>
        <v/>
      </c>
      <c r="D2296" s="5" t="s">
        <v>23</v>
      </c>
      <c r="E2296" s="5" t="s">
        <v>23</v>
      </c>
      <c r="F2296" s="6">
        <f>IF(K2296=1,1.0,0)</f>
        <v/>
      </c>
      <c r="G2296" s="5" t="s">
        <v>23</v>
      </c>
      <c r="H2296" s="5" t="s">
        <v>23</v>
      </c>
      <c r="I2296" s="5" t="s">
        <v>23</v>
      </c>
      <c r="J2296" s="5" t="s">
        <v>23</v>
      </c>
      <c r="K2296" s="8">
        <f>IF(OR(LOOKUP(A2296,characters!A:A,characters!B:B)=-1, LOOKUP(A2296,characters!A:A,characters!B:B)+0.1&gt;=B2296),1,0)</f>
        <v/>
      </c>
    </row>
    <row r="2297" spans="1:11">
      <c r="A2297" s="4" t="s">
        <v>101</v>
      </c>
      <c r="B2297" s="7">
        <v>2</v>
      </c>
      <c r="C2297" s="6">
        <f>IF(K2297=1,0.9,0)</f>
        <v/>
      </c>
      <c r="D2297" s="5" t="s">
        <v>23</v>
      </c>
      <c r="E2297" s="5" t="s">
        <v>23</v>
      </c>
      <c r="F2297" s="5" t="s">
        <v>23</v>
      </c>
      <c r="G2297" s="6">
        <f>IF(K2297=1,1.0,0)</f>
        <v/>
      </c>
      <c r="H2297" s="5" t="s">
        <v>23</v>
      </c>
      <c r="I2297" s="5" t="s">
        <v>23</v>
      </c>
      <c r="J2297" s="5" t="s">
        <v>23</v>
      </c>
      <c r="K2297" s="8">
        <f>IF(OR(LOOKUP(A2297,characters!A:A,characters!B:B)=-1, LOOKUP(A2297,characters!A:A,characters!B:B)+0.1&gt;=B2297),1,0)</f>
        <v/>
      </c>
    </row>
    <row r="2298" spans="1:11">
      <c r="A2298" s="4" t="s">
        <v>106</v>
      </c>
      <c r="B2298" s="7">
        <v>2</v>
      </c>
      <c r="C2298" s="6">
        <f>IF(K2298=1,0.9,0)</f>
        <v/>
      </c>
      <c r="D2298" s="5" t="s">
        <v>23</v>
      </c>
      <c r="E2298" s="5" t="s">
        <v>23</v>
      </c>
      <c r="F2298" s="5" t="s">
        <v>23</v>
      </c>
      <c r="G2298" s="5" t="s">
        <v>23</v>
      </c>
      <c r="H2298" s="6">
        <f>IF(K2298=1,1.0,0)</f>
        <v/>
      </c>
      <c r="I2298" s="5" t="s">
        <v>23</v>
      </c>
      <c r="J2298" s="5" t="s">
        <v>23</v>
      </c>
      <c r="K2298" s="8">
        <f>IF(OR(LOOKUP(A2298,characters!A:A,characters!B:B)=-1, LOOKUP(A2298,characters!A:A,characters!B:B)+0.1&gt;=B2298),1,0)</f>
        <v/>
      </c>
    </row>
    <row r="2299" spans="1:11">
      <c r="A2299" s="4" t="s">
        <v>59</v>
      </c>
      <c r="B2299" s="7">
        <v>2</v>
      </c>
      <c r="C2299" s="6">
        <f>IF(K2299=1,0.9,0)</f>
        <v/>
      </c>
      <c r="D2299" s="6">
        <f>IF(K2299=1,1.0,0)</f>
        <v/>
      </c>
      <c r="E2299" s="5" t="s">
        <v>23</v>
      </c>
      <c r="F2299" s="5" t="s">
        <v>23</v>
      </c>
      <c r="G2299" s="5" t="s">
        <v>23</v>
      </c>
      <c r="H2299" s="5" t="s">
        <v>23</v>
      </c>
      <c r="I2299" s="5" t="s">
        <v>23</v>
      </c>
      <c r="J2299" s="5" t="s">
        <v>23</v>
      </c>
      <c r="K2299" s="8">
        <f>IF(OR(LOOKUP(A2299,characters!A:A,characters!B:B)=-1, LOOKUP(A2299,characters!A:A,characters!B:B)+0.1&gt;=B2299),1,0)</f>
        <v/>
      </c>
    </row>
    <row r="2300" spans="1:11">
      <c r="A2300" s="4" t="s">
        <v>76</v>
      </c>
      <c r="B2300" s="7">
        <v>3</v>
      </c>
      <c r="C2300" s="6">
        <f>IF(K2300=1,0.9,0)</f>
        <v/>
      </c>
      <c r="D2300" s="5" t="s">
        <v>23</v>
      </c>
      <c r="E2300" s="5" t="s">
        <v>23</v>
      </c>
      <c r="F2300" s="5" t="s">
        <v>23</v>
      </c>
      <c r="G2300" s="5" t="s">
        <v>23</v>
      </c>
      <c r="H2300" s="5" t="s">
        <v>23</v>
      </c>
      <c r="I2300" s="6">
        <f>IF(K2300=1,1.0,0)</f>
        <v/>
      </c>
      <c r="J2300" s="5" t="s">
        <v>23</v>
      </c>
      <c r="K2300" s="8">
        <f>IF(OR(LOOKUP(A2300,characters!A:A,characters!B:B)=-1, LOOKUP(A2300,characters!A:A,characters!B:B)+0.1&gt;=B2300),1,0)</f>
        <v/>
      </c>
    </row>
    <row r="2301" spans="1:11">
      <c r="A2301" s="4" t="s">
        <v>93</v>
      </c>
      <c r="B2301" s="7">
        <v>3</v>
      </c>
      <c r="C2301" s="6">
        <f>IF(K2301=1,0.9,0)</f>
        <v/>
      </c>
      <c r="D2301" s="5" t="s">
        <v>23</v>
      </c>
      <c r="E2301" s="6">
        <f>IF(K2301=1,1.0,0)</f>
        <v/>
      </c>
      <c r="F2301" s="5" t="s">
        <v>23</v>
      </c>
      <c r="G2301" s="5" t="s">
        <v>23</v>
      </c>
      <c r="H2301" s="5" t="s">
        <v>23</v>
      </c>
      <c r="I2301" s="5" t="s">
        <v>23</v>
      </c>
      <c r="J2301" s="5" t="s">
        <v>23</v>
      </c>
      <c r="K2301" s="8">
        <f>IF(OR(LOOKUP(A2301,characters!A:A,characters!B:B)=-1, LOOKUP(A2301,characters!A:A,characters!B:B)+0.1&gt;=B2301),1,0)</f>
        <v/>
      </c>
    </row>
    <row r="2302" spans="1:11">
      <c r="A2302" s="4" t="s">
        <v>60</v>
      </c>
      <c r="B2302" s="7">
        <v>1</v>
      </c>
      <c r="C2302" s="6">
        <f>IF(K2302=1,0.99,0)</f>
        <v/>
      </c>
      <c r="D2302" s="6">
        <f>IF(K2302=1,1.0,0)</f>
        <v/>
      </c>
      <c r="E2302" s="5" t="s">
        <v>23</v>
      </c>
      <c r="F2302" s="5" t="s">
        <v>23</v>
      </c>
      <c r="G2302" s="5" t="s">
        <v>23</v>
      </c>
      <c r="H2302" s="5" t="s">
        <v>23</v>
      </c>
      <c r="I2302" s="5" t="s">
        <v>23</v>
      </c>
      <c r="J2302" s="5" t="s">
        <v>23</v>
      </c>
      <c r="K2302" s="8">
        <f>IF(OR(LOOKUP(A2302,characters!A:A,characters!B:B)=-1, LOOKUP(A2302,characters!A:A,characters!B:B)+0.1&gt;=B2302),1,0)</f>
        <v/>
      </c>
    </row>
    <row r="2303" spans="1:11">
      <c r="A2303" s="4" t="s">
        <v>73</v>
      </c>
      <c r="B2303" s="7">
        <v>3</v>
      </c>
      <c r="C2303" s="6">
        <f>IF(K2303=1,0.99,0)</f>
        <v/>
      </c>
      <c r="D2303" s="5" t="s">
        <v>23</v>
      </c>
      <c r="E2303" s="5" t="s">
        <v>23</v>
      </c>
      <c r="F2303" s="5" t="s">
        <v>23</v>
      </c>
      <c r="G2303" s="5" t="s">
        <v>23</v>
      </c>
      <c r="H2303" s="5" t="s">
        <v>23</v>
      </c>
      <c r="I2303" s="6">
        <f>IF(K2303=1,1.0,0)</f>
        <v/>
      </c>
      <c r="J2303" s="5" t="s">
        <v>23</v>
      </c>
      <c r="K2303" s="8">
        <f>IF(OR(LOOKUP(A2303,characters!A:A,characters!B:B)=-1, LOOKUP(A2303,characters!A:A,characters!B:B)+0.1&gt;=B2303),1,0)</f>
        <v/>
      </c>
    </row>
    <row r="2304" spans="1:11">
      <c r="A2304" s="4" t="s">
        <v>74</v>
      </c>
      <c r="B2304" s="7">
        <v>3</v>
      </c>
      <c r="C2304" s="6">
        <f>IF(K2304=1,0.9,0)</f>
        <v/>
      </c>
      <c r="D2304" s="5" t="s">
        <v>23</v>
      </c>
      <c r="E2304" s="5" t="s">
        <v>23</v>
      </c>
      <c r="F2304" s="5" t="s">
        <v>23</v>
      </c>
      <c r="G2304" s="5" t="s">
        <v>23</v>
      </c>
      <c r="H2304" s="5" t="s">
        <v>23</v>
      </c>
      <c r="I2304" s="6">
        <f>IF(K2304=1,1.0,0)</f>
        <v/>
      </c>
      <c r="J2304" s="5" t="s">
        <v>23</v>
      </c>
      <c r="K2304" s="8">
        <f>IF(OR(LOOKUP(A2304,characters!A:A,characters!B:B)=-1, LOOKUP(A2304,characters!A:A,characters!B:B)+0.1&gt;=B2304),1,0)</f>
        <v/>
      </c>
    </row>
    <row r="2305" spans="1:11">
      <c r="A2305" s="4" t="s">
        <v>111</v>
      </c>
      <c r="B2305" s="7">
        <v>1</v>
      </c>
      <c r="C2305" s="6">
        <f>IF(K2305=1,0.9,0)</f>
        <v/>
      </c>
      <c r="D2305" s="5" t="s">
        <v>23</v>
      </c>
      <c r="E2305" s="5" t="s">
        <v>23</v>
      </c>
      <c r="F2305" s="6">
        <f>IF(K2305=1,1.0,0)</f>
        <v/>
      </c>
      <c r="G2305" s="5" t="s">
        <v>23</v>
      </c>
      <c r="H2305" s="5" t="s">
        <v>23</v>
      </c>
      <c r="I2305" s="5" t="s">
        <v>23</v>
      </c>
      <c r="J2305" s="5" t="s">
        <v>23</v>
      </c>
      <c r="K2305" s="8">
        <f>IF(OR(LOOKUP(A2305,characters!A:A,characters!B:B)=-1, LOOKUP(A2305,characters!A:A,characters!B:B)+0.1&gt;=B2305),1,0)</f>
        <v/>
      </c>
    </row>
    <row r="2306" spans="1:11">
      <c r="A2306" s="4" t="s">
        <v>113</v>
      </c>
      <c r="B2306" s="7">
        <v>1</v>
      </c>
      <c r="C2306" s="6">
        <f>IF(K2306=1,1.0,0)</f>
        <v/>
      </c>
      <c r="D2306" s="5" t="s">
        <v>23</v>
      </c>
      <c r="E2306" s="5" t="s">
        <v>23</v>
      </c>
      <c r="F2306" s="5" t="s">
        <v>23</v>
      </c>
      <c r="G2306" s="5" t="s">
        <v>23</v>
      </c>
      <c r="H2306" s="5" t="s">
        <v>23</v>
      </c>
      <c r="I2306" s="5" t="s">
        <v>23</v>
      </c>
      <c r="J2306" s="6">
        <f>IF(K2306=1,0.9,0)</f>
        <v/>
      </c>
      <c r="K2306" s="8">
        <f>IF(OR(LOOKUP(A2306,characters!A:A,characters!B:B)=-1, LOOKUP(A2306,characters!A:A,characters!B:B)+0.1&gt;=B2306),1,0)</f>
        <v/>
      </c>
    </row>
    <row r="2307" spans="1:11">
      <c r="A2307" s="4" t="s">
        <v>103</v>
      </c>
      <c r="B2307" s="7">
        <v>2</v>
      </c>
      <c r="C2307" s="6">
        <f>IF(K2307=1,0.99,0)</f>
        <v/>
      </c>
      <c r="D2307" s="5" t="s">
        <v>23</v>
      </c>
      <c r="E2307" s="5" t="s">
        <v>23</v>
      </c>
      <c r="F2307" s="5" t="s">
        <v>23</v>
      </c>
      <c r="G2307" s="5" t="s">
        <v>23</v>
      </c>
      <c r="H2307" s="6">
        <f>IF(K2307=1,1.0,0)</f>
        <v/>
      </c>
      <c r="I2307" s="5" t="s">
        <v>23</v>
      </c>
      <c r="J2307" s="5" t="s">
        <v>23</v>
      </c>
      <c r="K2307" s="8">
        <f>IF(OR(LOOKUP(A2307,characters!A:A,characters!B:B)=-1, LOOKUP(A2307,characters!A:A,characters!B:B)+0.1&gt;=B2307),1,0)</f>
        <v/>
      </c>
    </row>
    <row r="2309" spans="1:11">
      <c r="A2309" s="3" t="s">
        <v>65</v>
      </c>
      <c r="B2309" s="3" t="s">
        <v>9</v>
      </c>
      <c r="C2309" s="3" t="s">
        <v>17</v>
      </c>
      <c r="D2309" s="3" t="s">
        <v>18</v>
      </c>
    </row>
    <row r="2310" spans="1:11">
      <c r="A2310" s="4" t="s">
        <v>22</v>
      </c>
      <c r="B2310" s="5" t="s">
        <v>23</v>
      </c>
      <c r="C2310" s="6">
        <f>IF(SUM(E2311:E2326)=0,0,SUM(C2311:C2326)/SUM(E2311:E2326))</f>
        <v/>
      </c>
      <c r="D2310" s="6">
        <f>IF(SUM(E2311:E2326)=0,0,SUM(D2311:D2326)/SUM(E2311:E2326))</f>
        <v/>
      </c>
    </row>
    <row r="2311" spans="1:11">
      <c r="A2311" s="4" t="s">
        <v>61</v>
      </c>
      <c r="B2311" s="7">
        <v>2</v>
      </c>
      <c r="C2311" s="6">
        <f>IF(E2311=1,1.0,0)</f>
        <v/>
      </c>
      <c r="D2311" s="5" t="s">
        <v>23</v>
      </c>
      <c r="E2311" s="8">
        <f>IF(OR(LOOKUP(A2311,characters!A:A,characters!B:B)=-1, LOOKUP(A2311,characters!A:A,characters!B:B)+0.1&gt;=B2311),1,0)</f>
        <v/>
      </c>
    </row>
    <row r="2312" spans="1:11">
      <c r="A2312" s="4" t="s">
        <v>57</v>
      </c>
      <c r="B2312" s="7">
        <v>2</v>
      </c>
      <c r="C2312" s="6">
        <f>IF(E2312=1,1.0,0)</f>
        <v/>
      </c>
      <c r="D2312" s="5" t="s">
        <v>23</v>
      </c>
      <c r="E2312" s="8">
        <f>IF(OR(LOOKUP(A2312,characters!A:A,characters!B:B)=-1, LOOKUP(A2312,characters!A:A,characters!B:B)+0.1&gt;=B2312),1,0)</f>
        <v/>
      </c>
    </row>
    <row r="2313" spans="1:11">
      <c r="A2313" s="4" t="s">
        <v>92</v>
      </c>
      <c r="B2313" s="7">
        <v>3</v>
      </c>
      <c r="C2313" s="6">
        <f>IF(E2313=1,1.0,0)</f>
        <v/>
      </c>
      <c r="D2313" s="5" t="s">
        <v>23</v>
      </c>
      <c r="E2313" s="8">
        <f>IF(OR(LOOKUP(A2313,characters!A:A,characters!B:B)=-1, LOOKUP(A2313,characters!A:A,characters!B:B)+0.1&gt;=B2313),1,0)</f>
        <v/>
      </c>
    </row>
    <row r="2314" spans="1:11">
      <c r="A2314" s="4" t="s">
        <v>104</v>
      </c>
      <c r="B2314" s="7">
        <v>2</v>
      </c>
      <c r="C2314" s="6">
        <f>IF(E2314=1,1.0,0)</f>
        <v/>
      </c>
      <c r="D2314" s="5" t="s">
        <v>23</v>
      </c>
      <c r="E2314" s="8">
        <f>IF(OR(LOOKUP(A2314,characters!A:A,characters!B:B)=-1, LOOKUP(A2314,characters!A:A,characters!B:B)+0.1&gt;=B2314),1,0)</f>
        <v/>
      </c>
    </row>
    <row r="2315" spans="1:11">
      <c r="A2315" s="4" t="s">
        <v>105</v>
      </c>
      <c r="B2315" s="7">
        <v>2</v>
      </c>
      <c r="C2315" s="6">
        <f>IF(E2315=1,1.0,0)</f>
        <v/>
      </c>
      <c r="D2315" s="5" t="s">
        <v>23</v>
      </c>
      <c r="E2315" s="8">
        <f>IF(OR(LOOKUP(A2315,characters!A:A,characters!B:B)=-1, LOOKUP(A2315,characters!A:A,characters!B:B)+0.1&gt;=B2315),1,0)</f>
        <v/>
      </c>
    </row>
    <row r="2316" spans="1:11">
      <c r="A2316" s="4" t="s">
        <v>101</v>
      </c>
      <c r="B2316" s="7">
        <v>2</v>
      </c>
      <c r="C2316" s="6">
        <f>IF(E2316=1,1.0,0)</f>
        <v/>
      </c>
      <c r="D2316" s="5" t="s">
        <v>23</v>
      </c>
      <c r="E2316" s="8">
        <f>IF(OR(LOOKUP(A2316,characters!A:A,characters!B:B)=-1, LOOKUP(A2316,characters!A:A,characters!B:B)+0.1&gt;=B2316),1,0)</f>
        <v/>
      </c>
    </row>
    <row r="2317" spans="1:11">
      <c r="A2317" s="4" t="s">
        <v>106</v>
      </c>
      <c r="B2317" s="7">
        <v>2</v>
      </c>
      <c r="C2317" s="6">
        <f>IF(E2317=1,1.0,0)</f>
        <v/>
      </c>
      <c r="D2317" s="5" t="s">
        <v>23</v>
      </c>
      <c r="E2317" s="8">
        <f>IF(OR(LOOKUP(A2317,characters!A:A,characters!B:B)=-1, LOOKUP(A2317,characters!A:A,characters!B:B)+0.1&gt;=B2317),1,0)</f>
        <v/>
      </c>
    </row>
    <row r="2318" spans="1:11">
      <c r="A2318" s="4" t="s">
        <v>59</v>
      </c>
      <c r="B2318" s="7">
        <v>2</v>
      </c>
      <c r="C2318" s="6">
        <f>IF(E2318=1,1.0,0)</f>
        <v/>
      </c>
      <c r="D2318" s="5" t="s">
        <v>23</v>
      </c>
      <c r="E2318" s="8">
        <f>IF(OR(LOOKUP(A2318,characters!A:A,characters!B:B)=-1, LOOKUP(A2318,characters!A:A,characters!B:B)+0.1&gt;=B2318),1,0)</f>
        <v/>
      </c>
    </row>
    <row r="2319" spans="1:11">
      <c r="A2319" s="4" t="s">
        <v>76</v>
      </c>
      <c r="B2319" s="7">
        <v>3</v>
      </c>
      <c r="C2319" s="6">
        <f>IF(E2319=1,0.99,0)</f>
        <v/>
      </c>
      <c r="D2319" s="6">
        <f>IF(E2319=1,1.0,0)</f>
        <v/>
      </c>
      <c r="E2319" s="8">
        <f>IF(OR(LOOKUP(A2319,characters!A:A,characters!B:B)=-1, LOOKUP(A2319,characters!A:A,characters!B:B)+0.1&gt;=B2319),1,0)</f>
        <v/>
      </c>
    </row>
    <row r="2320" spans="1:11">
      <c r="A2320" s="4" t="s">
        <v>93</v>
      </c>
      <c r="B2320" s="7">
        <v>3</v>
      </c>
      <c r="C2320" s="6">
        <f>IF(E2320=1,1.0,0)</f>
        <v/>
      </c>
      <c r="D2320" s="5" t="s">
        <v>23</v>
      </c>
      <c r="E2320" s="8">
        <f>IF(OR(LOOKUP(A2320,characters!A:A,characters!B:B)=-1, LOOKUP(A2320,characters!A:A,characters!B:B)+0.1&gt;=B2320),1,0)</f>
        <v/>
      </c>
    </row>
    <row r="2321" spans="1:13">
      <c r="A2321" s="4" t="s">
        <v>60</v>
      </c>
      <c r="B2321" s="7">
        <v>1</v>
      </c>
      <c r="C2321" s="6">
        <f>IF(E2321=1,1.0,0)</f>
        <v/>
      </c>
      <c r="D2321" s="5" t="s">
        <v>23</v>
      </c>
      <c r="E2321" s="8">
        <f>IF(OR(LOOKUP(A2321,characters!A:A,characters!B:B)=-1, LOOKUP(A2321,characters!A:A,characters!B:B)+0.1&gt;=B2321),1,0)</f>
        <v/>
      </c>
    </row>
    <row r="2322" spans="1:13">
      <c r="A2322" s="4" t="s">
        <v>73</v>
      </c>
      <c r="B2322" s="7">
        <v>3</v>
      </c>
      <c r="C2322" s="6">
        <f>IF(E2322=1,1.0,0)</f>
        <v/>
      </c>
      <c r="D2322" s="6">
        <f>IF(E2322=1,1.0,0)</f>
        <v/>
      </c>
      <c r="E2322" s="8">
        <f>IF(OR(LOOKUP(A2322,characters!A:A,characters!B:B)=-1, LOOKUP(A2322,characters!A:A,characters!B:B)+0.1&gt;=B2322),1,0)</f>
        <v/>
      </c>
    </row>
    <row r="2323" spans="1:13">
      <c r="A2323" s="4" t="s">
        <v>74</v>
      </c>
      <c r="B2323" s="7">
        <v>3</v>
      </c>
      <c r="C2323" s="6">
        <f>IF(E2323=1,1.0,0)</f>
        <v/>
      </c>
      <c r="D2323" s="6">
        <f>IF(E2323=1,0.9,0)</f>
        <v/>
      </c>
      <c r="E2323" s="8">
        <f>IF(OR(LOOKUP(A2323,characters!A:A,characters!B:B)=-1, LOOKUP(A2323,characters!A:A,characters!B:B)+0.1&gt;=B2323),1,0)</f>
        <v/>
      </c>
    </row>
    <row r="2324" spans="1:13">
      <c r="A2324" s="4" t="s">
        <v>111</v>
      </c>
      <c r="B2324" s="7">
        <v>1</v>
      </c>
      <c r="C2324" s="6">
        <f>IF(E2324=1,1.0,0)</f>
        <v/>
      </c>
      <c r="D2324" s="5" t="s">
        <v>23</v>
      </c>
      <c r="E2324" s="8">
        <f>IF(OR(LOOKUP(A2324,characters!A:A,characters!B:B)=-1, LOOKUP(A2324,characters!A:A,characters!B:B)+0.1&gt;=B2324),1,0)</f>
        <v/>
      </c>
    </row>
    <row r="2325" spans="1:13">
      <c r="A2325" s="4" t="s">
        <v>113</v>
      </c>
      <c r="B2325" s="7">
        <v>1</v>
      </c>
      <c r="C2325" s="5" t="s">
        <v>23</v>
      </c>
      <c r="D2325" s="6">
        <f>IF(E2325=1,1.0,0)</f>
        <v/>
      </c>
      <c r="E2325" s="8">
        <f>IF(OR(LOOKUP(A2325,characters!A:A,characters!B:B)=-1, LOOKUP(A2325,characters!A:A,characters!B:B)+0.1&gt;=B2325),1,0)</f>
        <v/>
      </c>
    </row>
    <row r="2326" spans="1:13">
      <c r="A2326" s="4" t="s">
        <v>103</v>
      </c>
      <c r="B2326" s="7">
        <v>2</v>
      </c>
      <c r="C2326" s="6">
        <f>IF(E2326=1,1.0,0)</f>
        <v/>
      </c>
      <c r="D2326" s="5" t="s">
        <v>23</v>
      </c>
      <c r="E2326" s="8">
        <f>IF(OR(LOOKUP(A2326,characters!A:A,characters!B:B)=-1, LOOKUP(A2326,characters!A:A,characters!B:B)+0.1&gt;=B2326),1,0)</f>
        <v/>
      </c>
    </row>
    <row r="2333" spans="1:13">
      <c r="A2333" s="3" t="s">
        <v>160</v>
      </c>
    </row>
    <row r="2334" spans="1:13">
      <c r="A2334" s="3" t="s">
        <v>8</v>
      </c>
      <c r="B2334" s="3" t="s">
        <v>9</v>
      </c>
      <c r="C2334" s="3" t="s">
        <v>10</v>
      </c>
      <c r="D2334" s="3" t="s">
        <v>11</v>
      </c>
      <c r="E2334" s="3" t="s">
        <v>14</v>
      </c>
      <c r="F2334" s="3" t="s">
        <v>15</v>
      </c>
      <c r="G2334" s="3" t="s">
        <v>16</v>
      </c>
      <c r="H2334" s="3" t="s">
        <v>13</v>
      </c>
      <c r="I2334" s="3" t="s">
        <v>12</v>
      </c>
      <c r="J2334" s="3" t="s">
        <v>18</v>
      </c>
      <c r="K2334" s="3" t="s">
        <v>17</v>
      </c>
      <c r="L2334" s="3" t="s">
        <v>19</v>
      </c>
    </row>
    <row r="2335" spans="1:13">
      <c r="A2335" s="4" t="s">
        <v>22</v>
      </c>
      <c r="B2335" s="5" t="s">
        <v>23</v>
      </c>
      <c r="C2335" s="6">
        <f>IF(SUM(M2336:M2349)=0,0,SUM(C2336:C2349)/SUM(M2336:M2349))</f>
        <v/>
      </c>
      <c r="D2335" s="6">
        <f>IF(SUM(M2336:M2349)=0,0,SUM(D2336:D2349)/SUM(M2336:M2349))</f>
        <v/>
      </c>
      <c r="E2335" s="6">
        <f>IF(SUM(M2336:M2349)=0,0,SUM(E2336:E2349)/SUM(M2336:M2349))</f>
        <v/>
      </c>
      <c r="F2335" s="6">
        <f>IF(SUM(M2336:M2349)=0,0,SUM(F2336:F2349)/SUM(M2336:M2349))</f>
        <v/>
      </c>
      <c r="G2335" s="6">
        <f>IF(SUM(M2336:M2349)=0,0,SUM(G2336:G2349)/SUM(M2336:M2349))</f>
        <v/>
      </c>
      <c r="H2335" s="6">
        <f>IF(SUM(M2336:M2349)=0,0,SUM(H2336:H2349)/SUM(M2336:M2349))</f>
        <v/>
      </c>
      <c r="I2335" s="6">
        <f>IF(SUM(M2336:M2349)=0,0,SUM(I2336:I2349)/SUM(M2336:M2349))</f>
        <v/>
      </c>
      <c r="J2335" s="6">
        <f>IF(SUM(M2336:M2349)=0,0,SUM(J2336:J2349)/SUM(M2336:M2349))</f>
        <v/>
      </c>
      <c r="K2335" s="6">
        <f>IF(SUM(M2336:M2349)=0,0,SUM(K2336:K2349)/SUM(M2336:M2349))</f>
        <v/>
      </c>
      <c r="L2335" s="6">
        <f>IF(SUM(M2336:M2349)=0,0,SUM(L2336:L2349)/SUM(M2336:M2349))</f>
        <v/>
      </c>
    </row>
    <row r="2336" spans="1:13">
      <c r="A2336" s="4" t="s">
        <v>24</v>
      </c>
      <c r="B2336" s="7">
        <v>0</v>
      </c>
      <c r="C2336" s="6">
        <f>IF(M2336=1,1.0,0)</f>
        <v/>
      </c>
      <c r="D2336" s="6">
        <f>IF(M2336=1,0.8,0)</f>
        <v/>
      </c>
      <c r="E2336" s="6">
        <f>IF(M2336=1,0.9,0)</f>
        <v/>
      </c>
      <c r="F2336" s="6">
        <f>IF(M2336=1,0.9,0)</f>
        <v/>
      </c>
      <c r="G2336" s="5" t="s">
        <v>23</v>
      </c>
      <c r="H2336" s="5" t="s">
        <v>23</v>
      </c>
      <c r="I2336" s="5" t="s">
        <v>23</v>
      </c>
      <c r="J2336" s="5" t="s">
        <v>23</v>
      </c>
      <c r="K2336" s="5" t="s">
        <v>23</v>
      </c>
      <c r="L2336" s="5" t="s">
        <v>23</v>
      </c>
      <c r="M2336" s="8">
        <f>IF(OR(LOOKUP(A2336,characters!A:A,characters!B:B)=-1, LOOKUP(A2336,characters!A:A,characters!B:B)+0.1&gt;=B2336),1,0)</f>
        <v/>
      </c>
    </row>
    <row r="2337" spans="1:13">
      <c r="A2337" s="4" t="s">
        <v>27</v>
      </c>
      <c r="B2337" s="7">
        <v>0</v>
      </c>
      <c r="C2337" s="6">
        <f>IF(M2337=1,1.0,0)</f>
        <v/>
      </c>
      <c r="D2337" s="6">
        <f>IF(M2337=1,0.7,0)</f>
        <v/>
      </c>
      <c r="E2337" s="6">
        <f>IF(M2337=1,0.8,0)</f>
        <v/>
      </c>
      <c r="F2337" s="6">
        <f>IF(M2337=1,0.8,0)</f>
        <v/>
      </c>
      <c r="G2337" s="5" t="s">
        <v>23</v>
      </c>
      <c r="H2337" s="5" t="s">
        <v>23</v>
      </c>
      <c r="I2337" s="5" t="s">
        <v>23</v>
      </c>
      <c r="J2337" s="5" t="s">
        <v>23</v>
      </c>
      <c r="K2337" s="5" t="s">
        <v>23</v>
      </c>
      <c r="L2337" s="6">
        <f>IF(M2337=1,0.9,0)</f>
        <v/>
      </c>
      <c r="M2337" s="8">
        <f>IF(OR(LOOKUP(A2337,characters!A:A,characters!B:B)=-1, LOOKUP(A2337,characters!A:A,characters!B:B)+0.1&gt;=B2337),1,0)</f>
        <v/>
      </c>
    </row>
    <row r="2338" spans="1:13">
      <c r="A2338" s="4" t="s">
        <v>32</v>
      </c>
      <c r="B2338" s="7">
        <v>0</v>
      </c>
      <c r="C2338" s="6">
        <f>IF(M2338=1,1.0,0)</f>
        <v/>
      </c>
      <c r="D2338" s="6">
        <f>IF(M2338=1,0.8,0)</f>
        <v/>
      </c>
      <c r="E2338" s="6">
        <f>IF(M2338=1,0.9,0)</f>
        <v/>
      </c>
      <c r="F2338" s="6">
        <f>IF(M2338=1,0.9,0)</f>
        <v/>
      </c>
      <c r="G2338" s="5" t="s">
        <v>23</v>
      </c>
      <c r="H2338" s="5" t="s">
        <v>23</v>
      </c>
      <c r="I2338" s="5" t="s">
        <v>23</v>
      </c>
      <c r="J2338" s="6">
        <f>IF(M2338=1,0.8,0)</f>
        <v/>
      </c>
      <c r="K2338" s="5" t="s">
        <v>23</v>
      </c>
      <c r="L2338" s="5" t="s">
        <v>23</v>
      </c>
      <c r="M2338" s="8">
        <f>IF(OR(LOOKUP(A2338,characters!A:A,characters!B:B)=-1, LOOKUP(A2338,characters!A:A,characters!B:B)+0.1&gt;=B2338),1,0)</f>
        <v/>
      </c>
    </row>
    <row r="2339" spans="1:13">
      <c r="A2339" s="4" t="s">
        <v>33</v>
      </c>
      <c r="B2339" s="7">
        <v>0</v>
      </c>
      <c r="C2339" s="6">
        <f>IF(M2339=1,1.0,0)</f>
        <v/>
      </c>
      <c r="D2339" s="6">
        <f>IF(M2339=1,0.8,0)</f>
        <v/>
      </c>
      <c r="E2339" s="5" t="s">
        <v>23</v>
      </c>
      <c r="F2339" s="5" t="s">
        <v>23</v>
      </c>
      <c r="G2339" s="5" t="s">
        <v>23</v>
      </c>
      <c r="H2339" s="6">
        <f>IF(M2339=1,0.9,0)</f>
        <v/>
      </c>
      <c r="I2339" s="6">
        <f>IF(M2339=1,0.8,0)</f>
        <v/>
      </c>
      <c r="J2339" s="5" t="s">
        <v>23</v>
      </c>
      <c r="K2339" s="5" t="s">
        <v>23</v>
      </c>
      <c r="L2339" s="5" t="s">
        <v>23</v>
      </c>
      <c r="M2339" s="8">
        <f>IF(OR(LOOKUP(A2339,characters!A:A,characters!B:B)=-1, LOOKUP(A2339,characters!A:A,characters!B:B)+0.1&gt;=B2339),1,0)</f>
        <v/>
      </c>
    </row>
    <row r="2340" spans="1:13">
      <c r="A2340" s="4" t="s">
        <v>34</v>
      </c>
      <c r="B2340" s="7">
        <v>0</v>
      </c>
      <c r="C2340" s="6">
        <f>IF(M2340=1,0.9,0)</f>
        <v/>
      </c>
      <c r="D2340" s="5" t="s">
        <v>23</v>
      </c>
      <c r="E2340" s="5" t="s">
        <v>23</v>
      </c>
      <c r="F2340" s="5" t="s">
        <v>23</v>
      </c>
      <c r="G2340" s="6">
        <f>IF(M2340=1,1.0,0)</f>
        <v/>
      </c>
      <c r="H2340" s="5" t="s">
        <v>23</v>
      </c>
      <c r="I2340" s="5" t="s">
        <v>23</v>
      </c>
      <c r="J2340" s="5" t="s">
        <v>23</v>
      </c>
      <c r="K2340" s="6">
        <f>IF(M2340=1,0.8,0)</f>
        <v/>
      </c>
      <c r="L2340" s="5" t="s">
        <v>23</v>
      </c>
      <c r="M2340" s="8">
        <f>IF(OR(LOOKUP(A2340,characters!A:A,characters!B:B)=-1, LOOKUP(A2340,characters!A:A,characters!B:B)+0.1&gt;=B2340),1,0)</f>
        <v/>
      </c>
    </row>
    <row r="2341" spans="1:13">
      <c r="A2341" s="4" t="s">
        <v>38</v>
      </c>
      <c r="B2341" s="7">
        <v>0</v>
      </c>
      <c r="C2341" s="6">
        <f>IF(M2341=1,1.0,0)</f>
        <v/>
      </c>
      <c r="D2341" s="6">
        <f>IF(M2341=1,0.8,0)</f>
        <v/>
      </c>
      <c r="E2341" s="5" t="s">
        <v>23</v>
      </c>
      <c r="F2341" s="5" t="s">
        <v>23</v>
      </c>
      <c r="G2341" s="6">
        <f>IF(M2341=1,1.0,0)</f>
        <v/>
      </c>
      <c r="H2341" s="6">
        <f>IF(M2341=1,0.8,0)</f>
        <v/>
      </c>
      <c r="I2341" s="6">
        <f>IF(M2341=1,0.9,0)</f>
        <v/>
      </c>
      <c r="J2341" s="5" t="s">
        <v>23</v>
      </c>
      <c r="K2341" s="5" t="s">
        <v>23</v>
      </c>
      <c r="L2341" s="5" t="s">
        <v>23</v>
      </c>
      <c r="M2341" s="8">
        <f>IF(OR(LOOKUP(A2341,characters!A:A,characters!B:B)=-1, LOOKUP(A2341,characters!A:A,characters!B:B)+0.1&gt;=B2341),1,0)</f>
        <v/>
      </c>
    </row>
    <row r="2342" spans="1:13">
      <c r="A2342" s="4" t="s">
        <v>40</v>
      </c>
      <c r="B2342" s="7">
        <v>0</v>
      </c>
      <c r="C2342" s="6">
        <f>IF(M2342=1,1.0,0)</f>
        <v/>
      </c>
      <c r="D2342" s="6">
        <f>IF(M2342=1,0.8,0)</f>
        <v/>
      </c>
      <c r="E2342" s="6">
        <f>IF(M2342=1,0.9,0)</f>
        <v/>
      </c>
      <c r="F2342" s="6">
        <f>IF(M2342=1,0.9,0)</f>
        <v/>
      </c>
      <c r="G2342" s="6">
        <f>IF(M2342=1,1.0,0)</f>
        <v/>
      </c>
      <c r="H2342" s="5" t="s">
        <v>23</v>
      </c>
      <c r="I2342" s="5" t="s">
        <v>23</v>
      </c>
      <c r="J2342" s="5" t="s">
        <v>23</v>
      </c>
      <c r="K2342" s="5" t="s">
        <v>23</v>
      </c>
      <c r="L2342" s="5" t="s">
        <v>23</v>
      </c>
      <c r="M2342" s="8">
        <f>IF(OR(LOOKUP(A2342,characters!A:A,characters!B:B)=-1, LOOKUP(A2342,characters!A:A,characters!B:B)+0.1&gt;=B2342),1,0)</f>
        <v/>
      </c>
    </row>
    <row r="2343" spans="1:13">
      <c r="A2343" s="4" t="s">
        <v>41</v>
      </c>
      <c r="B2343" s="7">
        <v>0</v>
      </c>
      <c r="C2343" s="6">
        <f>IF(M2343=1,0.99,0)</f>
        <v/>
      </c>
      <c r="D2343" s="5" t="s">
        <v>23</v>
      </c>
      <c r="E2343" s="5" t="s">
        <v>23</v>
      </c>
      <c r="F2343" s="5" t="s">
        <v>23</v>
      </c>
      <c r="G2343" s="5" t="s">
        <v>23</v>
      </c>
      <c r="H2343" s="6">
        <f>IF(M2343=1,0.89,0)</f>
        <v/>
      </c>
      <c r="I2343" s="6">
        <f>IF(M2343=1,0.89,0)</f>
        <v/>
      </c>
      <c r="J2343" s="5" t="s">
        <v>23</v>
      </c>
      <c r="K2343" s="6">
        <f>IF(M2343=1,1.0,0)</f>
        <v/>
      </c>
      <c r="L2343" s="5" t="s">
        <v>23</v>
      </c>
      <c r="M2343" s="8">
        <f>IF(OR(LOOKUP(A2343,characters!A:A,characters!B:B)=-1, LOOKUP(A2343,characters!A:A,characters!B:B)+0.1&gt;=B2343),1,0)</f>
        <v/>
      </c>
    </row>
    <row r="2344" spans="1:13">
      <c r="A2344" s="4" t="s">
        <v>42</v>
      </c>
      <c r="B2344" s="7">
        <v>0</v>
      </c>
      <c r="C2344" s="6">
        <f>IF(M2344=1,0.9,0)</f>
        <v/>
      </c>
      <c r="D2344" s="6">
        <f>IF(M2344=1,0.7,0)</f>
        <v/>
      </c>
      <c r="E2344" s="5" t="s">
        <v>23</v>
      </c>
      <c r="F2344" s="5" t="s">
        <v>23</v>
      </c>
      <c r="G2344" s="5" t="s">
        <v>23</v>
      </c>
      <c r="H2344" s="6">
        <f>IF(M2344=1,0.8,0)</f>
        <v/>
      </c>
      <c r="I2344" s="6">
        <f>IF(M2344=1,0.8,0)</f>
        <v/>
      </c>
      <c r="J2344" s="6">
        <f>IF(M2344=1,1.0,0)</f>
        <v/>
      </c>
      <c r="K2344" s="5" t="s">
        <v>23</v>
      </c>
      <c r="L2344" s="5" t="s">
        <v>23</v>
      </c>
      <c r="M2344" s="8">
        <f>IF(OR(LOOKUP(A2344,characters!A:A,characters!B:B)=-1, LOOKUP(A2344,characters!A:A,characters!B:B)+0.1&gt;=B2344),1,0)</f>
        <v/>
      </c>
    </row>
    <row r="2345" spans="1:13">
      <c r="A2345" s="4" t="s">
        <v>44</v>
      </c>
      <c r="B2345" s="7">
        <v>0</v>
      </c>
      <c r="C2345" s="6">
        <f>IF(M2345=1,1.0,0)</f>
        <v/>
      </c>
      <c r="D2345" s="6">
        <f>IF(M2345=1,0.8,0)</f>
        <v/>
      </c>
      <c r="E2345" s="6">
        <f>IF(M2345=1,0.8,0)</f>
        <v/>
      </c>
      <c r="F2345" s="6">
        <f>IF(M2345=1,0.8,0)</f>
        <v/>
      </c>
      <c r="G2345" s="5" t="s">
        <v>23</v>
      </c>
      <c r="H2345" s="5" t="s">
        <v>23</v>
      </c>
      <c r="I2345" s="5" t="s">
        <v>23</v>
      </c>
      <c r="J2345" s="5" t="s">
        <v>23</v>
      </c>
      <c r="K2345" s="5" t="s">
        <v>23</v>
      </c>
      <c r="L2345" s="6">
        <f>IF(M2345=1,0.9,0)</f>
        <v/>
      </c>
      <c r="M2345" s="8">
        <f>IF(OR(LOOKUP(A2345,characters!A:A,characters!B:B)=-1, LOOKUP(A2345,characters!A:A,characters!B:B)+0.1&gt;=B2345),1,0)</f>
        <v/>
      </c>
    </row>
    <row r="2346" spans="1:13">
      <c r="A2346" s="4" t="s">
        <v>45</v>
      </c>
      <c r="B2346" s="7">
        <v>0</v>
      </c>
      <c r="C2346" s="6">
        <f>IF(M2346=1,1.0,0)</f>
        <v/>
      </c>
      <c r="D2346" s="6">
        <f>IF(M2346=1,0.8,0)</f>
        <v/>
      </c>
      <c r="E2346" s="6">
        <f>IF(M2346=1,0.9,0)</f>
        <v/>
      </c>
      <c r="F2346" s="6">
        <f>IF(M2346=1,0.9,0)</f>
        <v/>
      </c>
      <c r="G2346" s="5" t="s">
        <v>23</v>
      </c>
      <c r="H2346" s="5" t="s">
        <v>23</v>
      </c>
      <c r="I2346" s="5" t="s">
        <v>23</v>
      </c>
      <c r="J2346" s="5" t="s">
        <v>23</v>
      </c>
      <c r="K2346" s="6">
        <f>IF(M2346=1,1.0,0)</f>
        <v/>
      </c>
      <c r="L2346" s="5" t="s">
        <v>23</v>
      </c>
      <c r="M2346" s="8">
        <f>IF(OR(LOOKUP(A2346,characters!A:A,characters!B:B)=-1, LOOKUP(A2346,characters!A:A,characters!B:B)+0.1&gt;=B2346),1,0)</f>
        <v/>
      </c>
    </row>
    <row r="2347" spans="1:13">
      <c r="A2347" s="4" t="s">
        <v>43</v>
      </c>
      <c r="B2347" s="7">
        <v>1</v>
      </c>
      <c r="C2347" s="6">
        <f>IF(M2347=1,1.0,0)</f>
        <v/>
      </c>
      <c r="D2347" s="6">
        <f>IF(M2347=1,0.8,0)</f>
        <v/>
      </c>
      <c r="E2347" s="6">
        <f>IF(M2347=1,0.9,0)</f>
        <v/>
      </c>
      <c r="F2347" s="6">
        <f>IF(M2347=1,0.9,0)</f>
        <v/>
      </c>
      <c r="G2347" s="6">
        <f>IF(M2347=1,1.0,0)</f>
        <v/>
      </c>
      <c r="H2347" s="5" t="s">
        <v>23</v>
      </c>
      <c r="I2347" s="5" t="s">
        <v>23</v>
      </c>
      <c r="J2347" s="6">
        <f>IF(M2347=1,0.9,0)</f>
        <v/>
      </c>
      <c r="K2347" s="5" t="s">
        <v>23</v>
      </c>
      <c r="L2347" s="5" t="s">
        <v>23</v>
      </c>
      <c r="M2347" s="8">
        <f>IF(OR(LOOKUP(A2347,characters!A:A,characters!B:B)=-1, LOOKUP(A2347,characters!A:A,characters!B:B)+0.1&gt;=B2347),1,0)</f>
        <v/>
      </c>
    </row>
    <row r="2348" spans="1:13">
      <c r="A2348" s="4" t="s">
        <v>46</v>
      </c>
      <c r="B2348" s="7">
        <v>1</v>
      </c>
      <c r="C2348" s="6">
        <f>IF(M2348=1,1.0,0)</f>
        <v/>
      </c>
      <c r="D2348" s="5" t="s">
        <v>23</v>
      </c>
      <c r="E2348" s="5" t="s">
        <v>23</v>
      </c>
      <c r="F2348" s="5" t="s">
        <v>23</v>
      </c>
      <c r="G2348" s="5" t="s">
        <v>23</v>
      </c>
      <c r="H2348" s="6">
        <f>IF(M2348=1,0.9,0)</f>
        <v/>
      </c>
      <c r="I2348" s="6">
        <f>IF(M2348=1,0.9,0)</f>
        <v/>
      </c>
      <c r="J2348" s="6">
        <f>IF(M2348=1,1.0,0)</f>
        <v/>
      </c>
      <c r="K2348" s="5" t="s">
        <v>23</v>
      </c>
      <c r="L2348" s="5" t="s">
        <v>23</v>
      </c>
      <c r="M2348" s="8">
        <f>IF(OR(LOOKUP(A2348,characters!A:A,characters!B:B)=-1, LOOKUP(A2348,characters!A:A,characters!B:B)+0.1&gt;=B2348),1,0)</f>
        <v/>
      </c>
    </row>
    <row r="2349" spans="1:13">
      <c r="A2349" s="4" t="s">
        <v>31</v>
      </c>
      <c r="B2349" s="7">
        <v>2</v>
      </c>
      <c r="C2349" s="6">
        <f>IF(M2349=1,0.9,0)</f>
        <v/>
      </c>
      <c r="D2349" s="5" t="s">
        <v>23</v>
      </c>
      <c r="E2349" s="5" t="s">
        <v>23</v>
      </c>
      <c r="F2349" s="5" t="s">
        <v>23</v>
      </c>
      <c r="G2349" s="6">
        <f>IF(M2349=1,1.0,0)</f>
        <v/>
      </c>
      <c r="H2349" s="6">
        <f>IF(M2349=1,0.7,0)</f>
        <v/>
      </c>
      <c r="I2349" s="6">
        <f>IF(M2349=1,0.7,0)</f>
        <v/>
      </c>
      <c r="J2349" s="6">
        <f>IF(M2349=1,0.7,0)</f>
        <v/>
      </c>
      <c r="K2349" s="6">
        <f>IF(M2349=1,0.8,0)</f>
        <v/>
      </c>
      <c r="L2349" s="5" t="s">
        <v>23</v>
      </c>
      <c r="M2349" s="8">
        <f>IF(OR(LOOKUP(A2349,characters!A:A,characters!B:B)=-1, LOOKUP(A2349,characters!A:A,characters!B:B)+0.1&gt;=B2349),1,0)</f>
        <v/>
      </c>
    </row>
    <row r="2351" spans="1:13">
      <c r="A2351" s="3" t="s">
        <v>64</v>
      </c>
      <c r="B2351" s="3" t="s">
        <v>9</v>
      </c>
      <c r="C2351" s="3" t="s">
        <v>90</v>
      </c>
      <c r="D2351" s="3" t="s">
        <v>13</v>
      </c>
      <c r="E2351" s="3" t="s">
        <v>12</v>
      </c>
      <c r="F2351" s="3" t="s">
        <v>17</v>
      </c>
      <c r="G2351" s="3" t="s">
        <v>87</v>
      </c>
      <c r="H2351" s="3" t="s">
        <v>69</v>
      </c>
    </row>
    <row r="2352" spans="1:13">
      <c r="A2352" s="4" t="s">
        <v>22</v>
      </c>
      <c r="B2352" s="5" t="s">
        <v>23</v>
      </c>
      <c r="C2352" s="6">
        <f>IF(SUM(I2353:I2366)=0,0,SUM(C2353:C2366)/SUM(I2353:I2366))</f>
        <v/>
      </c>
      <c r="D2352" s="6">
        <f>IF(SUM(I2353:I2366)=0,0,SUM(D2353:D2366)/SUM(I2353:I2366))</f>
        <v/>
      </c>
      <c r="E2352" s="6">
        <f>IF(SUM(I2353:I2366)=0,0,SUM(E2353:E2366)/SUM(I2353:I2366))</f>
        <v/>
      </c>
      <c r="F2352" s="6">
        <f>IF(SUM(I2353:I2366)=0,0,SUM(F2353:F2366)/SUM(I2353:I2366))</f>
        <v/>
      </c>
      <c r="G2352" s="6">
        <f>IF(SUM(I2353:I2366)=0,0,SUM(G2353:G2366)/SUM(I2353:I2366))</f>
        <v/>
      </c>
      <c r="H2352" s="6">
        <f>IF(SUM(I2353:I2366)=0,0,SUM(H2353:H2366)/SUM(I2353:I2366))</f>
        <v/>
      </c>
    </row>
    <row r="2353" spans="1:9">
      <c r="A2353" s="4" t="s">
        <v>24</v>
      </c>
      <c r="B2353" s="7">
        <v>0</v>
      </c>
      <c r="C2353" s="6">
        <f>IF(I2353=1,1.0,0)</f>
        <v/>
      </c>
      <c r="D2353" s="6">
        <f>IF(I2353=1,0.99,0)</f>
        <v/>
      </c>
      <c r="E2353" s="5" t="s">
        <v>23</v>
      </c>
      <c r="F2353" s="5" t="s">
        <v>23</v>
      </c>
      <c r="G2353" s="5" t="s">
        <v>23</v>
      </c>
      <c r="H2353" s="5" t="s">
        <v>23</v>
      </c>
      <c r="I2353" s="8">
        <f>IF(OR(LOOKUP(A2353,characters!A:A,characters!B:B)=-1, LOOKUP(A2353,characters!A:A,characters!B:B)+0.1&gt;=B2353),1,0)</f>
        <v/>
      </c>
    </row>
    <row r="2354" spans="1:9">
      <c r="A2354" s="4" t="s">
        <v>27</v>
      </c>
      <c r="B2354" s="7">
        <v>0</v>
      </c>
      <c r="C2354" s="5" t="s">
        <v>23</v>
      </c>
      <c r="D2354" s="6">
        <f>IF(I2354=1,1.0,0)</f>
        <v/>
      </c>
      <c r="E2354" s="6">
        <f>IF(I2354=1,0.9,0)</f>
        <v/>
      </c>
      <c r="F2354" s="5" t="s">
        <v>23</v>
      </c>
      <c r="G2354" s="5" t="s">
        <v>23</v>
      </c>
      <c r="H2354" s="5" t="s">
        <v>23</v>
      </c>
      <c r="I2354" s="8">
        <f>IF(OR(LOOKUP(A2354,characters!A:A,characters!B:B)=-1, LOOKUP(A2354,characters!A:A,characters!B:B)+0.1&gt;=B2354),1,0)</f>
        <v/>
      </c>
    </row>
    <row r="2355" spans="1:9">
      <c r="A2355" s="4" t="s">
        <v>31</v>
      </c>
      <c r="B2355" s="7">
        <v>2</v>
      </c>
      <c r="C2355" s="6">
        <f>IF(I2355=1,1.0,0)</f>
        <v/>
      </c>
      <c r="D2355" s="5" t="s">
        <v>23</v>
      </c>
      <c r="E2355" s="5" t="s">
        <v>23</v>
      </c>
      <c r="F2355" s="6">
        <f>IF(I2355=1,0.9,0)</f>
        <v/>
      </c>
      <c r="G2355" s="5" t="s">
        <v>23</v>
      </c>
      <c r="H2355" s="5" t="s">
        <v>23</v>
      </c>
      <c r="I2355" s="8">
        <f>IF(OR(LOOKUP(A2355,characters!A:A,characters!B:B)=-1, LOOKUP(A2355,characters!A:A,characters!B:B)+0.1&gt;=B2355),1,0)</f>
        <v/>
      </c>
    </row>
    <row r="2356" spans="1:9">
      <c r="A2356" s="4" t="s">
        <v>32</v>
      </c>
      <c r="B2356" s="7">
        <v>0</v>
      </c>
      <c r="C2356" s="5" t="s">
        <v>23</v>
      </c>
      <c r="D2356" s="6">
        <f>IF(I2356=1,1.0,0)</f>
        <v/>
      </c>
      <c r="E2356" s="6">
        <f>IF(I2356=1,0.9,0)</f>
        <v/>
      </c>
      <c r="F2356" s="5" t="s">
        <v>23</v>
      </c>
      <c r="G2356" s="5" t="s">
        <v>23</v>
      </c>
      <c r="H2356" s="5" t="s">
        <v>23</v>
      </c>
      <c r="I2356" s="8">
        <f>IF(OR(LOOKUP(A2356,characters!A:A,characters!B:B)=-1, LOOKUP(A2356,characters!A:A,characters!B:B)+0.1&gt;=B2356),1,0)</f>
        <v/>
      </c>
    </row>
    <row r="2357" spans="1:9">
      <c r="A2357" s="4" t="s">
        <v>33</v>
      </c>
      <c r="B2357" s="7">
        <v>0</v>
      </c>
      <c r="C2357" s="5" t="s">
        <v>23</v>
      </c>
      <c r="D2357" s="6">
        <f>IF(I2357=1,1.0,0)</f>
        <v/>
      </c>
      <c r="E2357" s="5" t="s">
        <v>23</v>
      </c>
      <c r="F2357" s="5" t="s">
        <v>23</v>
      </c>
      <c r="G2357" s="5" t="s">
        <v>23</v>
      </c>
      <c r="H2357" s="5" t="s">
        <v>23</v>
      </c>
      <c r="I2357" s="8">
        <f>IF(OR(LOOKUP(A2357,characters!A:A,characters!B:B)=-1, LOOKUP(A2357,characters!A:A,characters!B:B)+0.1&gt;=B2357),1,0)</f>
        <v/>
      </c>
    </row>
    <row r="2358" spans="1:9">
      <c r="A2358" s="4" t="s">
        <v>34</v>
      </c>
      <c r="B2358" s="7">
        <v>0</v>
      </c>
      <c r="C2358" s="6">
        <f>IF(I2358=1,1.0,0)</f>
        <v/>
      </c>
      <c r="D2358" s="5" t="s">
        <v>23</v>
      </c>
      <c r="E2358" s="5" t="s">
        <v>23</v>
      </c>
      <c r="F2358" s="5" t="s">
        <v>23</v>
      </c>
      <c r="G2358" s="5" t="s">
        <v>23</v>
      </c>
      <c r="H2358" s="5" t="s">
        <v>23</v>
      </c>
      <c r="I2358" s="8">
        <f>IF(OR(LOOKUP(A2358,characters!A:A,characters!B:B)=-1, LOOKUP(A2358,characters!A:A,characters!B:B)+0.1&gt;=B2358),1,0)</f>
        <v/>
      </c>
    </row>
    <row r="2359" spans="1:9">
      <c r="A2359" s="4" t="s">
        <v>38</v>
      </c>
      <c r="B2359" s="7">
        <v>0</v>
      </c>
      <c r="C2359" s="5" t="s">
        <v>23</v>
      </c>
      <c r="D2359" s="5" t="s">
        <v>23</v>
      </c>
      <c r="E2359" s="6">
        <f>IF(I2359=1,1.0,0)</f>
        <v/>
      </c>
      <c r="F2359" s="5" t="s">
        <v>23</v>
      </c>
      <c r="G2359" s="5" t="s">
        <v>23</v>
      </c>
      <c r="H2359" s="5" t="s">
        <v>23</v>
      </c>
      <c r="I2359" s="8">
        <f>IF(OR(LOOKUP(A2359,characters!A:A,characters!B:B)=-1, LOOKUP(A2359,characters!A:A,characters!B:B)+0.1&gt;=B2359),1,0)</f>
        <v/>
      </c>
    </row>
    <row r="2360" spans="1:9">
      <c r="A2360" s="4" t="s">
        <v>40</v>
      </c>
      <c r="B2360" s="7">
        <v>0</v>
      </c>
      <c r="C2360" s="5" t="s">
        <v>23</v>
      </c>
      <c r="D2360" s="6">
        <f>IF(I2360=1,1.0,0)</f>
        <v/>
      </c>
      <c r="E2360" s="6">
        <f>IF(I2360=1,0.99,0)</f>
        <v/>
      </c>
      <c r="F2360" s="5" t="s">
        <v>23</v>
      </c>
      <c r="G2360" s="5" t="s">
        <v>23</v>
      </c>
      <c r="H2360" s="5" t="s">
        <v>23</v>
      </c>
      <c r="I2360" s="8">
        <f>IF(OR(LOOKUP(A2360,characters!A:A,characters!B:B)=-1, LOOKUP(A2360,characters!A:A,characters!B:B)+0.1&gt;=B2360),1,0)</f>
        <v/>
      </c>
    </row>
    <row r="2361" spans="1:9">
      <c r="A2361" s="4" t="s">
        <v>41</v>
      </c>
      <c r="B2361" s="7">
        <v>0</v>
      </c>
      <c r="C2361" s="5" t="s">
        <v>23</v>
      </c>
      <c r="D2361" s="5" t="s">
        <v>23</v>
      </c>
      <c r="E2361" s="5" t="s">
        <v>23</v>
      </c>
      <c r="F2361" s="6">
        <f>IF(I2361=1,1.0,0)</f>
        <v/>
      </c>
      <c r="G2361" s="6">
        <f>IF(I2361=1,0.9,0)</f>
        <v/>
      </c>
      <c r="H2361" s="5" t="s">
        <v>23</v>
      </c>
      <c r="I2361" s="8">
        <f>IF(OR(LOOKUP(A2361,characters!A:A,characters!B:B)=-1, LOOKUP(A2361,characters!A:A,characters!B:B)+0.1&gt;=B2361),1,0)</f>
        <v/>
      </c>
    </row>
    <row r="2362" spans="1:9">
      <c r="A2362" s="4" t="s">
        <v>42</v>
      </c>
      <c r="B2362" s="7">
        <v>0</v>
      </c>
      <c r="C2362" s="5" t="s">
        <v>23</v>
      </c>
      <c r="D2362" s="6">
        <f>IF(I2362=1,1.0,0)</f>
        <v/>
      </c>
      <c r="E2362" s="6">
        <f>IF(I2362=1,0.9,0)</f>
        <v/>
      </c>
      <c r="F2362" s="5" t="s">
        <v>23</v>
      </c>
      <c r="G2362" s="5" t="s">
        <v>23</v>
      </c>
      <c r="H2362" s="5" t="s">
        <v>23</v>
      </c>
      <c r="I2362" s="8">
        <f>IF(OR(LOOKUP(A2362,characters!A:A,characters!B:B)=-1, LOOKUP(A2362,characters!A:A,characters!B:B)+0.1&gt;=B2362),1,0)</f>
        <v/>
      </c>
    </row>
    <row r="2363" spans="1:9">
      <c r="A2363" s="4" t="s">
        <v>43</v>
      </c>
      <c r="B2363" s="7">
        <v>1</v>
      </c>
      <c r="C2363" s="5" t="s">
        <v>23</v>
      </c>
      <c r="D2363" s="6">
        <f>IF(I2363=1,0.9,0)</f>
        <v/>
      </c>
      <c r="E2363" s="5" t="s">
        <v>23</v>
      </c>
      <c r="F2363" s="5" t="s">
        <v>23</v>
      </c>
      <c r="G2363" s="5" t="s">
        <v>23</v>
      </c>
      <c r="H2363" s="6">
        <f>IF(I2363=1,1.0,0)</f>
        <v/>
      </c>
      <c r="I2363" s="8">
        <f>IF(OR(LOOKUP(A2363,characters!A:A,characters!B:B)=-1, LOOKUP(A2363,characters!A:A,characters!B:B)+0.1&gt;=B2363),1,0)</f>
        <v/>
      </c>
    </row>
    <row r="2364" spans="1:9">
      <c r="A2364" s="4" t="s">
        <v>44</v>
      </c>
      <c r="B2364" s="7">
        <v>0</v>
      </c>
      <c r="C2364" s="5" t="s">
        <v>23</v>
      </c>
      <c r="D2364" s="6">
        <f>IF(I2364=1,1.0,0)</f>
        <v/>
      </c>
      <c r="E2364" s="6">
        <f>IF(I2364=1,0.99,0)</f>
        <v/>
      </c>
      <c r="F2364" s="5" t="s">
        <v>23</v>
      </c>
      <c r="G2364" s="5" t="s">
        <v>23</v>
      </c>
      <c r="H2364" s="5" t="s">
        <v>23</v>
      </c>
      <c r="I2364" s="8">
        <f>IF(OR(LOOKUP(A2364,characters!A:A,characters!B:B)=-1, LOOKUP(A2364,characters!A:A,characters!B:B)+0.1&gt;=B2364),1,0)</f>
        <v/>
      </c>
    </row>
    <row r="2365" spans="1:9">
      <c r="A2365" s="4" t="s">
        <v>45</v>
      </c>
      <c r="B2365" s="7">
        <v>0</v>
      </c>
      <c r="C2365" s="5" t="s">
        <v>23</v>
      </c>
      <c r="D2365" s="6">
        <f>IF(I2365=1,0.9,0)</f>
        <v/>
      </c>
      <c r="E2365" s="5" t="s">
        <v>23</v>
      </c>
      <c r="F2365" s="6">
        <f>IF(I2365=1,1.0,0)</f>
        <v/>
      </c>
      <c r="G2365" s="5" t="s">
        <v>23</v>
      </c>
      <c r="H2365" s="5" t="s">
        <v>23</v>
      </c>
      <c r="I2365" s="8">
        <f>IF(OR(LOOKUP(A2365,characters!A:A,characters!B:B)=-1, LOOKUP(A2365,characters!A:A,characters!B:B)+0.1&gt;=B2365),1,0)</f>
        <v/>
      </c>
    </row>
    <row r="2366" spans="1:9">
      <c r="A2366" s="4" t="s">
        <v>46</v>
      </c>
      <c r="B2366" s="7">
        <v>1</v>
      </c>
      <c r="C2366" s="5" t="s">
        <v>23</v>
      </c>
      <c r="D2366" s="6">
        <f>IF(I2366=1,1.0,0)</f>
        <v/>
      </c>
      <c r="E2366" s="6">
        <f>IF(I2366=1,0.9,0)</f>
        <v/>
      </c>
      <c r="F2366" s="5" t="s">
        <v>23</v>
      </c>
      <c r="G2366" s="5" t="s">
        <v>23</v>
      </c>
      <c r="H2366" s="5" t="s">
        <v>23</v>
      </c>
      <c r="I2366" s="8">
        <f>IF(OR(LOOKUP(A2366,characters!A:A,characters!B:B)=-1, LOOKUP(A2366,characters!A:A,characters!B:B)+0.1&gt;=B2366),1,0)</f>
        <v/>
      </c>
    </row>
    <row r="2368" spans="1:9">
      <c r="A2368" s="3" t="s">
        <v>65</v>
      </c>
      <c r="B2368" s="3" t="s">
        <v>9</v>
      </c>
      <c r="C2368" s="3" t="s">
        <v>66</v>
      </c>
      <c r="D2368" s="3" t="s">
        <v>17</v>
      </c>
      <c r="E2368" s="3" t="s">
        <v>12</v>
      </c>
      <c r="F2368" s="3" t="s">
        <v>18</v>
      </c>
    </row>
    <row r="2369" spans="1:7">
      <c r="A2369" s="4" t="s">
        <v>22</v>
      </c>
      <c r="B2369" s="5" t="s">
        <v>23</v>
      </c>
      <c r="C2369" s="6">
        <f>IF(SUM(G2370:G2383)=0,0,SUM(C2370:C2383)/SUM(G2370:G2383))</f>
        <v/>
      </c>
      <c r="D2369" s="6">
        <f>IF(SUM(G2370:G2383)=0,0,SUM(D2370:D2383)/SUM(G2370:G2383))</f>
        <v/>
      </c>
      <c r="E2369" s="6">
        <f>IF(SUM(G2370:G2383)=0,0,SUM(E2370:E2383)/SUM(G2370:G2383))</f>
        <v/>
      </c>
      <c r="F2369" s="6">
        <f>IF(SUM(G2370:G2383)=0,0,SUM(F2370:F2383)/SUM(G2370:G2383))</f>
        <v/>
      </c>
    </row>
    <row r="2370" spans="1:7">
      <c r="A2370" s="4" t="s">
        <v>24</v>
      </c>
      <c r="B2370" s="7">
        <v>0</v>
      </c>
      <c r="C2370" s="6">
        <f>IF(G2370=1,1.0,0)</f>
        <v/>
      </c>
      <c r="D2370" s="5" t="s">
        <v>23</v>
      </c>
      <c r="E2370" s="5" t="s">
        <v>23</v>
      </c>
      <c r="F2370" s="5" t="s">
        <v>23</v>
      </c>
      <c r="G2370" s="8">
        <f>IF(OR(LOOKUP(A2370,characters!A:A,characters!B:B)=-1, LOOKUP(A2370,characters!A:A,characters!B:B)+0.1&gt;=B2370),1,0)</f>
        <v/>
      </c>
    </row>
    <row r="2371" spans="1:7">
      <c r="A2371" s="4" t="s">
        <v>27</v>
      </c>
      <c r="B2371" s="7">
        <v>0</v>
      </c>
      <c r="C2371" s="6">
        <f>IF(G2371=1,1.0,0)</f>
        <v/>
      </c>
      <c r="D2371" s="5" t="s">
        <v>23</v>
      </c>
      <c r="E2371" s="5" t="s">
        <v>23</v>
      </c>
      <c r="F2371" s="5" t="s">
        <v>23</v>
      </c>
      <c r="G2371" s="8">
        <f>IF(OR(LOOKUP(A2371,characters!A:A,characters!B:B)=-1, LOOKUP(A2371,characters!A:A,characters!B:B)+0.1&gt;=B2371),1,0)</f>
        <v/>
      </c>
    </row>
    <row r="2372" spans="1:7">
      <c r="A2372" s="4" t="s">
        <v>31</v>
      </c>
      <c r="B2372" s="7">
        <v>2</v>
      </c>
      <c r="C2372" s="5" t="s">
        <v>23</v>
      </c>
      <c r="D2372" s="6">
        <f>IF(G2372=1,1.0,0)</f>
        <v/>
      </c>
      <c r="E2372" s="5" t="s">
        <v>23</v>
      </c>
      <c r="F2372" s="5" t="s">
        <v>23</v>
      </c>
      <c r="G2372" s="8">
        <f>IF(OR(LOOKUP(A2372,characters!A:A,characters!B:B)=-1, LOOKUP(A2372,characters!A:A,characters!B:B)+0.1&gt;=B2372),1,0)</f>
        <v/>
      </c>
    </row>
    <row r="2373" spans="1:7">
      <c r="A2373" s="4" t="s">
        <v>32</v>
      </c>
      <c r="B2373" s="7">
        <v>0</v>
      </c>
      <c r="C2373" s="6">
        <f>IF(G2373=1,1.0,0)</f>
        <v/>
      </c>
      <c r="D2373" s="5" t="s">
        <v>23</v>
      </c>
      <c r="E2373" s="5" t="s">
        <v>23</v>
      </c>
      <c r="F2373" s="5" t="s">
        <v>23</v>
      </c>
      <c r="G2373" s="8">
        <f>IF(OR(LOOKUP(A2373,characters!A:A,characters!B:B)=-1, LOOKUP(A2373,characters!A:A,characters!B:B)+0.1&gt;=B2373),1,0)</f>
        <v/>
      </c>
    </row>
    <row r="2374" spans="1:7">
      <c r="A2374" s="4" t="s">
        <v>33</v>
      </c>
      <c r="B2374" s="7">
        <v>0</v>
      </c>
      <c r="C2374" s="6">
        <f>IF(G2374=1,1.0,0)</f>
        <v/>
      </c>
      <c r="D2374" s="5" t="s">
        <v>23</v>
      </c>
      <c r="E2374" s="5" t="s">
        <v>23</v>
      </c>
      <c r="F2374" s="5" t="s">
        <v>23</v>
      </c>
      <c r="G2374" s="8">
        <f>IF(OR(LOOKUP(A2374,characters!A:A,characters!B:B)=-1, LOOKUP(A2374,characters!A:A,characters!B:B)+0.1&gt;=B2374),1,0)</f>
        <v/>
      </c>
    </row>
    <row r="2375" spans="1:7">
      <c r="A2375" s="4" t="s">
        <v>34</v>
      </c>
      <c r="B2375" s="7">
        <v>0</v>
      </c>
      <c r="C2375" s="6">
        <f>IF(G2375=1,1.0,0)</f>
        <v/>
      </c>
      <c r="D2375" s="5" t="s">
        <v>23</v>
      </c>
      <c r="E2375" s="5" t="s">
        <v>23</v>
      </c>
      <c r="F2375" s="5" t="s">
        <v>23</v>
      </c>
      <c r="G2375" s="8">
        <f>IF(OR(LOOKUP(A2375,characters!A:A,characters!B:B)=-1, LOOKUP(A2375,characters!A:A,characters!B:B)+0.1&gt;=B2375),1,0)</f>
        <v/>
      </c>
    </row>
    <row r="2376" spans="1:7">
      <c r="A2376" s="4" t="s">
        <v>38</v>
      </c>
      <c r="B2376" s="7">
        <v>0</v>
      </c>
      <c r="C2376" s="6">
        <f>IF(G2376=1,1.0,0)</f>
        <v/>
      </c>
      <c r="D2376" s="5" t="s">
        <v>23</v>
      </c>
      <c r="E2376" s="6">
        <f>IF(G2376=1,0.99,0)</f>
        <v/>
      </c>
      <c r="F2376" s="5" t="s">
        <v>23</v>
      </c>
      <c r="G2376" s="8">
        <f>IF(OR(LOOKUP(A2376,characters!A:A,characters!B:B)=-1, LOOKUP(A2376,characters!A:A,characters!B:B)+0.1&gt;=B2376),1,0)</f>
        <v/>
      </c>
    </row>
    <row r="2377" spans="1:7">
      <c r="A2377" s="4" t="s">
        <v>40</v>
      </c>
      <c r="B2377" s="7">
        <v>0</v>
      </c>
      <c r="C2377" s="6">
        <f>IF(G2377=1,1.0,0)</f>
        <v/>
      </c>
      <c r="D2377" s="5" t="s">
        <v>23</v>
      </c>
      <c r="E2377" s="5" t="s">
        <v>23</v>
      </c>
      <c r="F2377" s="5" t="s">
        <v>23</v>
      </c>
      <c r="G2377" s="8">
        <f>IF(OR(LOOKUP(A2377,characters!A:A,characters!B:B)=-1, LOOKUP(A2377,characters!A:A,characters!B:B)+0.1&gt;=B2377),1,0)</f>
        <v/>
      </c>
    </row>
    <row r="2378" spans="1:7">
      <c r="A2378" s="4" t="s">
        <v>41</v>
      </c>
      <c r="B2378" s="7">
        <v>0</v>
      </c>
      <c r="C2378" s="6">
        <f>IF(G2378=1,1.0,0)</f>
        <v/>
      </c>
      <c r="D2378" s="5" t="s">
        <v>23</v>
      </c>
      <c r="E2378" s="5" t="s">
        <v>23</v>
      </c>
      <c r="F2378" s="5" t="s">
        <v>23</v>
      </c>
      <c r="G2378" s="8">
        <f>IF(OR(LOOKUP(A2378,characters!A:A,characters!B:B)=-1, LOOKUP(A2378,characters!A:A,characters!B:B)+0.1&gt;=B2378),1,0)</f>
        <v/>
      </c>
    </row>
    <row r="2379" spans="1:7">
      <c r="A2379" s="4" t="s">
        <v>42</v>
      </c>
      <c r="B2379" s="7">
        <v>0</v>
      </c>
      <c r="C2379" s="6">
        <f>IF(G2379=1,1.0,0)</f>
        <v/>
      </c>
      <c r="D2379" s="5" t="s">
        <v>23</v>
      </c>
      <c r="E2379" s="5" t="s">
        <v>23</v>
      </c>
      <c r="F2379" s="6">
        <f>IF(G2379=1,0.9,0)</f>
        <v/>
      </c>
      <c r="G2379" s="8">
        <f>IF(OR(LOOKUP(A2379,characters!A:A,characters!B:B)=-1, LOOKUP(A2379,characters!A:A,characters!B:B)+0.1&gt;=B2379),1,0)</f>
        <v/>
      </c>
    </row>
    <row r="2380" spans="1:7">
      <c r="A2380" s="4" t="s">
        <v>43</v>
      </c>
      <c r="B2380" s="7">
        <v>1</v>
      </c>
      <c r="C2380" s="6">
        <f>IF(G2380=1,1.0,0)</f>
        <v/>
      </c>
      <c r="D2380" s="5" t="s">
        <v>23</v>
      </c>
      <c r="E2380" s="5" t="s">
        <v>23</v>
      </c>
      <c r="F2380" s="5" t="s">
        <v>23</v>
      </c>
      <c r="G2380" s="8">
        <f>IF(OR(LOOKUP(A2380,characters!A:A,characters!B:B)=-1, LOOKUP(A2380,characters!A:A,characters!B:B)+0.1&gt;=B2380),1,0)</f>
        <v/>
      </c>
    </row>
    <row r="2381" spans="1:7">
      <c r="A2381" s="4" t="s">
        <v>44</v>
      </c>
      <c r="B2381" s="7">
        <v>0</v>
      </c>
      <c r="C2381" s="6">
        <f>IF(G2381=1,1.0,0)</f>
        <v/>
      </c>
      <c r="D2381" s="5" t="s">
        <v>23</v>
      </c>
      <c r="E2381" s="5" t="s">
        <v>23</v>
      </c>
      <c r="F2381" s="5" t="s">
        <v>23</v>
      </c>
      <c r="G2381" s="8">
        <f>IF(OR(LOOKUP(A2381,characters!A:A,characters!B:B)=-1, LOOKUP(A2381,characters!A:A,characters!B:B)+0.1&gt;=B2381),1,0)</f>
        <v/>
      </c>
    </row>
    <row r="2382" spans="1:7">
      <c r="A2382" s="4" t="s">
        <v>45</v>
      </c>
      <c r="B2382" s="7">
        <v>0</v>
      </c>
      <c r="C2382" s="6">
        <f>IF(G2382=1,1.0,0)</f>
        <v/>
      </c>
      <c r="D2382" s="5" t="s">
        <v>23</v>
      </c>
      <c r="E2382" s="5" t="s">
        <v>23</v>
      </c>
      <c r="F2382" s="5" t="s">
        <v>23</v>
      </c>
      <c r="G2382" s="8">
        <f>IF(OR(LOOKUP(A2382,characters!A:A,characters!B:B)=-1, LOOKUP(A2382,characters!A:A,characters!B:B)+0.1&gt;=B2382),1,0)</f>
        <v/>
      </c>
    </row>
    <row r="2383" spans="1:7">
      <c r="A2383" s="4" t="s">
        <v>46</v>
      </c>
      <c r="B2383" s="7">
        <v>1</v>
      </c>
      <c r="C2383" s="6">
        <f>IF(G2383=1,0.9,0)</f>
        <v/>
      </c>
      <c r="D2383" s="5" t="s">
        <v>23</v>
      </c>
      <c r="E2383" s="5" t="s">
        <v>23</v>
      </c>
      <c r="F2383" s="6">
        <f>IF(G2383=1,1.0,0)</f>
        <v/>
      </c>
      <c r="G2383" s="8">
        <f>IF(OR(LOOKUP(A2383,characters!A:A,characters!B:B)=-1, LOOKUP(A2383,characters!A:A,characters!B:B)+0.1&gt;=B2383),1,0)</f>
        <v/>
      </c>
    </row>
    <row r="2390" spans="1:13">
      <c r="A2390" s="3" t="s">
        <v>161</v>
      </c>
    </row>
    <row r="2391" spans="1:13">
      <c r="A2391" s="3" t="s">
        <v>8</v>
      </c>
      <c r="B2391" s="3" t="s">
        <v>9</v>
      </c>
      <c r="C2391" s="3" t="s">
        <v>10</v>
      </c>
      <c r="D2391" s="3" t="s">
        <v>18</v>
      </c>
      <c r="E2391" s="3" t="s">
        <v>17</v>
      </c>
      <c r="F2391" s="3" t="s">
        <v>13</v>
      </c>
      <c r="G2391" s="3" t="s">
        <v>12</v>
      </c>
      <c r="H2391" s="3" t="s">
        <v>21</v>
      </c>
      <c r="I2391" s="3" t="s">
        <v>19</v>
      </c>
      <c r="J2391" s="3" t="s">
        <v>11</v>
      </c>
      <c r="K2391" s="3" t="s">
        <v>16</v>
      </c>
      <c r="L2391" s="3" t="s">
        <v>20</v>
      </c>
    </row>
    <row r="2392" spans="1:13">
      <c r="A2392" s="4" t="s">
        <v>22</v>
      </c>
      <c r="B2392" s="5" t="s">
        <v>23</v>
      </c>
      <c r="C2392" s="6">
        <f>IF(SUM(M2393:M2402)=0,0,SUM(C2393:C2402)/SUM(M2393:M2402))</f>
        <v/>
      </c>
      <c r="D2392" s="6">
        <f>IF(SUM(M2393:M2402)=0,0,SUM(D2393:D2402)/SUM(M2393:M2402))</f>
        <v/>
      </c>
      <c r="E2392" s="6">
        <f>IF(SUM(M2393:M2402)=0,0,SUM(E2393:E2402)/SUM(M2393:M2402))</f>
        <v/>
      </c>
      <c r="F2392" s="6">
        <f>IF(SUM(M2393:M2402)=0,0,SUM(F2393:F2402)/SUM(M2393:M2402))</f>
        <v/>
      </c>
      <c r="G2392" s="6">
        <f>IF(SUM(M2393:M2402)=0,0,SUM(G2393:G2402)/SUM(M2393:M2402))</f>
        <v/>
      </c>
      <c r="H2392" s="6">
        <f>IF(SUM(M2393:M2402)=0,0,SUM(H2393:H2402)/SUM(M2393:M2402))</f>
        <v/>
      </c>
      <c r="I2392" s="6">
        <f>IF(SUM(M2393:M2402)=0,0,SUM(I2393:I2402)/SUM(M2393:M2402))</f>
        <v/>
      </c>
      <c r="J2392" s="6">
        <f>IF(SUM(M2393:M2402)=0,0,SUM(J2393:J2402)/SUM(M2393:M2402))</f>
        <v/>
      </c>
      <c r="K2392" s="6">
        <f>IF(SUM(M2393:M2402)=0,0,SUM(K2393:K2402)/SUM(M2393:M2402))</f>
        <v/>
      </c>
      <c r="L2392" s="6">
        <f>IF(SUM(M2393:M2402)=0,0,SUM(L2393:L2402)/SUM(M2393:M2402))</f>
        <v/>
      </c>
    </row>
    <row r="2393" spans="1:13">
      <c r="A2393" s="4" t="s">
        <v>94</v>
      </c>
      <c r="B2393" s="7">
        <v>0</v>
      </c>
      <c r="C2393" s="6">
        <f>IF(M2393=1,1.0,0)</f>
        <v/>
      </c>
      <c r="D2393" s="6">
        <f>IF(M2393=1,0.99,0)</f>
        <v/>
      </c>
      <c r="E2393" s="5" t="s">
        <v>23</v>
      </c>
      <c r="F2393" s="5" t="s">
        <v>23</v>
      </c>
      <c r="G2393" s="5" t="s">
        <v>23</v>
      </c>
      <c r="H2393" s="5" t="s">
        <v>23</v>
      </c>
      <c r="I2393" s="5" t="s">
        <v>23</v>
      </c>
      <c r="J2393" s="5" t="s">
        <v>23</v>
      </c>
      <c r="K2393" s="5" t="s">
        <v>23</v>
      </c>
      <c r="L2393" s="5" t="s">
        <v>23</v>
      </c>
      <c r="M2393" s="8">
        <f>IF(OR(LOOKUP(A2393,characters!A:A,characters!B:B)=-1, LOOKUP(A2393,characters!A:A,characters!B:B)+0.1&gt;=B2393),1,0)</f>
        <v/>
      </c>
    </row>
    <row r="2394" spans="1:13">
      <c r="A2394" s="4" t="s">
        <v>76</v>
      </c>
      <c r="B2394" s="7">
        <v>0</v>
      </c>
      <c r="C2394" s="6">
        <f>IF(M2394=1,1.0,0)</f>
        <v/>
      </c>
      <c r="D2394" s="6">
        <f>IF(M2394=1,0.9,0)</f>
        <v/>
      </c>
      <c r="E2394" s="6">
        <f>IF(M2394=1,0.89,0)</f>
        <v/>
      </c>
      <c r="F2394" s="5" t="s">
        <v>23</v>
      </c>
      <c r="G2394" s="5" t="s">
        <v>23</v>
      </c>
      <c r="H2394" s="5" t="s">
        <v>23</v>
      </c>
      <c r="I2394" s="5" t="s">
        <v>23</v>
      </c>
      <c r="J2394" s="5" t="s">
        <v>23</v>
      </c>
      <c r="K2394" s="6">
        <f>IF(M2394=1,1.0,0)</f>
        <v/>
      </c>
      <c r="L2394" s="5" t="s">
        <v>23</v>
      </c>
      <c r="M2394" s="8">
        <f>IF(OR(LOOKUP(A2394,characters!A:A,characters!B:B)=-1, LOOKUP(A2394,characters!A:A,characters!B:B)+0.1&gt;=B2394),1,0)</f>
        <v/>
      </c>
    </row>
    <row r="2395" spans="1:13">
      <c r="A2395" s="4" t="s">
        <v>110</v>
      </c>
      <c r="B2395" s="7">
        <v>0</v>
      </c>
      <c r="C2395" s="6">
        <f>IF(M2395=1,1.0,0)</f>
        <v/>
      </c>
      <c r="D2395" s="5" t="s">
        <v>23</v>
      </c>
      <c r="E2395" s="6">
        <f>IF(M2395=1,0.8,0)</f>
        <v/>
      </c>
      <c r="F2395" s="5" t="s">
        <v>23</v>
      </c>
      <c r="G2395" s="5" t="s">
        <v>23</v>
      </c>
      <c r="H2395" s="6">
        <f>IF(M2395=1,0.9,0)</f>
        <v/>
      </c>
      <c r="I2395" s="6">
        <f>IF(M2395=1,0.9,0)</f>
        <v/>
      </c>
      <c r="J2395" s="5" t="s">
        <v>23</v>
      </c>
      <c r="K2395" s="5" t="s">
        <v>23</v>
      </c>
      <c r="L2395" s="5" t="s">
        <v>23</v>
      </c>
      <c r="M2395" s="8">
        <f>IF(OR(LOOKUP(A2395,characters!A:A,characters!B:B)=-1, LOOKUP(A2395,characters!A:A,characters!B:B)+0.1&gt;=B2395),1,0)</f>
        <v/>
      </c>
    </row>
    <row r="2396" spans="1:13">
      <c r="A2396" s="4" t="s">
        <v>95</v>
      </c>
      <c r="B2396" s="7">
        <v>0</v>
      </c>
      <c r="C2396" s="6">
        <f>IF(M2396=1,1.0,0)</f>
        <v/>
      </c>
      <c r="D2396" s="6">
        <f>IF(M2396=1,0.9,0)</f>
        <v/>
      </c>
      <c r="E2396" s="6">
        <f>IF(M2396=1,0.8,0)</f>
        <v/>
      </c>
      <c r="F2396" s="5" t="s">
        <v>23</v>
      </c>
      <c r="G2396" s="5" t="s">
        <v>23</v>
      </c>
      <c r="H2396" s="5" t="s">
        <v>23</v>
      </c>
      <c r="I2396" s="5" t="s">
        <v>23</v>
      </c>
      <c r="J2396" s="5" t="s">
        <v>23</v>
      </c>
      <c r="K2396" s="5" t="s">
        <v>23</v>
      </c>
      <c r="L2396" s="5" t="s">
        <v>23</v>
      </c>
      <c r="M2396" s="8">
        <f>IF(OR(LOOKUP(A2396,characters!A:A,characters!B:B)=-1, LOOKUP(A2396,characters!A:A,characters!B:B)+0.1&gt;=B2396),1,0)</f>
        <v/>
      </c>
    </row>
    <row r="2397" spans="1:13">
      <c r="A2397" s="4" t="s">
        <v>42</v>
      </c>
      <c r="B2397" s="7">
        <v>0</v>
      </c>
      <c r="C2397" s="6">
        <f>IF(M2397=1,0.9,0)</f>
        <v/>
      </c>
      <c r="D2397" s="6">
        <f>IF(M2397=1,1.0,0)</f>
        <v/>
      </c>
      <c r="E2397" s="5" t="s">
        <v>23</v>
      </c>
      <c r="F2397" s="6">
        <f>IF(M2397=1,0.8,0)</f>
        <v/>
      </c>
      <c r="G2397" s="6">
        <f>IF(M2397=1,0.8,0)</f>
        <v/>
      </c>
      <c r="H2397" s="5" t="s">
        <v>23</v>
      </c>
      <c r="I2397" s="5" t="s">
        <v>23</v>
      </c>
      <c r="J2397" s="6">
        <f>IF(M2397=1,0.7,0)</f>
        <v/>
      </c>
      <c r="K2397" s="5" t="s">
        <v>23</v>
      </c>
      <c r="L2397" s="5" t="s">
        <v>23</v>
      </c>
      <c r="M2397" s="8">
        <f>IF(OR(LOOKUP(A2397,characters!A:A,characters!B:B)=-1, LOOKUP(A2397,characters!A:A,characters!B:B)+0.1&gt;=B2397),1,0)</f>
        <v/>
      </c>
    </row>
    <row r="2398" spans="1:13">
      <c r="A2398" s="4" t="s">
        <v>46</v>
      </c>
      <c r="B2398" s="7">
        <v>0</v>
      </c>
      <c r="C2398" s="6">
        <f>IF(M2398=1,1.0,0)</f>
        <v/>
      </c>
      <c r="D2398" s="6">
        <f>IF(M2398=1,1.0,0)</f>
        <v/>
      </c>
      <c r="E2398" s="5" t="s">
        <v>23</v>
      </c>
      <c r="F2398" s="6">
        <f>IF(M2398=1,0.9,0)</f>
        <v/>
      </c>
      <c r="G2398" s="6">
        <f>IF(M2398=1,0.9,0)</f>
        <v/>
      </c>
      <c r="H2398" s="5" t="s">
        <v>23</v>
      </c>
      <c r="I2398" s="5" t="s">
        <v>23</v>
      </c>
      <c r="J2398" s="5" t="s">
        <v>23</v>
      </c>
      <c r="K2398" s="5" t="s">
        <v>23</v>
      </c>
      <c r="L2398" s="5" t="s">
        <v>23</v>
      </c>
      <c r="M2398" s="8">
        <f>IF(OR(LOOKUP(A2398,characters!A:A,characters!B:B)=-1, LOOKUP(A2398,characters!A:A,characters!B:B)+0.1&gt;=B2398),1,0)</f>
        <v/>
      </c>
    </row>
    <row r="2399" spans="1:13">
      <c r="A2399" s="4" t="s">
        <v>113</v>
      </c>
      <c r="B2399" s="7">
        <v>0</v>
      </c>
      <c r="C2399" s="6">
        <f>IF(M2399=1,1.0,0)</f>
        <v/>
      </c>
      <c r="D2399" s="6">
        <f>IF(M2399=1,0.9,0)</f>
        <v/>
      </c>
      <c r="E2399" s="6">
        <f>IF(M2399=1,0.79,0)</f>
        <v/>
      </c>
      <c r="F2399" s="5" t="s">
        <v>23</v>
      </c>
      <c r="G2399" s="5" t="s">
        <v>23</v>
      </c>
      <c r="H2399" s="6">
        <f>IF(M2399=1,0.89,0)</f>
        <v/>
      </c>
      <c r="I2399" s="6">
        <f>IF(M2399=1,0.89,0)</f>
        <v/>
      </c>
      <c r="J2399" s="5" t="s">
        <v>23</v>
      </c>
      <c r="K2399" s="5" t="s">
        <v>23</v>
      </c>
      <c r="L2399" s="5" t="s">
        <v>23</v>
      </c>
      <c r="M2399" s="8">
        <f>IF(OR(LOOKUP(A2399,characters!A:A,characters!B:B)=-1, LOOKUP(A2399,characters!A:A,characters!B:B)+0.1&gt;=B2399),1,0)</f>
        <v/>
      </c>
    </row>
    <row r="2400" spans="1:13">
      <c r="A2400" s="4" t="s">
        <v>119</v>
      </c>
      <c r="B2400" s="7">
        <v>1</v>
      </c>
      <c r="C2400" s="6">
        <f>IF(M2400=1,1.0,0)</f>
        <v/>
      </c>
      <c r="D2400" s="6">
        <f>IF(M2400=1,0.9,0)</f>
        <v/>
      </c>
      <c r="E2400" s="6">
        <f>IF(M2400=1,0.8,0)</f>
        <v/>
      </c>
      <c r="F2400" s="5" t="s">
        <v>23</v>
      </c>
      <c r="G2400" s="5" t="s">
        <v>23</v>
      </c>
      <c r="H2400" s="5" t="s">
        <v>23</v>
      </c>
      <c r="I2400" s="5" t="s">
        <v>23</v>
      </c>
      <c r="J2400" s="5" t="s">
        <v>23</v>
      </c>
      <c r="K2400" s="5" t="s">
        <v>23</v>
      </c>
      <c r="L2400" s="5" t="s">
        <v>23</v>
      </c>
      <c r="M2400" s="8">
        <f>IF(OR(LOOKUP(A2400,characters!A:A,characters!B:B)=-1, LOOKUP(A2400,characters!A:A,characters!B:B)+0.1&gt;=B2400),1,0)</f>
        <v/>
      </c>
    </row>
    <row r="2401" spans="1:13">
      <c r="A2401" s="4" t="s">
        <v>29</v>
      </c>
      <c r="B2401" s="7">
        <v>1</v>
      </c>
      <c r="C2401" s="6">
        <f>IF(M2401=1,1.0,0)</f>
        <v/>
      </c>
      <c r="D2401" s="6">
        <f>IF(M2401=1,0.9,0)</f>
        <v/>
      </c>
      <c r="E2401" s="5" t="s">
        <v>23</v>
      </c>
      <c r="F2401" s="6">
        <f>IF(M2401=1,0.7,0)</f>
        <v/>
      </c>
      <c r="G2401" s="6">
        <f>IF(M2401=1,0.7,0)</f>
        <v/>
      </c>
      <c r="H2401" s="5" t="s">
        <v>23</v>
      </c>
      <c r="I2401" s="5" t="s">
        <v>23</v>
      </c>
      <c r="J2401" s="6">
        <f>IF(M2401=1,0.8,0)</f>
        <v/>
      </c>
      <c r="K2401" s="5" t="s">
        <v>23</v>
      </c>
      <c r="L2401" s="5" t="s">
        <v>23</v>
      </c>
      <c r="M2401" s="8">
        <f>IF(OR(LOOKUP(A2401,characters!A:A,characters!B:B)=-1, LOOKUP(A2401,characters!A:A,characters!B:B)+0.1&gt;=B2401),1,0)</f>
        <v/>
      </c>
    </row>
    <row r="2402" spans="1:13">
      <c r="A2402" s="4" t="s">
        <v>35</v>
      </c>
      <c r="B2402" s="7">
        <v>1</v>
      </c>
      <c r="C2402" s="6">
        <f>IF(M2402=1,1.0,0)</f>
        <v/>
      </c>
      <c r="D2402" s="5" t="s">
        <v>23</v>
      </c>
      <c r="E2402" s="6">
        <f>IF(M2402=1,0.89,0)</f>
        <v/>
      </c>
      <c r="F2402" s="5" t="s">
        <v>23</v>
      </c>
      <c r="G2402" s="5" t="s">
        <v>23</v>
      </c>
      <c r="H2402" s="5" t="s">
        <v>23</v>
      </c>
      <c r="I2402" s="5" t="s">
        <v>23</v>
      </c>
      <c r="J2402" s="5" t="s">
        <v>23</v>
      </c>
      <c r="K2402" s="5" t="s">
        <v>23</v>
      </c>
      <c r="L2402" s="6">
        <f>IF(M2402=1,0.9,0)</f>
        <v/>
      </c>
      <c r="M2402" s="8">
        <f>IF(OR(LOOKUP(A2402,characters!A:A,characters!B:B)=-1, LOOKUP(A2402,characters!A:A,characters!B:B)+0.1&gt;=B2402),1,0)</f>
        <v/>
      </c>
    </row>
    <row r="2404" spans="1:13">
      <c r="A2404" s="3" t="s">
        <v>64</v>
      </c>
      <c r="B2404" s="3" t="s">
        <v>9</v>
      </c>
      <c r="C2404" s="3" t="s">
        <v>17</v>
      </c>
      <c r="D2404" s="3" t="s">
        <v>13</v>
      </c>
      <c r="E2404" s="3" t="s">
        <v>12</v>
      </c>
      <c r="F2404" s="3" t="s">
        <v>87</v>
      </c>
      <c r="G2404" s="3" t="s">
        <v>68</v>
      </c>
      <c r="H2404" s="3" t="s">
        <v>69</v>
      </c>
    </row>
    <row r="2405" spans="1:13">
      <c r="A2405" s="4" t="s">
        <v>22</v>
      </c>
      <c r="B2405" s="5" t="s">
        <v>23</v>
      </c>
      <c r="C2405" s="6">
        <f>IF(SUM(I2406:I2415)=0,0,SUM(C2406:C2415)/SUM(I2406:I2415))</f>
        <v/>
      </c>
      <c r="D2405" s="6">
        <f>IF(SUM(I2406:I2415)=0,0,SUM(D2406:D2415)/SUM(I2406:I2415))</f>
        <v/>
      </c>
      <c r="E2405" s="6">
        <f>IF(SUM(I2406:I2415)=0,0,SUM(E2406:E2415)/SUM(I2406:I2415))</f>
        <v/>
      </c>
      <c r="F2405" s="6">
        <f>IF(SUM(I2406:I2415)=0,0,SUM(F2406:F2415)/SUM(I2406:I2415))</f>
        <v/>
      </c>
      <c r="G2405" s="6">
        <f>IF(SUM(I2406:I2415)=0,0,SUM(G2406:G2415)/SUM(I2406:I2415))</f>
        <v/>
      </c>
      <c r="H2405" s="6">
        <f>IF(SUM(I2406:I2415)=0,0,SUM(H2406:H2415)/SUM(I2406:I2415))</f>
        <v/>
      </c>
    </row>
    <row r="2406" spans="1:13">
      <c r="A2406" s="4" t="s">
        <v>94</v>
      </c>
      <c r="B2406" s="7">
        <v>0</v>
      </c>
      <c r="C2406" s="5" t="s">
        <v>23</v>
      </c>
      <c r="D2406" s="5" t="s">
        <v>23</v>
      </c>
      <c r="E2406" s="5" t="s">
        <v>23</v>
      </c>
      <c r="F2406" s="5" t="s">
        <v>23</v>
      </c>
      <c r="G2406" s="5" t="s">
        <v>23</v>
      </c>
      <c r="H2406" s="5" t="s">
        <v>23</v>
      </c>
      <c r="I2406" s="8">
        <f>IF(OR(LOOKUP(A2406,characters!A:A,characters!B:B)=-1, LOOKUP(A2406,characters!A:A,characters!B:B)+0.1&gt;=B2406),1,0)</f>
        <v/>
      </c>
    </row>
    <row r="2407" spans="1:13">
      <c r="A2407" s="4" t="s">
        <v>119</v>
      </c>
      <c r="B2407" s="7">
        <v>1</v>
      </c>
      <c r="C2407" s="6">
        <f>IF(I2407=1,1.0,0)</f>
        <v/>
      </c>
      <c r="D2407" s="5" t="s">
        <v>23</v>
      </c>
      <c r="E2407" s="5" t="s">
        <v>23</v>
      </c>
      <c r="F2407" s="5" t="s">
        <v>23</v>
      </c>
      <c r="G2407" s="5" t="s">
        <v>23</v>
      </c>
      <c r="H2407" s="5" t="s">
        <v>23</v>
      </c>
      <c r="I2407" s="8">
        <f>IF(OR(LOOKUP(A2407,characters!A:A,characters!B:B)=-1, LOOKUP(A2407,characters!A:A,characters!B:B)+0.1&gt;=B2407),1,0)</f>
        <v/>
      </c>
    </row>
    <row r="2408" spans="1:13">
      <c r="A2408" s="4" t="s">
        <v>29</v>
      </c>
      <c r="B2408" s="7">
        <v>1</v>
      </c>
      <c r="C2408" s="5" t="s">
        <v>23</v>
      </c>
      <c r="D2408" s="6">
        <f>IF(I2408=1,1.0,0)</f>
        <v/>
      </c>
      <c r="E2408" s="6">
        <f>IF(I2408=1,0.99,0)</f>
        <v/>
      </c>
      <c r="F2408" s="5" t="s">
        <v>23</v>
      </c>
      <c r="G2408" s="5" t="s">
        <v>23</v>
      </c>
      <c r="H2408" s="5" t="s">
        <v>23</v>
      </c>
      <c r="I2408" s="8">
        <f>IF(OR(LOOKUP(A2408,characters!A:A,characters!B:B)=-1, LOOKUP(A2408,characters!A:A,characters!B:B)+0.1&gt;=B2408),1,0)</f>
        <v/>
      </c>
    </row>
    <row r="2409" spans="1:13">
      <c r="A2409" s="4" t="s">
        <v>35</v>
      </c>
      <c r="B2409" s="7">
        <v>1</v>
      </c>
      <c r="C2409" s="6">
        <f>IF(I2409=1,1.0,0)</f>
        <v/>
      </c>
      <c r="D2409" s="5" t="s">
        <v>23</v>
      </c>
      <c r="E2409" s="5" t="s">
        <v>23</v>
      </c>
      <c r="F2409" s="5" t="s">
        <v>23</v>
      </c>
      <c r="G2409" s="5" t="s">
        <v>23</v>
      </c>
      <c r="H2409" s="5" t="s">
        <v>23</v>
      </c>
      <c r="I2409" s="8">
        <f>IF(OR(LOOKUP(A2409,characters!A:A,characters!B:B)=-1, LOOKUP(A2409,characters!A:A,characters!B:B)+0.1&gt;=B2409),1,0)</f>
        <v/>
      </c>
    </row>
    <row r="2410" spans="1:13">
      <c r="A2410" s="4" t="s">
        <v>76</v>
      </c>
      <c r="B2410" s="7">
        <v>0</v>
      </c>
      <c r="C2410" s="6">
        <f>IF(I2410=1,0.9,0)</f>
        <v/>
      </c>
      <c r="D2410" s="5" t="s">
        <v>23</v>
      </c>
      <c r="E2410" s="5" t="s">
        <v>23</v>
      </c>
      <c r="F2410" s="6">
        <f>IF(I2410=1,1.0,0)</f>
        <v/>
      </c>
      <c r="G2410" s="5" t="s">
        <v>23</v>
      </c>
      <c r="H2410" s="5" t="s">
        <v>23</v>
      </c>
      <c r="I2410" s="8">
        <f>IF(OR(LOOKUP(A2410,characters!A:A,characters!B:B)=-1, LOOKUP(A2410,characters!A:A,characters!B:B)+0.1&gt;=B2410),1,0)</f>
        <v/>
      </c>
    </row>
    <row r="2411" spans="1:13">
      <c r="A2411" s="4" t="s">
        <v>110</v>
      </c>
      <c r="B2411" s="7">
        <v>0</v>
      </c>
      <c r="C2411" s="6">
        <f>IF(I2411=1,0.99,0)</f>
        <v/>
      </c>
      <c r="D2411" s="5" t="s">
        <v>23</v>
      </c>
      <c r="E2411" s="5" t="s">
        <v>23</v>
      </c>
      <c r="F2411" s="5" t="s">
        <v>23</v>
      </c>
      <c r="G2411" s="6">
        <f>IF(I2411=1,1.0,0)</f>
        <v/>
      </c>
      <c r="H2411" s="5" t="s">
        <v>23</v>
      </c>
      <c r="I2411" s="8">
        <f>IF(OR(LOOKUP(A2411,characters!A:A,characters!B:B)=-1, LOOKUP(A2411,characters!A:A,characters!B:B)+0.1&gt;=B2411),1,0)</f>
        <v/>
      </c>
    </row>
    <row r="2412" spans="1:13">
      <c r="A2412" s="4" t="s">
        <v>95</v>
      </c>
      <c r="B2412" s="7">
        <v>0</v>
      </c>
      <c r="C2412" s="6">
        <f>IF(I2412=1,1.0,0)</f>
        <v/>
      </c>
      <c r="D2412" s="5" t="s">
        <v>23</v>
      </c>
      <c r="E2412" s="5" t="s">
        <v>23</v>
      </c>
      <c r="F2412" s="5" t="s">
        <v>23</v>
      </c>
      <c r="G2412" s="5" t="s">
        <v>23</v>
      </c>
      <c r="H2412" s="5" t="s">
        <v>23</v>
      </c>
      <c r="I2412" s="8">
        <f>IF(OR(LOOKUP(A2412,characters!A:A,characters!B:B)=-1, LOOKUP(A2412,characters!A:A,characters!B:B)+0.1&gt;=B2412),1,0)</f>
        <v/>
      </c>
    </row>
    <row r="2413" spans="1:13">
      <c r="A2413" s="4" t="s">
        <v>42</v>
      </c>
      <c r="B2413" s="7">
        <v>0</v>
      </c>
      <c r="C2413" s="5" t="s">
        <v>23</v>
      </c>
      <c r="D2413" s="6">
        <f>IF(I2413=1,1.0,0)</f>
        <v/>
      </c>
      <c r="E2413" s="6">
        <f>IF(I2413=1,0.9,0)</f>
        <v/>
      </c>
      <c r="F2413" s="5" t="s">
        <v>23</v>
      </c>
      <c r="G2413" s="5" t="s">
        <v>23</v>
      </c>
      <c r="H2413" s="5" t="s">
        <v>23</v>
      </c>
      <c r="I2413" s="8">
        <f>IF(OR(LOOKUP(A2413,characters!A:A,characters!B:B)=-1, LOOKUP(A2413,characters!A:A,characters!B:B)+0.1&gt;=B2413),1,0)</f>
        <v/>
      </c>
    </row>
    <row r="2414" spans="1:13">
      <c r="A2414" s="4" t="s">
        <v>46</v>
      </c>
      <c r="B2414" s="7">
        <v>0</v>
      </c>
      <c r="C2414" s="5" t="s">
        <v>23</v>
      </c>
      <c r="D2414" s="6">
        <f>IF(I2414=1,1.0,0)</f>
        <v/>
      </c>
      <c r="E2414" s="6">
        <f>IF(I2414=1,0.9,0)</f>
        <v/>
      </c>
      <c r="F2414" s="5" t="s">
        <v>23</v>
      </c>
      <c r="G2414" s="5" t="s">
        <v>23</v>
      </c>
      <c r="H2414" s="5" t="s">
        <v>23</v>
      </c>
      <c r="I2414" s="8">
        <f>IF(OR(LOOKUP(A2414,characters!A:A,characters!B:B)=-1, LOOKUP(A2414,characters!A:A,characters!B:B)+0.1&gt;=B2414),1,0)</f>
        <v/>
      </c>
    </row>
    <row r="2415" spans="1:13">
      <c r="A2415" s="4" t="s">
        <v>113</v>
      </c>
      <c r="B2415" s="7">
        <v>0</v>
      </c>
      <c r="C2415" s="6">
        <f>IF(I2415=1,1.0,0)</f>
        <v/>
      </c>
      <c r="D2415" s="5" t="s">
        <v>23</v>
      </c>
      <c r="E2415" s="5" t="s">
        <v>23</v>
      </c>
      <c r="F2415" s="5" t="s">
        <v>23</v>
      </c>
      <c r="G2415" s="5" t="s">
        <v>23</v>
      </c>
      <c r="H2415" s="6">
        <f>IF(I2415=1,0.9,0)</f>
        <v/>
      </c>
      <c r="I2415" s="8">
        <f>IF(OR(LOOKUP(A2415,characters!A:A,characters!B:B)=-1, LOOKUP(A2415,characters!A:A,characters!B:B)+0.1&gt;=B2415),1,0)</f>
        <v/>
      </c>
    </row>
    <row r="2417" spans="1:6">
      <c r="A2417" s="3" t="s">
        <v>65</v>
      </c>
      <c r="B2417" s="3" t="s">
        <v>9</v>
      </c>
      <c r="C2417" s="3" t="s">
        <v>18</v>
      </c>
      <c r="D2417" s="3" t="s">
        <v>66</v>
      </c>
      <c r="E2417" s="3" t="s">
        <v>17</v>
      </c>
    </row>
    <row r="2418" spans="1:6">
      <c r="A2418" s="4" t="s">
        <v>22</v>
      </c>
      <c r="B2418" s="5" t="s">
        <v>23</v>
      </c>
      <c r="C2418" s="6">
        <f>IF(SUM(F2419:F2428)=0,0,SUM(C2419:C2428)/SUM(F2419:F2428))</f>
        <v/>
      </c>
      <c r="D2418" s="6">
        <f>IF(SUM(F2419:F2428)=0,0,SUM(D2419:D2428)/SUM(F2419:F2428))</f>
        <v/>
      </c>
      <c r="E2418" s="6">
        <f>IF(SUM(F2419:F2428)=0,0,SUM(E2419:E2428)/SUM(F2419:F2428))</f>
        <v/>
      </c>
    </row>
    <row r="2419" spans="1:6">
      <c r="A2419" s="4" t="s">
        <v>94</v>
      </c>
      <c r="B2419" s="7">
        <v>0</v>
      </c>
      <c r="C2419" s="6">
        <f>IF(F2419=1,1.0,0)</f>
        <v/>
      </c>
      <c r="D2419" s="5" t="s">
        <v>23</v>
      </c>
      <c r="E2419" s="5" t="s">
        <v>23</v>
      </c>
      <c r="F2419" s="8">
        <f>IF(OR(LOOKUP(A2419,characters!A:A,characters!B:B)=-1, LOOKUP(A2419,characters!A:A,characters!B:B)+0.1&gt;=B2419),1,0)</f>
        <v/>
      </c>
    </row>
    <row r="2420" spans="1:6">
      <c r="A2420" s="4" t="s">
        <v>119</v>
      </c>
      <c r="B2420" s="7">
        <v>1</v>
      </c>
      <c r="C2420" s="6">
        <f>IF(F2420=1,1.0,0)</f>
        <v/>
      </c>
      <c r="D2420" s="5" t="s">
        <v>23</v>
      </c>
      <c r="E2420" s="5" t="s">
        <v>23</v>
      </c>
      <c r="F2420" s="8">
        <f>IF(OR(LOOKUP(A2420,characters!A:A,characters!B:B)=-1, LOOKUP(A2420,characters!A:A,characters!B:B)+0.1&gt;=B2420),1,0)</f>
        <v/>
      </c>
    </row>
    <row r="2421" spans="1:6">
      <c r="A2421" s="4" t="s">
        <v>29</v>
      </c>
      <c r="B2421" s="7">
        <v>1</v>
      </c>
      <c r="C2421" s="5" t="s">
        <v>23</v>
      </c>
      <c r="D2421" s="6">
        <f>IF(F2421=1,1.0,0)</f>
        <v/>
      </c>
      <c r="E2421" s="5" t="s">
        <v>23</v>
      </c>
      <c r="F2421" s="8">
        <f>IF(OR(LOOKUP(A2421,characters!A:A,characters!B:B)=-1, LOOKUP(A2421,characters!A:A,characters!B:B)+0.1&gt;=B2421),1,0)</f>
        <v/>
      </c>
    </row>
    <row r="2422" spans="1:6">
      <c r="A2422" s="4" t="s">
        <v>35</v>
      </c>
      <c r="B2422" s="7">
        <v>1</v>
      </c>
      <c r="C2422" s="6">
        <f>IF(F2422=1,1.0,0)</f>
        <v/>
      </c>
      <c r="D2422" s="6">
        <f>IF(F2422=1,1.0,0)</f>
        <v/>
      </c>
      <c r="E2422" s="5" t="s">
        <v>23</v>
      </c>
      <c r="F2422" s="8">
        <f>IF(OR(LOOKUP(A2422,characters!A:A,characters!B:B)=-1, LOOKUP(A2422,characters!A:A,characters!B:B)+0.1&gt;=B2422),1,0)</f>
        <v/>
      </c>
    </row>
    <row r="2423" spans="1:6">
      <c r="A2423" s="4" t="s">
        <v>76</v>
      </c>
      <c r="B2423" s="7">
        <v>0</v>
      </c>
      <c r="C2423" s="6">
        <f>IF(F2423=1,1.0,0)</f>
        <v/>
      </c>
      <c r="D2423" s="5" t="s">
        <v>23</v>
      </c>
      <c r="E2423" s="6">
        <f>IF(F2423=1,0.99,0)</f>
        <v/>
      </c>
      <c r="F2423" s="8">
        <f>IF(OR(LOOKUP(A2423,characters!A:A,characters!B:B)=-1, LOOKUP(A2423,characters!A:A,characters!B:B)+0.1&gt;=B2423),1,0)</f>
        <v/>
      </c>
    </row>
    <row r="2424" spans="1:6">
      <c r="A2424" s="4" t="s">
        <v>110</v>
      </c>
      <c r="B2424" s="7">
        <v>0</v>
      </c>
      <c r="C2424" s="5" t="s">
        <v>23</v>
      </c>
      <c r="D2424" s="5" t="s">
        <v>23</v>
      </c>
      <c r="E2424" s="6">
        <f>IF(F2424=1,1.0,0)</f>
        <v/>
      </c>
      <c r="F2424" s="8">
        <f>IF(OR(LOOKUP(A2424,characters!A:A,characters!B:B)=-1, LOOKUP(A2424,characters!A:A,characters!B:B)+0.1&gt;=B2424),1,0)</f>
        <v/>
      </c>
    </row>
    <row r="2425" spans="1:6">
      <c r="A2425" s="4" t="s">
        <v>95</v>
      </c>
      <c r="B2425" s="7">
        <v>0</v>
      </c>
      <c r="C2425" s="6">
        <f>IF(F2425=1,1.0,0)</f>
        <v/>
      </c>
      <c r="D2425" s="6">
        <f>IF(F2425=1,0.99,0)</f>
        <v/>
      </c>
      <c r="E2425" s="5" t="s">
        <v>23</v>
      </c>
      <c r="F2425" s="8">
        <f>IF(OR(LOOKUP(A2425,characters!A:A,characters!B:B)=-1, LOOKUP(A2425,characters!A:A,characters!B:B)+0.1&gt;=B2425),1,0)</f>
        <v/>
      </c>
    </row>
    <row r="2426" spans="1:6">
      <c r="A2426" s="4" t="s">
        <v>42</v>
      </c>
      <c r="B2426" s="7">
        <v>0</v>
      </c>
      <c r="C2426" s="6">
        <f>IF(F2426=1,0.9,0)</f>
        <v/>
      </c>
      <c r="D2426" s="6">
        <f>IF(F2426=1,1.0,0)</f>
        <v/>
      </c>
      <c r="E2426" s="5" t="s">
        <v>23</v>
      </c>
      <c r="F2426" s="8">
        <f>IF(OR(LOOKUP(A2426,characters!A:A,characters!B:B)=-1, LOOKUP(A2426,characters!A:A,characters!B:B)+0.1&gt;=B2426),1,0)</f>
        <v/>
      </c>
    </row>
    <row r="2427" spans="1:6">
      <c r="A2427" s="4" t="s">
        <v>46</v>
      </c>
      <c r="B2427" s="7">
        <v>0</v>
      </c>
      <c r="C2427" s="6">
        <f>IF(F2427=1,1.0,0)</f>
        <v/>
      </c>
      <c r="D2427" s="6">
        <f>IF(F2427=1,0.9,0)</f>
        <v/>
      </c>
      <c r="E2427" s="5" t="s">
        <v>23</v>
      </c>
      <c r="F2427" s="8">
        <f>IF(OR(LOOKUP(A2427,characters!A:A,characters!B:B)=-1, LOOKUP(A2427,characters!A:A,characters!B:B)+0.1&gt;=B2427),1,0)</f>
        <v/>
      </c>
    </row>
    <row r="2428" spans="1:6">
      <c r="A2428" s="4" t="s">
        <v>113</v>
      </c>
      <c r="B2428" s="7">
        <v>0</v>
      </c>
      <c r="C2428" s="6">
        <f>IF(F2428=1,1.0,0)</f>
        <v/>
      </c>
      <c r="D2428" s="5" t="s">
        <v>23</v>
      </c>
      <c r="E2428" s="5" t="s">
        <v>23</v>
      </c>
      <c r="F2428" s="8">
        <f>IF(OR(LOOKUP(A2428,characters!A:A,characters!B:B)=-1, LOOKUP(A2428,characters!A:A,characters!B:B)+0.1&gt;=B2428),1,0)</f>
        <v/>
      </c>
    </row>
    <row r="2435" spans="1:8">
      <c r="A2435" s="3" t="s">
        <v>162</v>
      </c>
    </row>
    <row r="2436" spans="1:8">
      <c r="A2436" s="3" t="s">
        <v>8</v>
      </c>
      <c r="B2436" s="3" t="s">
        <v>9</v>
      </c>
      <c r="C2436" s="3" t="s">
        <v>10</v>
      </c>
      <c r="D2436" s="3" t="s">
        <v>12</v>
      </c>
      <c r="E2436" s="3" t="s">
        <v>11</v>
      </c>
      <c r="F2436" s="3" t="s">
        <v>13</v>
      </c>
      <c r="G2436" s="3" t="s">
        <v>16</v>
      </c>
    </row>
    <row r="2437" spans="1:8">
      <c r="A2437" s="4" t="s">
        <v>22</v>
      </c>
      <c r="B2437" s="5" t="s">
        <v>23</v>
      </c>
      <c r="C2437" s="6">
        <f>IF(SUM(H2438:H2441)=0,0,SUM(C2438:C2441)/SUM(H2438:H2441))</f>
        <v/>
      </c>
      <c r="D2437" s="6">
        <f>IF(SUM(H2438:H2441)=0,0,SUM(D2438:D2441)/SUM(H2438:H2441))</f>
        <v/>
      </c>
      <c r="E2437" s="6">
        <f>IF(SUM(H2438:H2441)=0,0,SUM(E2438:E2441)/SUM(H2438:H2441))</f>
        <v/>
      </c>
      <c r="F2437" s="6">
        <f>IF(SUM(H2438:H2441)=0,0,SUM(F2438:F2441)/SUM(H2438:H2441))</f>
        <v/>
      </c>
      <c r="G2437" s="6">
        <f>IF(SUM(H2438:H2441)=0,0,SUM(G2438:G2441)/SUM(H2438:H2441))</f>
        <v/>
      </c>
    </row>
    <row r="2438" spans="1:8">
      <c r="A2438" s="4" t="s">
        <v>38</v>
      </c>
      <c r="B2438" s="7">
        <v>1</v>
      </c>
      <c r="C2438" s="6">
        <f>IF(H2438=1,1.0,0)</f>
        <v/>
      </c>
      <c r="D2438" s="6">
        <f>IF(H2438=1,0.9,0)</f>
        <v/>
      </c>
      <c r="E2438" s="6">
        <f>IF(H2438=1,0.8,0)</f>
        <v/>
      </c>
      <c r="F2438" s="6">
        <f>IF(H2438=1,0.8,0)</f>
        <v/>
      </c>
      <c r="G2438" s="6">
        <f>IF(H2438=1,1.0,0)</f>
        <v/>
      </c>
      <c r="H2438" s="8">
        <f>IF(OR(LOOKUP(A2438,characters!A:A,characters!B:B)=-1, LOOKUP(A2438,characters!A:A,characters!B:B)+0.1&gt;=B2438),1,0)</f>
        <v/>
      </c>
    </row>
    <row r="2439" spans="1:8">
      <c r="A2439" s="4" t="s">
        <v>28</v>
      </c>
      <c r="B2439" s="7">
        <v>2</v>
      </c>
      <c r="C2439" s="6">
        <f>IF(H2439=1,1.0,0)</f>
        <v/>
      </c>
      <c r="D2439" s="6">
        <f>IF(H2439=1,0.99,0)</f>
        <v/>
      </c>
      <c r="E2439" s="6">
        <f>IF(H2439=1,0.89,0)</f>
        <v/>
      </c>
      <c r="F2439" s="6">
        <f>IF(H2439=1,1.0,0)</f>
        <v/>
      </c>
      <c r="G2439" s="5" t="s">
        <v>23</v>
      </c>
      <c r="H2439" s="8">
        <f>IF(OR(LOOKUP(A2439,characters!A:A,characters!B:B)=-1, LOOKUP(A2439,characters!A:A,characters!B:B)+0.1&gt;=B2439),1,0)</f>
        <v/>
      </c>
    </row>
    <row r="2440" spans="1:8">
      <c r="A2440" s="4" t="s">
        <v>47</v>
      </c>
      <c r="B2440" s="7">
        <v>2</v>
      </c>
      <c r="C2440" s="6">
        <f>IF(H2440=1,0.9,0)</f>
        <v/>
      </c>
      <c r="D2440" s="6">
        <f>IF(H2440=1,0.8,0)</f>
        <v/>
      </c>
      <c r="E2440" s="6">
        <f>IF(H2440=1,1.0,0)</f>
        <v/>
      </c>
      <c r="F2440" s="6">
        <f>IF(H2440=1,0.7,0)</f>
        <v/>
      </c>
      <c r="G2440" s="6">
        <f>IF(H2440=1,0.6,0)</f>
        <v/>
      </c>
      <c r="H2440" s="8">
        <f>IF(OR(LOOKUP(A2440,characters!A:A,characters!B:B)=-1, LOOKUP(A2440,characters!A:A,characters!B:B)+0.1&gt;=B2440),1,0)</f>
        <v/>
      </c>
    </row>
    <row r="2441" spans="1:8">
      <c r="A2441" s="4" t="s">
        <v>30</v>
      </c>
      <c r="B2441" s="7">
        <v>3</v>
      </c>
      <c r="C2441" s="6">
        <f>IF(H2441=1,1.0,0)</f>
        <v/>
      </c>
      <c r="D2441" s="6">
        <f>IF(H2441=1,1.0,0)</f>
        <v/>
      </c>
      <c r="E2441" s="6">
        <f>IF(H2441=1,0.9,0)</f>
        <v/>
      </c>
      <c r="F2441" s="6">
        <f>IF(H2441=1,0.9,0)</f>
        <v/>
      </c>
      <c r="G2441" s="5" t="s">
        <v>23</v>
      </c>
      <c r="H2441" s="8">
        <f>IF(OR(LOOKUP(A2441,characters!A:A,characters!B:B)=-1, LOOKUP(A2441,characters!A:A,characters!B:B)+0.1&gt;=B2441),1,0)</f>
        <v/>
      </c>
    </row>
    <row r="2443" spans="1:8">
      <c r="A2443" s="3" t="s">
        <v>49</v>
      </c>
      <c r="B2443" s="3" t="s">
        <v>9</v>
      </c>
      <c r="C2443" s="3" t="s">
        <v>13</v>
      </c>
      <c r="D2443" s="3" t="s">
        <v>12</v>
      </c>
      <c r="E2443" s="3" t="s">
        <v>16</v>
      </c>
    </row>
    <row r="2444" spans="1:8">
      <c r="A2444" s="4" t="s">
        <v>22</v>
      </c>
      <c r="B2444" s="5" t="s">
        <v>23</v>
      </c>
      <c r="C2444" s="6">
        <f>IF(SUM(F2445:F2448)=0,0,SUM(C2445:C2448)/SUM(F2445:F2448))</f>
        <v/>
      </c>
      <c r="D2444" s="6">
        <f>IF(SUM(F2445:F2448)=0,0,SUM(D2445:D2448)/SUM(F2445:F2448))</f>
        <v/>
      </c>
      <c r="E2444" s="6">
        <f>IF(SUM(F2445:F2448)=0,0,SUM(E2445:E2448)/SUM(F2445:F2448))</f>
        <v/>
      </c>
    </row>
    <row r="2445" spans="1:8">
      <c r="A2445" s="4" t="s">
        <v>28</v>
      </c>
      <c r="B2445" s="7">
        <v>2</v>
      </c>
      <c r="C2445" s="6">
        <f>IF(F2445=1,1.0,0)</f>
        <v/>
      </c>
      <c r="D2445" s="6">
        <f>IF(F2445=1,0.9,0)</f>
        <v/>
      </c>
      <c r="E2445" s="5" t="s">
        <v>23</v>
      </c>
      <c r="F2445" s="8">
        <f>IF(OR(LOOKUP(A2445,characters!A:A,characters!B:B)=-1, LOOKUP(A2445,characters!A:A,characters!B:B)+0.1&gt;=B2445),1,0)</f>
        <v/>
      </c>
    </row>
    <row r="2446" spans="1:8">
      <c r="A2446" s="4" t="s">
        <v>30</v>
      </c>
      <c r="B2446" s="7">
        <v>3</v>
      </c>
      <c r="C2446" s="5" t="s">
        <v>23</v>
      </c>
      <c r="D2446" s="6">
        <f>IF(F2446=1,1.0,0)</f>
        <v/>
      </c>
      <c r="E2446" s="5" t="s">
        <v>23</v>
      </c>
      <c r="F2446" s="8">
        <f>IF(OR(LOOKUP(A2446,characters!A:A,characters!B:B)=-1, LOOKUP(A2446,characters!A:A,characters!B:B)+0.1&gt;=B2446),1,0)</f>
        <v/>
      </c>
    </row>
    <row r="2447" spans="1:8">
      <c r="A2447" s="4" t="s">
        <v>38</v>
      </c>
      <c r="B2447" s="7">
        <v>1</v>
      </c>
      <c r="C2447" s="5" t="s">
        <v>23</v>
      </c>
      <c r="D2447" s="6">
        <f>IF(F2447=1,0.99,0)</f>
        <v/>
      </c>
      <c r="E2447" s="6">
        <f>IF(F2447=1,1.0,0)</f>
        <v/>
      </c>
      <c r="F2447" s="8">
        <f>IF(OR(LOOKUP(A2447,characters!A:A,characters!B:B)=-1, LOOKUP(A2447,characters!A:A,characters!B:B)+0.1&gt;=B2447),1,0)</f>
        <v/>
      </c>
    </row>
    <row r="2448" spans="1:8">
      <c r="A2448" s="4" t="s">
        <v>47</v>
      </c>
      <c r="B2448" s="7">
        <v>2</v>
      </c>
      <c r="C2448" s="5" t="s">
        <v>23</v>
      </c>
      <c r="D2448" s="6">
        <f>IF(F2448=1,1.0,0)</f>
        <v/>
      </c>
      <c r="E2448" s="5" t="s">
        <v>23</v>
      </c>
      <c r="F2448" s="8">
        <f>IF(OR(LOOKUP(A2448,characters!A:A,characters!B:B)=-1, LOOKUP(A2448,characters!A:A,characters!B:B)+0.1&gt;=B2448),1,0)</f>
        <v/>
      </c>
    </row>
    <row r="2450" spans="1:7">
      <c r="A2450" s="3" t="s">
        <v>52</v>
      </c>
      <c r="B2450" s="3" t="s">
        <v>9</v>
      </c>
      <c r="C2450" s="3" t="s">
        <v>10</v>
      </c>
      <c r="D2450" s="3" t="s">
        <v>13</v>
      </c>
      <c r="E2450" s="3" t="s">
        <v>12</v>
      </c>
    </row>
    <row r="2451" spans="1:7">
      <c r="A2451" s="4" t="s">
        <v>22</v>
      </c>
      <c r="B2451" s="5" t="s">
        <v>23</v>
      </c>
      <c r="C2451" s="6">
        <f>IF(SUM(F2452:F2455)=0,0,SUM(C2452:C2455)/SUM(F2452:F2455))</f>
        <v/>
      </c>
      <c r="D2451" s="6">
        <f>IF(SUM(F2452:F2455)=0,0,SUM(D2452:D2455)/SUM(F2452:F2455))</f>
        <v/>
      </c>
      <c r="E2451" s="6">
        <f>IF(SUM(F2452:F2455)=0,0,SUM(E2452:E2455)/SUM(F2452:F2455))</f>
        <v/>
      </c>
    </row>
    <row r="2452" spans="1:7">
      <c r="A2452" s="4" t="s">
        <v>28</v>
      </c>
      <c r="B2452" s="7">
        <v>2</v>
      </c>
      <c r="C2452" s="6">
        <f>IF(F2452=1,1.0,0)</f>
        <v/>
      </c>
      <c r="D2452" s="6">
        <f>IF(F2452=1,0.9,0)</f>
        <v/>
      </c>
      <c r="E2452" s="5" t="s">
        <v>23</v>
      </c>
      <c r="F2452" s="8">
        <f>IF(OR(LOOKUP(A2452,characters!A:A,characters!B:B)=-1, LOOKUP(A2452,characters!A:A,characters!B:B)+0.1&gt;=B2452),1,0)</f>
        <v/>
      </c>
    </row>
    <row r="2453" spans="1:7">
      <c r="A2453" s="4" t="s">
        <v>30</v>
      </c>
      <c r="B2453" s="7">
        <v>3</v>
      </c>
      <c r="C2453" s="6">
        <f>IF(F2453=1,1.0,0)</f>
        <v/>
      </c>
      <c r="D2453" s="5" t="s">
        <v>23</v>
      </c>
      <c r="E2453" s="5" t="s">
        <v>23</v>
      </c>
      <c r="F2453" s="8">
        <f>IF(OR(LOOKUP(A2453,characters!A:A,characters!B:B)=-1, LOOKUP(A2453,characters!A:A,characters!B:B)+0.1&gt;=B2453),1,0)</f>
        <v/>
      </c>
    </row>
    <row r="2454" spans="1:7">
      <c r="A2454" s="4" t="s">
        <v>38</v>
      </c>
      <c r="B2454" s="7">
        <v>1</v>
      </c>
      <c r="C2454" s="6">
        <f>IF(F2454=1,1.0,0)</f>
        <v/>
      </c>
      <c r="D2454" s="5" t="s">
        <v>23</v>
      </c>
      <c r="E2454" s="5" t="s">
        <v>23</v>
      </c>
      <c r="F2454" s="8">
        <f>IF(OR(LOOKUP(A2454,characters!A:A,characters!B:B)=-1, LOOKUP(A2454,characters!A:A,characters!B:B)+0.1&gt;=B2454),1,0)</f>
        <v/>
      </c>
    </row>
    <row r="2455" spans="1:7">
      <c r="A2455" s="4" t="s">
        <v>47</v>
      </c>
      <c r="B2455" s="7">
        <v>2</v>
      </c>
      <c r="C2455" s="6">
        <f>IF(F2455=1,1.0,0)</f>
        <v/>
      </c>
      <c r="D2455" s="5" t="s">
        <v>23</v>
      </c>
      <c r="E2455" s="6">
        <f>IF(F2455=1,0.99,0)</f>
        <v/>
      </c>
      <c r="F2455" s="8">
        <f>IF(OR(LOOKUP(A2455,characters!A:A,characters!B:B)=-1, LOOKUP(A2455,characters!A:A,characters!B:B)+0.1&gt;=B2455),1,0)</f>
        <v/>
      </c>
    </row>
    <row r="2462" spans="1:7">
      <c r="A2462" s="3" t="s">
        <v>163</v>
      </c>
    </row>
    <row r="2463" spans="1:7">
      <c r="A2463" s="3" t="s">
        <v>8</v>
      </c>
      <c r="B2463" s="3" t="s">
        <v>9</v>
      </c>
      <c r="C2463" s="3" t="s">
        <v>21</v>
      </c>
      <c r="D2463" s="3" t="s">
        <v>19</v>
      </c>
      <c r="E2463" s="3" t="s">
        <v>10</v>
      </c>
      <c r="F2463" s="3" t="s">
        <v>17</v>
      </c>
      <c r="G2463" s="3" t="s">
        <v>18</v>
      </c>
    </row>
    <row r="2464" spans="1:7">
      <c r="A2464" s="4" t="s">
        <v>22</v>
      </c>
      <c r="B2464" s="5" t="s">
        <v>23</v>
      </c>
      <c r="C2464" s="6">
        <f>IF(SUM(H2465:H2475)=0,0,SUM(C2465:C2475)/SUM(H2465:H2475))</f>
        <v/>
      </c>
      <c r="D2464" s="6">
        <f>IF(SUM(H2465:H2475)=0,0,SUM(D2465:D2475)/SUM(H2465:H2475))</f>
        <v/>
      </c>
      <c r="E2464" s="6">
        <f>IF(SUM(H2465:H2475)=0,0,SUM(E2465:E2475)/SUM(H2465:H2475))</f>
        <v/>
      </c>
      <c r="F2464" s="6">
        <f>IF(SUM(H2465:H2475)=0,0,SUM(F2465:F2475)/SUM(H2465:H2475))</f>
        <v/>
      </c>
      <c r="G2464" s="6">
        <f>IF(SUM(H2465:H2475)=0,0,SUM(G2465:G2475)/SUM(H2465:H2475))</f>
        <v/>
      </c>
    </row>
    <row r="2465" spans="1:8">
      <c r="A2465" s="4" t="s">
        <v>112</v>
      </c>
      <c r="B2465" s="7">
        <v>0</v>
      </c>
      <c r="C2465" s="6">
        <f>IF(H2465=1,1.0,0)</f>
        <v/>
      </c>
      <c r="D2465" s="6">
        <f>IF(H2465=1,1.0,0)</f>
        <v/>
      </c>
      <c r="E2465" s="6">
        <f>IF(H2465=1,1.0,0)</f>
        <v/>
      </c>
      <c r="F2465" s="6">
        <f>IF(H2465=1,0.9,0)</f>
        <v/>
      </c>
      <c r="G2465" s="5" t="s">
        <v>23</v>
      </c>
      <c r="H2465" s="8">
        <f>IF(OR(LOOKUP(A2465,characters!A:A,characters!B:B)=-1, LOOKUP(A2465,characters!A:A,characters!B:B)+0.1&gt;=B2465),1,0)</f>
        <v/>
      </c>
    </row>
    <row r="2466" spans="1:8">
      <c r="A2466" s="4" t="s">
        <v>100</v>
      </c>
      <c r="B2466" s="7">
        <v>0</v>
      </c>
      <c r="C2466" s="6">
        <f>IF(H2466=1,1.0,0)</f>
        <v/>
      </c>
      <c r="D2466" s="6">
        <f>IF(H2466=1,1.0,0)</f>
        <v/>
      </c>
      <c r="E2466" s="6">
        <f>IF(H2466=1,1.0,0)</f>
        <v/>
      </c>
      <c r="F2466" s="6">
        <f>IF(H2466=1,0.9,0)</f>
        <v/>
      </c>
      <c r="G2466" s="5" t="s">
        <v>23</v>
      </c>
      <c r="H2466" s="8">
        <f>IF(OR(LOOKUP(A2466,characters!A:A,characters!B:B)=-1, LOOKUP(A2466,characters!A:A,characters!B:B)+0.1&gt;=B2466),1,0)</f>
        <v/>
      </c>
    </row>
    <row r="2467" spans="1:8">
      <c r="A2467" s="4" t="s">
        <v>58</v>
      </c>
      <c r="B2467" s="7">
        <v>0</v>
      </c>
      <c r="C2467" s="6">
        <f>IF(H2467=1,1.0,0)</f>
        <v/>
      </c>
      <c r="D2467" s="6">
        <f>IF(H2467=1,1.0,0)</f>
        <v/>
      </c>
      <c r="E2467" s="6">
        <f>IF(H2467=1,0.8,0)</f>
        <v/>
      </c>
      <c r="F2467" s="6">
        <f>IF(H2467=1,0.9,0)</f>
        <v/>
      </c>
      <c r="G2467" s="5" t="s">
        <v>23</v>
      </c>
      <c r="H2467" s="8">
        <f>IF(OR(LOOKUP(A2467,characters!A:A,characters!B:B)=-1, LOOKUP(A2467,characters!A:A,characters!B:B)+0.1&gt;=B2467),1,0)</f>
        <v/>
      </c>
    </row>
    <row r="2468" spans="1:8">
      <c r="A2468" s="4" t="s">
        <v>84</v>
      </c>
      <c r="B2468" s="7">
        <v>0</v>
      </c>
      <c r="C2468" s="6">
        <f>IF(H2468=1,0.9,0)</f>
        <v/>
      </c>
      <c r="D2468" s="6">
        <f>IF(H2468=1,0.9,0)</f>
        <v/>
      </c>
      <c r="E2468" s="6">
        <f>IF(H2468=1,1.0,0)</f>
        <v/>
      </c>
      <c r="F2468" s="6">
        <f>IF(H2468=1,0.8,0)</f>
        <v/>
      </c>
      <c r="G2468" s="5" t="s">
        <v>23</v>
      </c>
      <c r="H2468" s="8">
        <f>IF(OR(LOOKUP(A2468,characters!A:A,characters!B:B)=-1, LOOKUP(A2468,characters!A:A,characters!B:B)+0.1&gt;=B2468),1,0)</f>
        <v/>
      </c>
    </row>
    <row r="2469" spans="1:8">
      <c r="A2469" s="4" t="s">
        <v>82</v>
      </c>
      <c r="B2469" s="7">
        <v>1</v>
      </c>
      <c r="C2469" s="6">
        <f>IF(H2469=1,1.0,0)</f>
        <v/>
      </c>
      <c r="D2469" s="6">
        <f>IF(H2469=1,1.0,0)</f>
        <v/>
      </c>
      <c r="E2469" s="6">
        <f>IF(H2469=1,1.0,0)</f>
        <v/>
      </c>
      <c r="F2469" s="6">
        <f>IF(H2469=1,0.9,0)</f>
        <v/>
      </c>
      <c r="G2469" s="5" t="s">
        <v>23</v>
      </c>
      <c r="H2469" s="8">
        <f>IF(OR(LOOKUP(A2469,characters!A:A,characters!B:B)=-1, LOOKUP(A2469,characters!A:A,characters!B:B)+0.1&gt;=B2469),1,0)</f>
        <v/>
      </c>
    </row>
    <row r="2470" spans="1:8">
      <c r="A2470" s="4" t="s">
        <v>86</v>
      </c>
      <c r="B2470" s="7">
        <v>1</v>
      </c>
      <c r="C2470" s="6">
        <f>IF(H2470=1,1.0,0)</f>
        <v/>
      </c>
      <c r="D2470" s="6">
        <f>IF(H2470=1,0.99,0)</f>
        <v/>
      </c>
      <c r="E2470" s="6">
        <f>IF(H2470=1,0.79,0)</f>
        <v/>
      </c>
      <c r="F2470" s="6">
        <f>IF(H2470=1,0.89,0)</f>
        <v/>
      </c>
      <c r="G2470" s="5" t="s">
        <v>23</v>
      </c>
      <c r="H2470" s="8">
        <f>IF(OR(LOOKUP(A2470,characters!A:A,characters!B:B)=-1, LOOKUP(A2470,characters!A:A,characters!B:B)+0.1&gt;=B2470),1,0)</f>
        <v/>
      </c>
    </row>
    <row r="2471" spans="1:8">
      <c r="A2471" s="4" t="s">
        <v>83</v>
      </c>
      <c r="B2471" s="7">
        <v>1</v>
      </c>
      <c r="C2471" s="6">
        <f>IF(H2471=1,1.0,0)</f>
        <v/>
      </c>
      <c r="D2471" s="6">
        <f>IF(H2471=1,0.99,0)</f>
        <v/>
      </c>
      <c r="E2471" s="6">
        <f>IF(H2471=1,1.0,0)</f>
        <v/>
      </c>
      <c r="F2471" s="6">
        <f>IF(H2471=1,0.89,0)</f>
        <v/>
      </c>
      <c r="G2471" s="5" t="s">
        <v>23</v>
      </c>
      <c r="H2471" s="8">
        <f>IF(OR(LOOKUP(A2471,characters!A:A,characters!B:B)=-1, LOOKUP(A2471,characters!A:A,characters!B:B)+0.1&gt;=B2471),1,0)</f>
        <v/>
      </c>
    </row>
    <row r="2472" spans="1:8">
      <c r="A2472" s="4" t="s">
        <v>85</v>
      </c>
      <c r="B2472" s="7">
        <v>1</v>
      </c>
      <c r="C2472" s="6">
        <f>IF(H2472=1,1.0,0)</f>
        <v/>
      </c>
      <c r="D2472" s="6">
        <f>IF(H2472=1,1.0,0)</f>
        <v/>
      </c>
      <c r="E2472" s="5" t="s">
        <v>23</v>
      </c>
      <c r="F2472" s="6">
        <f>IF(H2472=1,0.9,0)</f>
        <v/>
      </c>
      <c r="G2472" s="5" t="s">
        <v>23</v>
      </c>
      <c r="H2472" s="8">
        <f>IF(OR(LOOKUP(A2472,characters!A:A,characters!B:B)=-1, LOOKUP(A2472,characters!A:A,characters!B:B)+0.1&gt;=B2472),1,0)</f>
        <v/>
      </c>
    </row>
    <row r="2473" spans="1:8">
      <c r="A2473" s="4" t="s">
        <v>72</v>
      </c>
      <c r="B2473" s="7">
        <v>2</v>
      </c>
      <c r="C2473" s="6">
        <f>IF(H2473=1,1.0,0)</f>
        <v/>
      </c>
      <c r="D2473" s="6">
        <f>IF(H2473=1,1.0,0)</f>
        <v/>
      </c>
      <c r="E2473" s="6">
        <f>IF(H2473=1,1.0,0)</f>
        <v/>
      </c>
      <c r="F2473" s="6">
        <f>IF(H2473=1,0.9,0)</f>
        <v/>
      </c>
      <c r="G2473" s="5" t="s">
        <v>23</v>
      </c>
      <c r="H2473" s="8">
        <f>IF(OR(LOOKUP(A2473,characters!A:A,characters!B:B)=-1, LOOKUP(A2473,characters!A:A,characters!B:B)+0.1&gt;=B2473),1,0)</f>
        <v/>
      </c>
    </row>
    <row r="2474" spans="1:8">
      <c r="A2474" s="4" t="s">
        <v>81</v>
      </c>
      <c r="B2474" s="7">
        <v>2</v>
      </c>
      <c r="C2474" s="6">
        <f>IF(H2474=1,0.9,0)</f>
        <v/>
      </c>
      <c r="D2474" s="6">
        <f>IF(H2474=1,0.9,0)</f>
        <v/>
      </c>
      <c r="E2474" s="6">
        <f>IF(H2474=1,1.0,0)</f>
        <v/>
      </c>
      <c r="F2474" s="6">
        <f>IF(H2474=1,0.8,0)</f>
        <v/>
      </c>
      <c r="G2474" s="5" t="s">
        <v>23</v>
      </c>
      <c r="H2474" s="8">
        <f>IF(OR(LOOKUP(A2474,characters!A:A,characters!B:B)=-1, LOOKUP(A2474,characters!A:A,characters!B:B)+0.1&gt;=B2474),1,0)</f>
        <v/>
      </c>
    </row>
    <row r="2475" spans="1:8">
      <c r="A2475" s="4" t="s">
        <v>113</v>
      </c>
      <c r="B2475" s="7">
        <v>3</v>
      </c>
      <c r="C2475" s="6">
        <f>IF(H2475=1,0.89,0)</f>
        <v/>
      </c>
      <c r="D2475" s="6">
        <f>IF(H2475=1,0.89,0)</f>
        <v/>
      </c>
      <c r="E2475" s="6">
        <f>IF(H2475=1,1.0,0)</f>
        <v/>
      </c>
      <c r="F2475" s="6">
        <f>IF(H2475=1,0.79,0)</f>
        <v/>
      </c>
      <c r="G2475" s="6">
        <f>IF(H2475=1,0.9,0)</f>
        <v/>
      </c>
      <c r="H2475" s="8">
        <f>IF(OR(LOOKUP(A2475,characters!A:A,characters!B:B)=-1, LOOKUP(A2475,characters!A:A,characters!B:B)+0.1&gt;=B2475),1,0)</f>
        <v/>
      </c>
    </row>
    <row r="2477" spans="1:8">
      <c r="A2477" s="3" t="s">
        <v>49</v>
      </c>
      <c r="B2477" s="3" t="s">
        <v>9</v>
      </c>
      <c r="C2477" s="3" t="s">
        <v>21</v>
      </c>
      <c r="D2477" s="3" t="s">
        <v>19</v>
      </c>
    </row>
    <row r="2478" spans="1:8">
      <c r="A2478" s="4" t="s">
        <v>22</v>
      </c>
      <c r="B2478" s="5" t="s">
        <v>23</v>
      </c>
      <c r="C2478" s="6">
        <f>IF(SUM(E2479:E2489)=0,0,SUM(C2479:C2489)/SUM(E2479:E2489))</f>
        <v/>
      </c>
      <c r="D2478" s="6">
        <f>IF(SUM(E2479:E2489)=0,0,SUM(D2479:D2489)/SUM(E2479:E2489))</f>
        <v/>
      </c>
    </row>
    <row r="2479" spans="1:8">
      <c r="A2479" s="4" t="s">
        <v>72</v>
      </c>
      <c r="B2479" s="7">
        <v>2</v>
      </c>
      <c r="C2479" s="6">
        <f>IF(E2479=1,1.0,0)</f>
        <v/>
      </c>
      <c r="D2479" s="6">
        <f>IF(E2479=1,0.99,0)</f>
        <v/>
      </c>
      <c r="E2479" s="8">
        <f>IF(OR(LOOKUP(A2479,characters!A:A,characters!B:B)=-1, LOOKUP(A2479,characters!A:A,characters!B:B)+0.1&gt;=B2479),1,0)</f>
        <v/>
      </c>
    </row>
    <row r="2480" spans="1:8">
      <c r="A2480" s="4" t="s">
        <v>81</v>
      </c>
      <c r="B2480" s="7">
        <v>2</v>
      </c>
      <c r="C2480" s="6">
        <f>IF(E2480=1,1.0,0)</f>
        <v/>
      </c>
      <c r="D2480" s="6">
        <f>IF(E2480=1,0.99,0)</f>
        <v/>
      </c>
      <c r="E2480" s="8">
        <f>IF(OR(LOOKUP(A2480,characters!A:A,characters!B:B)=-1, LOOKUP(A2480,characters!A:A,characters!B:B)+0.1&gt;=B2480),1,0)</f>
        <v/>
      </c>
    </row>
    <row r="2481" spans="1:5">
      <c r="A2481" s="4" t="s">
        <v>82</v>
      </c>
      <c r="B2481" s="7">
        <v>1</v>
      </c>
      <c r="C2481" s="6">
        <f>IF(E2481=1,1.0,0)</f>
        <v/>
      </c>
      <c r="D2481" s="6">
        <f>IF(E2481=1,0.99,0)</f>
        <v/>
      </c>
      <c r="E2481" s="8">
        <f>IF(OR(LOOKUP(A2481,characters!A:A,characters!B:B)=-1, LOOKUP(A2481,characters!A:A,characters!B:B)+0.1&gt;=B2481),1,0)</f>
        <v/>
      </c>
    </row>
    <row r="2482" spans="1:5">
      <c r="A2482" s="4" t="s">
        <v>112</v>
      </c>
      <c r="B2482" s="7">
        <v>0</v>
      </c>
      <c r="C2482" s="6">
        <f>IF(E2482=1,1.0,0)</f>
        <v/>
      </c>
      <c r="D2482" s="6">
        <f>IF(E2482=1,0.99,0)</f>
        <v/>
      </c>
      <c r="E2482" s="8">
        <f>IF(OR(LOOKUP(A2482,characters!A:A,characters!B:B)=-1, LOOKUP(A2482,characters!A:A,characters!B:B)+0.1&gt;=B2482),1,0)</f>
        <v/>
      </c>
    </row>
    <row r="2483" spans="1:5">
      <c r="A2483" s="4" t="s">
        <v>100</v>
      </c>
      <c r="B2483" s="7">
        <v>0</v>
      </c>
      <c r="C2483" s="6">
        <f>IF(E2483=1,1.0,0)</f>
        <v/>
      </c>
      <c r="D2483" s="6">
        <f>IF(E2483=1,0.99,0)</f>
        <v/>
      </c>
      <c r="E2483" s="8">
        <f>IF(OR(LOOKUP(A2483,characters!A:A,characters!B:B)=-1, LOOKUP(A2483,characters!A:A,characters!B:B)+0.1&gt;=B2483),1,0)</f>
        <v/>
      </c>
    </row>
    <row r="2484" spans="1:5">
      <c r="A2484" s="4" t="s">
        <v>86</v>
      </c>
      <c r="B2484" s="7">
        <v>1</v>
      </c>
      <c r="C2484" s="6">
        <f>IF(E2484=1,1.0,0)</f>
        <v/>
      </c>
      <c r="D2484" s="6">
        <f>IF(E2484=1,0.99,0)</f>
        <v/>
      </c>
      <c r="E2484" s="8">
        <f>IF(OR(LOOKUP(A2484,characters!A:A,characters!B:B)=-1, LOOKUP(A2484,characters!A:A,characters!B:B)+0.1&gt;=B2484),1,0)</f>
        <v/>
      </c>
    </row>
    <row r="2485" spans="1:5">
      <c r="A2485" s="4" t="s">
        <v>58</v>
      </c>
      <c r="B2485" s="7">
        <v>0</v>
      </c>
      <c r="C2485" s="6">
        <f>IF(E2485=1,1.0,0)</f>
        <v/>
      </c>
      <c r="D2485" s="6">
        <f>IF(E2485=1,0.99,0)</f>
        <v/>
      </c>
      <c r="E2485" s="8">
        <f>IF(OR(LOOKUP(A2485,characters!A:A,characters!B:B)=-1, LOOKUP(A2485,characters!A:A,characters!B:B)+0.1&gt;=B2485),1,0)</f>
        <v/>
      </c>
    </row>
    <row r="2486" spans="1:5">
      <c r="A2486" s="4" t="s">
        <v>83</v>
      </c>
      <c r="B2486" s="7">
        <v>1</v>
      </c>
      <c r="C2486" s="6">
        <f>IF(E2486=1,1.0,0)</f>
        <v/>
      </c>
      <c r="D2486" s="6">
        <f>IF(E2486=1,0.99,0)</f>
        <v/>
      </c>
      <c r="E2486" s="8">
        <f>IF(OR(LOOKUP(A2486,characters!A:A,characters!B:B)=-1, LOOKUP(A2486,characters!A:A,characters!B:B)+0.1&gt;=B2486),1,0)</f>
        <v/>
      </c>
    </row>
    <row r="2487" spans="1:5">
      <c r="A2487" s="4" t="s">
        <v>84</v>
      </c>
      <c r="B2487" s="7">
        <v>0</v>
      </c>
      <c r="C2487" s="6">
        <f>IF(E2487=1,1.0,0)</f>
        <v/>
      </c>
      <c r="D2487" s="6">
        <f>IF(E2487=1,0.99,0)</f>
        <v/>
      </c>
      <c r="E2487" s="8">
        <f>IF(OR(LOOKUP(A2487,characters!A:A,characters!B:B)=-1, LOOKUP(A2487,characters!A:A,characters!B:B)+0.1&gt;=B2487),1,0)</f>
        <v/>
      </c>
    </row>
    <row r="2488" spans="1:5">
      <c r="A2488" s="4" t="s">
        <v>113</v>
      </c>
      <c r="B2488" s="7">
        <v>3</v>
      </c>
      <c r="C2488" s="6">
        <f>IF(E2488=1,1.0,0)</f>
        <v/>
      </c>
      <c r="D2488" s="6">
        <f>IF(E2488=1,0.99,0)</f>
        <v/>
      </c>
      <c r="E2488" s="8">
        <f>IF(OR(LOOKUP(A2488,characters!A:A,characters!B:B)=-1, LOOKUP(A2488,characters!A:A,characters!B:B)+0.1&gt;=B2488),1,0)</f>
        <v/>
      </c>
    </row>
    <row r="2489" spans="1:5">
      <c r="A2489" s="4" t="s">
        <v>85</v>
      </c>
      <c r="B2489" s="7">
        <v>1</v>
      </c>
      <c r="C2489" s="6">
        <f>IF(E2489=1,1.0,0)</f>
        <v/>
      </c>
      <c r="D2489" s="6">
        <f>IF(E2489=1,0.9,0)</f>
        <v/>
      </c>
      <c r="E2489" s="8">
        <f>IF(OR(LOOKUP(A2489,characters!A:A,characters!B:B)=-1, LOOKUP(A2489,characters!A:A,characters!B:B)+0.1&gt;=B2489),1,0)</f>
        <v/>
      </c>
    </row>
    <row r="2491" spans="1:5">
      <c r="A2491" s="3" t="s">
        <v>52</v>
      </c>
      <c r="B2491" s="3" t="s">
        <v>9</v>
      </c>
      <c r="C2491" s="3" t="s">
        <v>17</v>
      </c>
      <c r="D2491" s="3" t="s">
        <v>10</v>
      </c>
    </row>
    <row r="2492" spans="1:5">
      <c r="A2492" s="4" t="s">
        <v>22</v>
      </c>
      <c r="B2492" s="5" t="s">
        <v>23</v>
      </c>
      <c r="C2492" s="6">
        <f>IF(SUM(E2493:E2503)=0,0,SUM(C2493:C2503)/SUM(E2493:E2503))</f>
        <v/>
      </c>
      <c r="D2492" s="6">
        <f>IF(SUM(E2493:E2503)=0,0,SUM(D2493:D2503)/SUM(E2493:E2503))</f>
        <v/>
      </c>
    </row>
    <row r="2493" spans="1:5">
      <c r="A2493" s="4" t="s">
        <v>72</v>
      </c>
      <c r="B2493" s="7">
        <v>2</v>
      </c>
      <c r="C2493" s="6">
        <f>IF(E2493=1,1.0,0)</f>
        <v/>
      </c>
      <c r="D2493" s="5" t="s">
        <v>23</v>
      </c>
      <c r="E2493" s="8">
        <f>IF(OR(LOOKUP(A2493,characters!A:A,characters!B:B)=-1, LOOKUP(A2493,characters!A:A,characters!B:B)+0.1&gt;=B2493),1,0)</f>
        <v/>
      </c>
    </row>
    <row r="2494" spans="1:5">
      <c r="A2494" s="4" t="s">
        <v>81</v>
      </c>
      <c r="B2494" s="7">
        <v>2</v>
      </c>
      <c r="C2494" s="6">
        <f>IF(E2494=1,0.9,0)</f>
        <v/>
      </c>
      <c r="D2494" s="6">
        <f>IF(E2494=1,1.0,0)</f>
        <v/>
      </c>
      <c r="E2494" s="8">
        <f>IF(OR(LOOKUP(A2494,characters!A:A,characters!B:B)=-1, LOOKUP(A2494,characters!A:A,characters!B:B)+0.1&gt;=B2494),1,0)</f>
        <v/>
      </c>
    </row>
    <row r="2495" spans="1:5">
      <c r="A2495" s="4" t="s">
        <v>82</v>
      </c>
      <c r="B2495" s="7">
        <v>1</v>
      </c>
      <c r="C2495" s="6">
        <f>IF(E2495=1,1.0,0)</f>
        <v/>
      </c>
      <c r="D2495" s="6">
        <f>IF(E2495=1,0.99,0)</f>
        <v/>
      </c>
      <c r="E2495" s="8">
        <f>IF(OR(LOOKUP(A2495,characters!A:A,characters!B:B)=-1, LOOKUP(A2495,characters!A:A,characters!B:B)+0.1&gt;=B2495),1,0)</f>
        <v/>
      </c>
    </row>
    <row r="2496" spans="1:5">
      <c r="A2496" s="4" t="s">
        <v>112</v>
      </c>
      <c r="B2496" s="7">
        <v>0</v>
      </c>
      <c r="C2496" s="6">
        <f>IF(E2496=1,1.0,0)</f>
        <v/>
      </c>
      <c r="D2496" s="6">
        <f>IF(E2496=1,0.9,0)</f>
        <v/>
      </c>
      <c r="E2496" s="8">
        <f>IF(OR(LOOKUP(A2496,characters!A:A,characters!B:B)=-1, LOOKUP(A2496,characters!A:A,characters!B:B)+0.1&gt;=B2496),1,0)</f>
        <v/>
      </c>
    </row>
    <row r="2497" spans="1:6">
      <c r="A2497" s="4" t="s">
        <v>100</v>
      </c>
      <c r="B2497" s="7">
        <v>0</v>
      </c>
      <c r="C2497" s="6">
        <f>IF(E2497=1,1.0,0)</f>
        <v/>
      </c>
      <c r="D2497" s="5" t="s">
        <v>23</v>
      </c>
      <c r="E2497" s="8">
        <f>IF(OR(LOOKUP(A2497,characters!A:A,characters!B:B)=-1, LOOKUP(A2497,characters!A:A,characters!B:B)+0.1&gt;=B2497),1,0)</f>
        <v/>
      </c>
    </row>
    <row r="2498" spans="1:6">
      <c r="A2498" s="4" t="s">
        <v>86</v>
      </c>
      <c r="B2498" s="7">
        <v>1</v>
      </c>
      <c r="C2498" s="6">
        <f>IF(E2498=1,1.0,0)</f>
        <v/>
      </c>
      <c r="D2498" s="5" t="s">
        <v>23</v>
      </c>
      <c r="E2498" s="8">
        <f>IF(OR(LOOKUP(A2498,characters!A:A,characters!B:B)=-1, LOOKUP(A2498,characters!A:A,characters!B:B)+0.1&gt;=B2498),1,0)</f>
        <v/>
      </c>
    </row>
    <row r="2499" spans="1:6">
      <c r="A2499" s="4" t="s">
        <v>58</v>
      </c>
      <c r="B2499" s="7">
        <v>0</v>
      </c>
      <c r="C2499" s="6">
        <f>IF(E2499=1,1.0,0)</f>
        <v/>
      </c>
      <c r="D2499" s="5" t="s">
        <v>23</v>
      </c>
      <c r="E2499" s="8">
        <f>IF(OR(LOOKUP(A2499,characters!A:A,characters!B:B)=-1, LOOKUP(A2499,characters!A:A,characters!B:B)+0.1&gt;=B2499),1,0)</f>
        <v/>
      </c>
    </row>
    <row r="2500" spans="1:6">
      <c r="A2500" s="4" t="s">
        <v>83</v>
      </c>
      <c r="B2500" s="7">
        <v>1</v>
      </c>
      <c r="C2500" s="6">
        <f>IF(E2500=1,1.0,0)</f>
        <v/>
      </c>
      <c r="D2500" s="5" t="s">
        <v>23</v>
      </c>
      <c r="E2500" s="8">
        <f>IF(OR(LOOKUP(A2500,characters!A:A,characters!B:B)=-1, LOOKUP(A2500,characters!A:A,characters!B:B)+0.1&gt;=B2500),1,0)</f>
        <v/>
      </c>
    </row>
    <row r="2501" spans="1:6">
      <c r="A2501" s="4" t="s">
        <v>84</v>
      </c>
      <c r="B2501" s="7">
        <v>0</v>
      </c>
      <c r="C2501" s="6">
        <f>IF(E2501=1,0.9,0)</f>
        <v/>
      </c>
      <c r="D2501" s="6">
        <f>IF(E2501=1,1.0,0)</f>
        <v/>
      </c>
      <c r="E2501" s="8">
        <f>IF(OR(LOOKUP(A2501,characters!A:A,characters!B:B)=-1, LOOKUP(A2501,characters!A:A,characters!B:B)+0.1&gt;=B2501),1,0)</f>
        <v/>
      </c>
    </row>
    <row r="2502" spans="1:6">
      <c r="A2502" s="4" t="s">
        <v>113</v>
      </c>
      <c r="B2502" s="7">
        <v>3</v>
      </c>
      <c r="C2502" s="6">
        <f>IF(E2502=1,0.99,0)</f>
        <v/>
      </c>
      <c r="D2502" s="6">
        <f>IF(E2502=1,1.0,0)</f>
        <v/>
      </c>
      <c r="E2502" s="8">
        <f>IF(OR(LOOKUP(A2502,characters!A:A,characters!B:B)=-1, LOOKUP(A2502,characters!A:A,characters!B:B)+0.1&gt;=B2502),1,0)</f>
        <v/>
      </c>
    </row>
    <row r="2503" spans="1:6">
      <c r="A2503" s="4" t="s">
        <v>85</v>
      </c>
      <c r="B2503" s="7">
        <v>1</v>
      </c>
      <c r="C2503" s="6">
        <f>IF(E2503=1,1.0,0)</f>
        <v/>
      </c>
      <c r="D2503" s="5" t="s">
        <v>23</v>
      </c>
      <c r="E2503" s="8">
        <f>IF(OR(LOOKUP(A2503,characters!A:A,characters!B:B)=-1, LOOKUP(A2503,characters!A:A,characters!B:B)+0.1&gt;=B2503),1,0)</f>
        <v/>
      </c>
    </row>
    <row r="2510" spans="1:6">
      <c r="A2510" s="3" t="s">
        <v>164</v>
      </c>
    </row>
    <row r="2511" spans="1:6">
      <c r="A2511" s="3" t="s">
        <v>8</v>
      </c>
      <c r="B2511" s="3" t="s">
        <v>9</v>
      </c>
      <c r="C2511" s="3" t="s">
        <v>21</v>
      </c>
      <c r="D2511" s="3" t="s">
        <v>19</v>
      </c>
      <c r="E2511" s="3" t="s">
        <v>17</v>
      </c>
      <c r="F2511" s="3" t="s">
        <v>10</v>
      </c>
    </row>
    <row r="2512" spans="1:6">
      <c r="A2512" s="4" t="s">
        <v>22</v>
      </c>
      <c r="B2512" s="5" t="s">
        <v>23</v>
      </c>
      <c r="C2512" s="6">
        <f>IF(SUM(G2513:G2515)=0,0,SUM(C2513:C2515)/SUM(G2513:G2515))</f>
        <v/>
      </c>
      <c r="D2512" s="6">
        <f>IF(SUM(G2513:G2515)=0,0,SUM(D2513:D2515)/SUM(G2513:G2515))</f>
        <v/>
      </c>
      <c r="E2512" s="6">
        <f>IF(SUM(G2513:G2515)=0,0,SUM(E2513:E2515)/SUM(G2513:G2515))</f>
        <v/>
      </c>
      <c r="F2512" s="6">
        <f>IF(SUM(G2513:G2515)=0,0,SUM(F2513:F2515)/SUM(G2513:G2515))</f>
        <v/>
      </c>
    </row>
    <row r="2513" spans="1:7">
      <c r="A2513" s="4" t="s">
        <v>82</v>
      </c>
      <c r="B2513" s="7">
        <v>0</v>
      </c>
      <c r="C2513" s="6">
        <f>IF(G2513=1,1.0,0)</f>
        <v/>
      </c>
      <c r="D2513" s="6">
        <f>IF(G2513=1,1.0,0)</f>
        <v/>
      </c>
      <c r="E2513" s="6">
        <f>IF(G2513=1,0.9,0)</f>
        <v/>
      </c>
      <c r="F2513" s="6">
        <f>IF(G2513=1,1.0,0)</f>
        <v/>
      </c>
      <c r="G2513" s="8">
        <f>IF(OR(LOOKUP(A2513,characters!A:A,characters!B:B)=-1, LOOKUP(A2513,characters!A:A,characters!B:B)+0.1&gt;=B2513),1,0)</f>
        <v/>
      </c>
    </row>
    <row r="2514" spans="1:7">
      <c r="A2514" s="4" t="s">
        <v>85</v>
      </c>
      <c r="B2514" s="7">
        <v>0</v>
      </c>
      <c r="C2514" s="6">
        <f>IF(G2514=1,1.0,0)</f>
        <v/>
      </c>
      <c r="D2514" s="6">
        <f>IF(G2514=1,1.0,0)</f>
        <v/>
      </c>
      <c r="E2514" s="6">
        <f>IF(G2514=1,0.9,0)</f>
        <v/>
      </c>
      <c r="F2514" s="5" t="s">
        <v>23</v>
      </c>
      <c r="G2514" s="8">
        <f>IF(OR(LOOKUP(A2514,characters!A:A,characters!B:B)=-1, LOOKUP(A2514,characters!A:A,characters!B:B)+0.1&gt;=B2514),1,0)</f>
        <v/>
      </c>
    </row>
    <row r="2515" spans="1:7">
      <c r="A2515" s="4" t="s">
        <v>86</v>
      </c>
      <c r="B2515" s="7">
        <v>2</v>
      </c>
      <c r="C2515" s="6">
        <f>IF(G2515=1,1.0,0)</f>
        <v/>
      </c>
      <c r="D2515" s="6">
        <f>IF(G2515=1,0.99,0)</f>
        <v/>
      </c>
      <c r="E2515" s="6">
        <f>IF(G2515=1,0.89,0)</f>
        <v/>
      </c>
      <c r="F2515" s="6">
        <f>IF(G2515=1,0.79,0)</f>
        <v/>
      </c>
      <c r="G2515" s="8">
        <f>IF(OR(LOOKUP(A2515,characters!A:A,characters!B:B)=-1, LOOKUP(A2515,characters!A:A,characters!B:B)+0.1&gt;=B2515),1,0)</f>
        <v/>
      </c>
    </row>
    <row r="2517" spans="1:7">
      <c r="A2517" s="3" t="s">
        <v>49</v>
      </c>
      <c r="B2517" s="3" t="s">
        <v>9</v>
      </c>
      <c r="C2517" s="3" t="s">
        <v>21</v>
      </c>
      <c r="D2517" s="3" t="s">
        <v>19</v>
      </c>
    </row>
    <row r="2518" spans="1:7">
      <c r="A2518" s="4" t="s">
        <v>22</v>
      </c>
      <c r="B2518" s="5" t="s">
        <v>23</v>
      </c>
      <c r="C2518" s="6">
        <f>IF(SUM(E2519:E2521)=0,0,SUM(C2519:C2521)/SUM(E2519:E2521))</f>
        <v/>
      </c>
      <c r="D2518" s="6">
        <f>IF(SUM(E2519:E2521)=0,0,SUM(D2519:D2521)/SUM(E2519:E2521))</f>
        <v/>
      </c>
    </row>
    <row r="2519" spans="1:7">
      <c r="A2519" s="4" t="s">
        <v>82</v>
      </c>
      <c r="B2519" s="7">
        <v>0</v>
      </c>
      <c r="C2519" s="6">
        <f>IF(E2519=1,1.0,0)</f>
        <v/>
      </c>
      <c r="D2519" s="6">
        <f>IF(E2519=1,0.99,0)</f>
        <v/>
      </c>
      <c r="E2519" s="8">
        <f>IF(OR(LOOKUP(A2519,characters!A:A,characters!B:B)=-1, LOOKUP(A2519,characters!A:A,characters!B:B)+0.1&gt;=B2519),1,0)</f>
        <v/>
      </c>
    </row>
    <row r="2520" spans="1:7">
      <c r="A2520" s="4" t="s">
        <v>86</v>
      </c>
      <c r="B2520" s="7">
        <v>2</v>
      </c>
      <c r="C2520" s="6">
        <f>IF(E2520=1,1.0,0)</f>
        <v/>
      </c>
      <c r="D2520" s="6">
        <f>IF(E2520=1,0.99,0)</f>
        <v/>
      </c>
      <c r="E2520" s="8">
        <f>IF(OR(LOOKUP(A2520,characters!A:A,characters!B:B)=-1, LOOKUP(A2520,characters!A:A,characters!B:B)+0.1&gt;=B2520),1,0)</f>
        <v/>
      </c>
    </row>
    <row r="2521" spans="1:7">
      <c r="A2521" s="4" t="s">
        <v>85</v>
      </c>
      <c r="B2521" s="7">
        <v>0</v>
      </c>
      <c r="C2521" s="6">
        <f>IF(E2521=1,1.0,0)</f>
        <v/>
      </c>
      <c r="D2521" s="6">
        <f>IF(E2521=1,0.9,0)</f>
        <v/>
      </c>
      <c r="E2521" s="8">
        <f>IF(OR(LOOKUP(A2521,characters!A:A,characters!B:B)=-1, LOOKUP(A2521,characters!A:A,characters!B:B)+0.1&gt;=B2521),1,0)</f>
        <v/>
      </c>
    </row>
    <row r="2523" spans="1:7">
      <c r="A2523" s="3" t="s">
        <v>52</v>
      </c>
      <c r="B2523" s="3" t="s">
        <v>9</v>
      </c>
      <c r="C2523" s="3" t="s">
        <v>17</v>
      </c>
      <c r="D2523" s="3" t="s">
        <v>10</v>
      </c>
    </row>
    <row r="2524" spans="1:7">
      <c r="A2524" s="4" t="s">
        <v>22</v>
      </c>
      <c r="B2524" s="5" t="s">
        <v>23</v>
      </c>
      <c r="C2524" s="6">
        <f>IF(SUM(E2525:E2527)=0,0,SUM(C2525:C2527)/SUM(E2525:E2527))</f>
        <v/>
      </c>
      <c r="D2524" s="6">
        <f>IF(SUM(E2525:E2527)=0,0,SUM(D2525:D2527)/SUM(E2525:E2527))</f>
        <v/>
      </c>
    </row>
    <row r="2525" spans="1:7">
      <c r="A2525" s="4" t="s">
        <v>82</v>
      </c>
      <c r="B2525" s="7">
        <v>0</v>
      </c>
      <c r="C2525" s="6">
        <f>IF(E2525=1,1.0,0)</f>
        <v/>
      </c>
      <c r="D2525" s="6">
        <f>IF(E2525=1,0.99,0)</f>
        <v/>
      </c>
      <c r="E2525" s="8">
        <f>IF(OR(LOOKUP(A2525,characters!A:A,characters!B:B)=-1, LOOKUP(A2525,characters!A:A,characters!B:B)+0.1&gt;=B2525),1,0)</f>
        <v/>
      </c>
    </row>
    <row r="2526" spans="1:7">
      <c r="A2526" s="4" t="s">
        <v>86</v>
      </c>
      <c r="B2526" s="7">
        <v>2</v>
      </c>
      <c r="C2526" s="6">
        <f>IF(E2526=1,1.0,0)</f>
        <v/>
      </c>
      <c r="D2526" s="5" t="s">
        <v>23</v>
      </c>
      <c r="E2526" s="8">
        <f>IF(OR(LOOKUP(A2526,characters!A:A,characters!B:B)=-1, LOOKUP(A2526,characters!A:A,characters!B:B)+0.1&gt;=B2526),1,0)</f>
        <v/>
      </c>
    </row>
    <row r="2527" spans="1:7">
      <c r="A2527" s="4" t="s">
        <v>85</v>
      </c>
      <c r="B2527" s="7">
        <v>0</v>
      </c>
      <c r="C2527" s="6">
        <f>IF(E2527=1,1.0,0)</f>
        <v/>
      </c>
      <c r="D2527" s="5" t="s">
        <v>23</v>
      </c>
      <c r="E2527" s="8">
        <f>IF(OR(LOOKUP(A2527,characters!A:A,characters!B:B)=-1, LOOKUP(A2527,characters!A:A,characters!B:B)+0.1&gt;=B2527),1,0)</f>
        <v/>
      </c>
    </row>
    <row r="2534" spans="1:7">
      <c r="A2534" s="3" t="s">
        <v>165</v>
      </c>
    </row>
    <row r="2535" spans="1:7">
      <c r="A2535" s="3" t="s">
        <v>8</v>
      </c>
      <c r="B2535" s="3" t="s">
        <v>9</v>
      </c>
      <c r="C2535" s="3" t="s">
        <v>21</v>
      </c>
      <c r="D2535" s="3" t="s">
        <v>19</v>
      </c>
      <c r="E2535" s="3" t="s">
        <v>10</v>
      </c>
      <c r="F2535" s="3" t="s">
        <v>17</v>
      </c>
    </row>
    <row r="2536" spans="1:7">
      <c r="A2536" s="4" t="s">
        <v>22</v>
      </c>
      <c r="B2536" s="5" t="s">
        <v>23</v>
      </c>
      <c r="C2536" s="6">
        <f>IF(SUM(G2537:G2538)=0,0,SUM(C2537:C2538)/SUM(G2537:G2538))</f>
        <v/>
      </c>
      <c r="D2536" s="6">
        <f>IF(SUM(G2537:G2538)=0,0,SUM(D2537:D2538)/SUM(G2537:G2538))</f>
        <v/>
      </c>
      <c r="E2536" s="6">
        <f>IF(SUM(G2537:G2538)=0,0,SUM(E2537:E2538)/SUM(G2537:G2538))</f>
        <v/>
      </c>
      <c r="F2536" s="6">
        <f>IF(SUM(G2537:G2538)=0,0,SUM(F2537:F2538)/SUM(G2537:G2538))</f>
        <v/>
      </c>
    </row>
    <row r="2537" spans="1:7">
      <c r="A2537" s="4" t="s">
        <v>58</v>
      </c>
      <c r="B2537" s="7">
        <v>1</v>
      </c>
      <c r="C2537" s="6">
        <f>IF(G2537=1,1.0,0)</f>
        <v/>
      </c>
      <c r="D2537" s="6">
        <f>IF(G2537=1,1.0,0)</f>
        <v/>
      </c>
      <c r="E2537" s="6">
        <f>IF(G2537=1,0.8,0)</f>
        <v/>
      </c>
      <c r="F2537" s="6">
        <f>IF(G2537=1,0.9,0)</f>
        <v/>
      </c>
      <c r="G2537" s="8">
        <f>IF(OR(LOOKUP(A2537,characters!A:A,characters!B:B)=-1, LOOKUP(A2537,characters!A:A,characters!B:B)+0.1&gt;=B2537),1,0)</f>
        <v/>
      </c>
    </row>
    <row r="2538" spans="1:7">
      <c r="A2538" s="4" t="s">
        <v>84</v>
      </c>
      <c r="B2538" s="7">
        <v>1</v>
      </c>
      <c r="C2538" s="6">
        <f>IF(G2538=1,0.9,0)</f>
        <v/>
      </c>
      <c r="D2538" s="6">
        <f>IF(G2538=1,0.9,0)</f>
        <v/>
      </c>
      <c r="E2538" s="6">
        <f>IF(G2538=1,1.0,0)</f>
        <v/>
      </c>
      <c r="F2538" s="6">
        <f>IF(G2538=1,0.8,0)</f>
        <v/>
      </c>
      <c r="G2538" s="8">
        <f>IF(OR(LOOKUP(A2538,characters!A:A,characters!B:B)=-1, LOOKUP(A2538,characters!A:A,characters!B:B)+0.1&gt;=B2538),1,0)</f>
        <v/>
      </c>
    </row>
    <row r="2540" spans="1:7">
      <c r="A2540" s="3" t="s">
        <v>64</v>
      </c>
      <c r="B2540" s="3" t="s">
        <v>9</v>
      </c>
      <c r="C2540" s="3" t="s">
        <v>89</v>
      </c>
      <c r="D2540" s="3" t="s">
        <v>17</v>
      </c>
      <c r="E2540" s="3" t="s">
        <v>90</v>
      </c>
    </row>
    <row r="2541" spans="1:7">
      <c r="A2541" s="4" t="s">
        <v>22</v>
      </c>
      <c r="B2541" s="5" t="s">
        <v>23</v>
      </c>
      <c r="C2541" s="6">
        <f>IF(SUM(F2542:F2543)=0,0,SUM(C2542:C2543)/SUM(F2542:F2543))</f>
        <v/>
      </c>
      <c r="D2541" s="6">
        <f>IF(SUM(F2542:F2543)=0,0,SUM(D2542:D2543)/SUM(F2542:F2543))</f>
        <v/>
      </c>
      <c r="E2541" s="6">
        <f>IF(SUM(F2542:F2543)=0,0,SUM(E2542:E2543)/SUM(F2542:F2543))</f>
        <v/>
      </c>
    </row>
    <row r="2542" spans="1:7">
      <c r="A2542" s="4" t="s">
        <v>58</v>
      </c>
      <c r="B2542" s="7">
        <v>1</v>
      </c>
      <c r="C2542" s="6">
        <f>IF(F2542=1,1.0,0)</f>
        <v/>
      </c>
      <c r="D2542" s="6">
        <f>IF(F2542=1,0.9,0)</f>
        <v/>
      </c>
      <c r="E2542" s="5" t="s">
        <v>23</v>
      </c>
      <c r="F2542" s="8">
        <f>IF(OR(LOOKUP(A2542,characters!A:A,characters!B:B)=-1, LOOKUP(A2542,characters!A:A,characters!B:B)+0.1&gt;=B2542),1,0)</f>
        <v/>
      </c>
    </row>
    <row r="2543" spans="1:7">
      <c r="A2543" s="4" t="s">
        <v>84</v>
      </c>
      <c r="B2543" s="7">
        <v>1</v>
      </c>
      <c r="C2543" s="5" t="s">
        <v>23</v>
      </c>
      <c r="D2543" s="6">
        <f>IF(F2543=1,0.9,0)</f>
        <v/>
      </c>
      <c r="E2543" s="6">
        <f>IF(F2543=1,1.0,0)</f>
        <v/>
      </c>
      <c r="F2543" s="8">
        <f>IF(OR(LOOKUP(A2543,characters!A:A,characters!B:B)=-1, LOOKUP(A2543,characters!A:A,characters!B:B)+0.1&gt;=B2543),1,0)</f>
        <v/>
      </c>
    </row>
    <row r="2545" spans="1:13">
      <c r="A2545" s="3" t="s">
        <v>65</v>
      </c>
      <c r="B2545" s="3" t="s">
        <v>9</v>
      </c>
      <c r="C2545" s="3" t="s">
        <v>17</v>
      </c>
    </row>
    <row r="2546" spans="1:13">
      <c r="A2546" s="4" t="s">
        <v>22</v>
      </c>
      <c r="B2546" s="5" t="s">
        <v>23</v>
      </c>
      <c r="C2546" s="6">
        <f>IF(SUM(D2547:D2548)=0,0,SUM(C2547:C2548)/SUM(D2547:D2548))</f>
        <v/>
      </c>
    </row>
    <row r="2547" spans="1:13">
      <c r="A2547" s="4" t="s">
        <v>58</v>
      </c>
      <c r="B2547" s="7">
        <v>1</v>
      </c>
      <c r="C2547" s="6">
        <f>IF(D2547=1,1.0,0)</f>
        <v/>
      </c>
      <c r="D2547" s="8">
        <f>IF(OR(LOOKUP(A2547,characters!A:A,characters!B:B)=-1, LOOKUP(A2547,characters!A:A,characters!B:B)+0.1&gt;=B2547),1,0)</f>
        <v/>
      </c>
    </row>
    <row r="2548" spans="1:13">
      <c r="A2548" s="4" t="s">
        <v>84</v>
      </c>
      <c r="B2548" s="7">
        <v>1</v>
      </c>
      <c r="C2548" s="6">
        <f>IF(D2548=1,1.0,0)</f>
        <v/>
      </c>
      <c r="D2548" s="8">
        <f>IF(OR(LOOKUP(A2548,characters!A:A,characters!B:B)=-1, LOOKUP(A2548,characters!A:A,characters!B:B)+0.1&gt;=B2548),1,0)</f>
        <v/>
      </c>
    </row>
    <row r="2555" spans="1:13">
      <c r="A2555" s="3" t="s">
        <v>166</v>
      </c>
    </row>
    <row r="2556" spans="1:13">
      <c r="A2556" s="3" t="s">
        <v>8</v>
      </c>
      <c r="B2556" s="3" t="s">
        <v>9</v>
      </c>
      <c r="C2556" s="3" t="s">
        <v>10</v>
      </c>
      <c r="D2556" s="3" t="s">
        <v>18</v>
      </c>
      <c r="E2556" s="3" t="s">
        <v>17</v>
      </c>
      <c r="F2556" s="3" t="s">
        <v>13</v>
      </c>
      <c r="G2556" s="3" t="s">
        <v>12</v>
      </c>
      <c r="H2556" s="3" t="s">
        <v>21</v>
      </c>
      <c r="I2556" s="3" t="s">
        <v>19</v>
      </c>
      <c r="J2556" s="3" t="s">
        <v>11</v>
      </c>
      <c r="K2556" s="3" t="s">
        <v>16</v>
      </c>
      <c r="L2556" s="3" t="s">
        <v>20</v>
      </c>
    </row>
    <row r="2557" spans="1:13">
      <c r="A2557" s="4" t="s">
        <v>22</v>
      </c>
      <c r="B2557" s="5" t="s">
        <v>23</v>
      </c>
      <c r="C2557" s="6">
        <f>IF(SUM(M2558:M2567)=0,0,SUM(C2558:C2567)/SUM(M2558:M2567))</f>
        <v/>
      </c>
      <c r="D2557" s="6">
        <f>IF(SUM(M2558:M2567)=0,0,SUM(D2558:D2567)/SUM(M2558:M2567))</f>
        <v/>
      </c>
      <c r="E2557" s="6">
        <f>IF(SUM(M2558:M2567)=0,0,SUM(E2558:E2567)/SUM(M2558:M2567))</f>
        <v/>
      </c>
      <c r="F2557" s="6">
        <f>IF(SUM(M2558:M2567)=0,0,SUM(F2558:F2567)/SUM(M2558:M2567))</f>
        <v/>
      </c>
      <c r="G2557" s="6">
        <f>IF(SUM(M2558:M2567)=0,0,SUM(G2558:G2567)/SUM(M2558:M2567))</f>
        <v/>
      </c>
      <c r="H2557" s="6">
        <f>IF(SUM(M2558:M2567)=0,0,SUM(H2558:H2567)/SUM(M2558:M2567))</f>
        <v/>
      </c>
      <c r="I2557" s="6">
        <f>IF(SUM(M2558:M2567)=0,0,SUM(I2558:I2567)/SUM(M2558:M2567))</f>
        <v/>
      </c>
      <c r="J2557" s="6">
        <f>IF(SUM(M2558:M2567)=0,0,SUM(J2558:J2567)/SUM(M2558:M2567))</f>
        <v/>
      </c>
      <c r="K2557" s="6">
        <f>IF(SUM(M2558:M2567)=0,0,SUM(K2558:K2567)/SUM(M2558:M2567))</f>
        <v/>
      </c>
      <c r="L2557" s="6">
        <f>IF(SUM(M2558:M2567)=0,0,SUM(L2558:L2567)/SUM(M2558:M2567))</f>
        <v/>
      </c>
    </row>
    <row r="2558" spans="1:13">
      <c r="A2558" s="4" t="s">
        <v>119</v>
      </c>
      <c r="B2558" s="7">
        <v>1</v>
      </c>
      <c r="C2558" s="6">
        <f>IF(M2558=1,1.0,0)</f>
        <v/>
      </c>
      <c r="D2558" s="6">
        <f>IF(M2558=1,0.9,0)</f>
        <v/>
      </c>
      <c r="E2558" s="6">
        <f>IF(M2558=1,0.8,0)</f>
        <v/>
      </c>
      <c r="F2558" s="5" t="s">
        <v>23</v>
      </c>
      <c r="G2558" s="5" t="s">
        <v>23</v>
      </c>
      <c r="H2558" s="5" t="s">
        <v>23</v>
      </c>
      <c r="I2558" s="5" t="s">
        <v>23</v>
      </c>
      <c r="J2558" s="5" t="s">
        <v>23</v>
      </c>
      <c r="K2558" s="5" t="s">
        <v>23</v>
      </c>
      <c r="L2558" s="5" t="s">
        <v>23</v>
      </c>
      <c r="M2558" s="8">
        <f>IF(OR(LOOKUP(A2558,characters!A:A,characters!B:B)=-1, LOOKUP(A2558,characters!A:A,characters!B:B)+0.1&gt;=B2558),1,0)</f>
        <v/>
      </c>
    </row>
    <row r="2559" spans="1:13">
      <c r="A2559" s="4" t="s">
        <v>29</v>
      </c>
      <c r="B2559" s="7">
        <v>1</v>
      </c>
      <c r="C2559" s="6">
        <f>IF(M2559=1,1.0,0)</f>
        <v/>
      </c>
      <c r="D2559" s="6">
        <f>IF(M2559=1,0.9,0)</f>
        <v/>
      </c>
      <c r="E2559" s="5" t="s">
        <v>23</v>
      </c>
      <c r="F2559" s="6">
        <f>IF(M2559=1,0.7,0)</f>
        <v/>
      </c>
      <c r="G2559" s="6">
        <f>IF(M2559=1,0.7,0)</f>
        <v/>
      </c>
      <c r="H2559" s="5" t="s">
        <v>23</v>
      </c>
      <c r="I2559" s="5" t="s">
        <v>23</v>
      </c>
      <c r="J2559" s="6">
        <f>IF(M2559=1,0.8,0)</f>
        <v/>
      </c>
      <c r="K2559" s="5" t="s">
        <v>23</v>
      </c>
      <c r="L2559" s="5" t="s">
        <v>23</v>
      </c>
      <c r="M2559" s="8">
        <f>IF(OR(LOOKUP(A2559,characters!A:A,characters!B:B)=-1, LOOKUP(A2559,characters!A:A,characters!B:B)+0.1&gt;=B2559),1,0)</f>
        <v/>
      </c>
    </row>
    <row r="2560" spans="1:13">
      <c r="A2560" s="4" t="s">
        <v>35</v>
      </c>
      <c r="B2560" s="7">
        <v>1</v>
      </c>
      <c r="C2560" s="6">
        <f>IF(M2560=1,1.0,0)</f>
        <v/>
      </c>
      <c r="D2560" s="5" t="s">
        <v>23</v>
      </c>
      <c r="E2560" s="6">
        <f>IF(M2560=1,0.89,0)</f>
        <v/>
      </c>
      <c r="F2560" s="5" t="s">
        <v>23</v>
      </c>
      <c r="G2560" s="5" t="s">
        <v>23</v>
      </c>
      <c r="H2560" s="5" t="s">
        <v>23</v>
      </c>
      <c r="I2560" s="5" t="s">
        <v>23</v>
      </c>
      <c r="J2560" s="5" t="s">
        <v>23</v>
      </c>
      <c r="K2560" s="5" t="s">
        <v>23</v>
      </c>
      <c r="L2560" s="6">
        <f>IF(M2560=1,0.9,0)</f>
        <v/>
      </c>
      <c r="M2560" s="8">
        <f>IF(OR(LOOKUP(A2560,characters!A:A,characters!B:B)=-1, LOOKUP(A2560,characters!A:A,characters!B:B)+0.1&gt;=B2560),1,0)</f>
        <v/>
      </c>
    </row>
    <row r="2561" spans="1:13">
      <c r="A2561" s="4" t="s">
        <v>76</v>
      </c>
      <c r="B2561" s="7">
        <v>1</v>
      </c>
      <c r="C2561" s="6">
        <f>IF(M2561=1,1.0,0)</f>
        <v/>
      </c>
      <c r="D2561" s="6">
        <f>IF(M2561=1,0.9,0)</f>
        <v/>
      </c>
      <c r="E2561" s="6">
        <f>IF(M2561=1,0.89,0)</f>
        <v/>
      </c>
      <c r="F2561" s="5" t="s">
        <v>23</v>
      </c>
      <c r="G2561" s="5" t="s">
        <v>23</v>
      </c>
      <c r="H2561" s="5" t="s">
        <v>23</v>
      </c>
      <c r="I2561" s="5" t="s">
        <v>23</v>
      </c>
      <c r="J2561" s="5" t="s">
        <v>23</v>
      </c>
      <c r="K2561" s="6">
        <f>IF(M2561=1,1.0,0)</f>
        <v/>
      </c>
      <c r="L2561" s="5" t="s">
        <v>23</v>
      </c>
      <c r="M2561" s="8">
        <f>IF(OR(LOOKUP(A2561,characters!A:A,characters!B:B)=-1, LOOKUP(A2561,characters!A:A,characters!B:B)+0.1&gt;=B2561),1,0)</f>
        <v/>
      </c>
    </row>
    <row r="2562" spans="1:13">
      <c r="A2562" s="4" t="s">
        <v>110</v>
      </c>
      <c r="B2562" s="7">
        <v>1</v>
      </c>
      <c r="C2562" s="6">
        <f>IF(M2562=1,1.0,0)</f>
        <v/>
      </c>
      <c r="D2562" s="5" t="s">
        <v>23</v>
      </c>
      <c r="E2562" s="6">
        <f>IF(M2562=1,0.8,0)</f>
        <v/>
      </c>
      <c r="F2562" s="5" t="s">
        <v>23</v>
      </c>
      <c r="G2562" s="5" t="s">
        <v>23</v>
      </c>
      <c r="H2562" s="6">
        <f>IF(M2562=1,0.9,0)</f>
        <v/>
      </c>
      <c r="I2562" s="6">
        <f>IF(M2562=1,0.9,0)</f>
        <v/>
      </c>
      <c r="J2562" s="5" t="s">
        <v>23</v>
      </c>
      <c r="K2562" s="5" t="s">
        <v>23</v>
      </c>
      <c r="L2562" s="5" t="s">
        <v>23</v>
      </c>
      <c r="M2562" s="8">
        <f>IF(OR(LOOKUP(A2562,characters!A:A,characters!B:B)=-1, LOOKUP(A2562,characters!A:A,characters!B:B)+0.1&gt;=B2562),1,0)</f>
        <v/>
      </c>
    </row>
    <row r="2563" spans="1:13">
      <c r="A2563" s="4" t="s">
        <v>95</v>
      </c>
      <c r="B2563" s="7">
        <v>1</v>
      </c>
      <c r="C2563" s="6">
        <f>IF(M2563=1,1.0,0)</f>
        <v/>
      </c>
      <c r="D2563" s="6">
        <f>IF(M2563=1,0.9,0)</f>
        <v/>
      </c>
      <c r="E2563" s="6">
        <f>IF(M2563=1,0.8,0)</f>
        <v/>
      </c>
      <c r="F2563" s="5" t="s">
        <v>23</v>
      </c>
      <c r="G2563" s="5" t="s">
        <v>23</v>
      </c>
      <c r="H2563" s="5" t="s">
        <v>23</v>
      </c>
      <c r="I2563" s="5" t="s">
        <v>23</v>
      </c>
      <c r="J2563" s="5" t="s">
        <v>23</v>
      </c>
      <c r="K2563" s="5" t="s">
        <v>23</v>
      </c>
      <c r="L2563" s="5" t="s">
        <v>23</v>
      </c>
      <c r="M2563" s="8">
        <f>IF(OR(LOOKUP(A2563,characters!A:A,characters!B:B)=-1, LOOKUP(A2563,characters!A:A,characters!B:B)+0.1&gt;=B2563),1,0)</f>
        <v/>
      </c>
    </row>
    <row r="2564" spans="1:13">
      <c r="A2564" s="4" t="s">
        <v>46</v>
      </c>
      <c r="B2564" s="7">
        <v>1</v>
      </c>
      <c r="C2564" s="6">
        <f>IF(M2564=1,1.0,0)</f>
        <v/>
      </c>
      <c r="D2564" s="6">
        <f>IF(M2564=1,1.0,0)</f>
        <v/>
      </c>
      <c r="E2564" s="5" t="s">
        <v>23</v>
      </c>
      <c r="F2564" s="6">
        <f>IF(M2564=1,0.9,0)</f>
        <v/>
      </c>
      <c r="G2564" s="6">
        <f>IF(M2564=1,0.9,0)</f>
        <v/>
      </c>
      <c r="H2564" s="5" t="s">
        <v>23</v>
      </c>
      <c r="I2564" s="5" t="s">
        <v>23</v>
      </c>
      <c r="J2564" s="5" t="s">
        <v>23</v>
      </c>
      <c r="K2564" s="5" t="s">
        <v>23</v>
      </c>
      <c r="L2564" s="5" t="s">
        <v>23</v>
      </c>
      <c r="M2564" s="8">
        <f>IF(OR(LOOKUP(A2564,characters!A:A,characters!B:B)=-1, LOOKUP(A2564,characters!A:A,characters!B:B)+0.1&gt;=B2564),1,0)</f>
        <v/>
      </c>
    </row>
    <row r="2565" spans="1:13">
      <c r="A2565" s="4" t="s">
        <v>113</v>
      </c>
      <c r="B2565" s="7">
        <v>1</v>
      </c>
      <c r="C2565" s="6">
        <f>IF(M2565=1,1.0,0)</f>
        <v/>
      </c>
      <c r="D2565" s="6">
        <f>IF(M2565=1,0.9,0)</f>
        <v/>
      </c>
      <c r="E2565" s="6">
        <f>IF(M2565=1,0.79,0)</f>
        <v/>
      </c>
      <c r="F2565" s="5" t="s">
        <v>23</v>
      </c>
      <c r="G2565" s="5" t="s">
        <v>23</v>
      </c>
      <c r="H2565" s="6">
        <f>IF(M2565=1,0.89,0)</f>
        <v/>
      </c>
      <c r="I2565" s="6">
        <f>IF(M2565=1,0.89,0)</f>
        <v/>
      </c>
      <c r="J2565" s="5" t="s">
        <v>23</v>
      </c>
      <c r="K2565" s="5" t="s">
        <v>23</v>
      </c>
      <c r="L2565" s="5" t="s">
        <v>23</v>
      </c>
      <c r="M2565" s="8">
        <f>IF(OR(LOOKUP(A2565,characters!A:A,characters!B:B)=-1, LOOKUP(A2565,characters!A:A,characters!B:B)+0.1&gt;=B2565),1,0)</f>
        <v/>
      </c>
    </row>
    <row r="2566" spans="1:13">
      <c r="A2566" s="4" t="s">
        <v>94</v>
      </c>
      <c r="B2566" s="7">
        <v>2</v>
      </c>
      <c r="C2566" s="6">
        <f>IF(M2566=1,1.0,0)</f>
        <v/>
      </c>
      <c r="D2566" s="6">
        <f>IF(M2566=1,0.99,0)</f>
        <v/>
      </c>
      <c r="E2566" s="5" t="s">
        <v>23</v>
      </c>
      <c r="F2566" s="5" t="s">
        <v>23</v>
      </c>
      <c r="G2566" s="5" t="s">
        <v>23</v>
      </c>
      <c r="H2566" s="5" t="s">
        <v>23</v>
      </c>
      <c r="I2566" s="5" t="s">
        <v>23</v>
      </c>
      <c r="J2566" s="5" t="s">
        <v>23</v>
      </c>
      <c r="K2566" s="5" t="s">
        <v>23</v>
      </c>
      <c r="L2566" s="5" t="s">
        <v>23</v>
      </c>
      <c r="M2566" s="8">
        <f>IF(OR(LOOKUP(A2566,characters!A:A,characters!B:B)=-1, LOOKUP(A2566,characters!A:A,characters!B:B)+0.1&gt;=B2566),1,0)</f>
        <v/>
      </c>
    </row>
    <row r="2567" spans="1:13">
      <c r="A2567" s="4" t="s">
        <v>42</v>
      </c>
      <c r="B2567" s="7">
        <v>2</v>
      </c>
      <c r="C2567" s="6">
        <f>IF(M2567=1,0.9,0)</f>
        <v/>
      </c>
      <c r="D2567" s="6">
        <f>IF(M2567=1,1.0,0)</f>
        <v/>
      </c>
      <c r="E2567" s="5" t="s">
        <v>23</v>
      </c>
      <c r="F2567" s="6">
        <f>IF(M2567=1,0.8,0)</f>
        <v/>
      </c>
      <c r="G2567" s="6">
        <f>IF(M2567=1,0.8,0)</f>
        <v/>
      </c>
      <c r="H2567" s="5" t="s">
        <v>23</v>
      </c>
      <c r="I2567" s="5" t="s">
        <v>23</v>
      </c>
      <c r="J2567" s="6">
        <f>IF(M2567=1,0.7,0)</f>
        <v/>
      </c>
      <c r="K2567" s="5" t="s">
        <v>23</v>
      </c>
      <c r="L2567" s="5" t="s">
        <v>23</v>
      </c>
      <c r="M2567" s="8">
        <f>IF(OR(LOOKUP(A2567,characters!A:A,characters!B:B)=-1, LOOKUP(A2567,characters!A:A,characters!B:B)+0.1&gt;=B2567),1,0)</f>
        <v/>
      </c>
    </row>
    <row r="2569" spans="1:13">
      <c r="A2569" s="3" t="s">
        <v>49</v>
      </c>
      <c r="B2569" s="3" t="s">
        <v>9</v>
      </c>
      <c r="C2569" s="3" t="s">
        <v>17</v>
      </c>
      <c r="D2569" s="3" t="s">
        <v>50</v>
      </c>
      <c r="E2569" s="3" t="s">
        <v>16</v>
      </c>
      <c r="F2569" s="3" t="s">
        <v>21</v>
      </c>
      <c r="G2569" s="3" t="s">
        <v>19</v>
      </c>
      <c r="H2569" s="3" t="s">
        <v>13</v>
      </c>
      <c r="I2569" s="3" t="s">
        <v>12</v>
      </c>
    </row>
    <row r="2570" spans="1:13">
      <c r="A2570" s="4" t="s">
        <v>22</v>
      </c>
      <c r="B2570" s="5" t="s">
        <v>23</v>
      </c>
      <c r="C2570" s="6">
        <f>IF(SUM(J2571:J2580)=0,0,SUM(C2571:C2580)/SUM(J2571:J2580))</f>
        <v/>
      </c>
      <c r="D2570" s="6">
        <f>IF(SUM(J2571:J2580)=0,0,SUM(D2571:D2580)/SUM(J2571:J2580))</f>
        <v/>
      </c>
      <c r="E2570" s="6">
        <f>IF(SUM(J2571:J2580)=0,0,SUM(E2571:E2580)/SUM(J2571:J2580))</f>
        <v/>
      </c>
      <c r="F2570" s="6">
        <f>IF(SUM(J2571:J2580)=0,0,SUM(F2571:F2580)/SUM(J2571:J2580))</f>
        <v/>
      </c>
      <c r="G2570" s="6">
        <f>IF(SUM(J2571:J2580)=0,0,SUM(G2571:G2580)/SUM(J2571:J2580))</f>
        <v/>
      </c>
      <c r="H2570" s="6">
        <f>IF(SUM(J2571:J2580)=0,0,SUM(H2571:H2580)/SUM(J2571:J2580))</f>
        <v/>
      </c>
      <c r="I2570" s="6">
        <f>IF(SUM(J2571:J2580)=0,0,SUM(I2571:I2580)/SUM(J2571:J2580))</f>
        <v/>
      </c>
    </row>
    <row r="2571" spans="1:13">
      <c r="A2571" s="4" t="s">
        <v>94</v>
      </c>
      <c r="B2571" s="7">
        <v>2</v>
      </c>
      <c r="C2571" s="5" t="s">
        <v>23</v>
      </c>
      <c r="D2571" s="5" t="s">
        <v>23</v>
      </c>
      <c r="E2571" s="5" t="s">
        <v>23</v>
      </c>
      <c r="F2571" s="5" t="s">
        <v>23</v>
      </c>
      <c r="G2571" s="5" t="s">
        <v>23</v>
      </c>
      <c r="H2571" s="5" t="s">
        <v>23</v>
      </c>
      <c r="I2571" s="5" t="s">
        <v>23</v>
      </c>
      <c r="J2571" s="8">
        <f>IF(OR(LOOKUP(A2571,characters!A:A,characters!B:B)=-1, LOOKUP(A2571,characters!A:A,characters!B:B)+0.1&gt;=B2571),1,0)</f>
        <v/>
      </c>
    </row>
    <row r="2572" spans="1:13">
      <c r="A2572" s="4" t="s">
        <v>119</v>
      </c>
      <c r="B2572" s="7">
        <v>1</v>
      </c>
      <c r="C2572" s="6">
        <f>IF(J2572=1,1.0,0)</f>
        <v/>
      </c>
      <c r="D2572" s="5" t="s">
        <v>23</v>
      </c>
      <c r="E2572" s="5" t="s">
        <v>23</v>
      </c>
      <c r="F2572" s="5" t="s">
        <v>23</v>
      </c>
      <c r="G2572" s="5" t="s">
        <v>23</v>
      </c>
      <c r="H2572" s="5" t="s">
        <v>23</v>
      </c>
      <c r="I2572" s="5" t="s">
        <v>23</v>
      </c>
      <c r="J2572" s="8">
        <f>IF(OR(LOOKUP(A2572,characters!A:A,characters!B:B)=-1, LOOKUP(A2572,characters!A:A,characters!B:B)+0.1&gt;=B2572),1,0)</f>
        <v/>
      </c>
    </row>
    <row r="2573" spans="1:13">
      <c r="A2573" s="4" t="s">
        <v>29</v>
      </c>
      <c r="B2573" s="7">
        <v>1</v>
      </c>
      <c r="C2573" s="5" t="s">
        <v>23</v>
      </c>
      <c r="D2573" s="6">
        <f>IF(J2573=1,1.0,0)</f>
        <v/>
      </c>
      <c r="E2573" s="5" t="s">
        <v>23</v>
      </c>
      <c r="F2573" s="5" t="s">
        <v>23</v>
      </c>
      <c r="G2573" s="5" t="s">
        <v>23</v>
      </c>
      <c r="H2573" s="5" t="s">
        <v>23</v>
      </c>
      <c r="I2573" s="5" t="s">
        <v>23</v>
      </c>
      <c r="J2573" s="8">
        <f>IF(OR(LOOKUP(A2573,characters!A:A,characters!B:B)=-1, LOOKUP(A2573,characters!A:A,characters!B:B)+0.1&gt;=B2573),1,0)</f>
        <v/>
      </c>
    </row>
    <row r="2574" spans="1:13">
      <c r="A2574" s="4" t="s">
        <v>35</v>
      </c>
      <c r="B2574" s="7">
        <v>1</v>
      </c>
      <c r="C2574" s="5" t="s">
        <v>23</v>
      </c>
      <c r="D2574" s="6">
        <f>IF(J2574=1,1.0,0)</f>
        <v/>
      </c>
      <c r="E2574" s="5" t="s">
        <v>23</v>
      </c>
      <c r="F2574" s="5" t="s">
        <v>23</v>
      </c>
      <c r="G2574" s="5" t="s">
        <v>23</v>
      </c>
      <c r="H2574" s="5" t="s">
        <v>23</v>
      </c>
      <c r="I2574" s="5" t="s">
        <v>23</v>
      </c>
      <c r="J2574" s="8">
        <f>IF(OR(LOOKUP(A2574,characters!A:A,characters!B:B)=-1, LOOKUP(A2574,characters!A:A,characters!B:B)+0.1&gt;=B2574),1,0)</f>
        <v/>
      </c>
    </row>
    <row r="2575" spans="1:13">
      <c r="A2575" s="4" t="s">
        <v>76</v>
      </c>
      <c r="B2575" s="7">
        <v>1</v>
      </c>
      <c r="C2575" s="6">
        <f>IF(J2575=1,0.9,0)</f>
        <v/>
      </c>
      <c r="D2575" s="5" t="s">
        <v>23</v>
      </c>
      <c r="E2575" s="6">
        <f>IF(J2575=1,1.0,0)</f>
        <v/>
      </c>
      <c r="F2575" s="5" t="s">
        <v>23</v>
      </c>
      <c r="G2575" s="5" t="s">
        <v>23</v>
      </c>
      <c r="H2575" s="5" t="s">
        <v>23</v>
      </c>
      <c r="I2575" s="5" t="s">
        <v>23</v>
      </c>
      <c r="J2575" s="8">
        <f>IF(OR(LOOKUP(A2575,characters!A:A,characters!B:B)=-1, LOOKUP(A2575,characters!A:A,characters!B:B)+0.1&gt;=B2575),1,0)</f>
        <v/>
      </c>
    </row>
    <row r="2576" spans="1:13">
      <c r="A2576" s="4" t="s">
        <v>110</v>
      </c>
      <c r="B2576" s="7">
        <v>1</v>
      </c>
      <c r="C2576" s="5" t="s">
        <v>23</v>
      </c>
      <c r="D2576" s="5" t="s">
        <v>23</v>
      </c>
      <c r="E2576" s="5" t="s">
        <v>23</v>
      </c>
      <c r="F2576" s="6">
        <f>IF(J2576=1,1.0,0)</f>
        <v/>
      </c>
      <c r="G2576" s="6">
        <f>IF(J2576=1,0.99,0)</f>
        <v/>
      </c>
      <c r="H2576" s="5" t="s">
        <v>23</v>
      </c>
      <c r="I2576" s="5" t="s">
        <v>23</v>
      </c>
      <c r="J2576" s="8">
        <f>IF(OR(LOOKUP(A2576,characters!A:A,characters!B:B)=-1, LOOKUP(A2576,characters!A:A,characters!B:B)+0.1&gt;=B2576),1,0)</f>
        <v/>
      </c>
    </row>
    <row r="2577" spans="1:10">
      <c r="A2577" s="4" t="s">
        <v>95</v>
      </c>
      <c r="B2577" s="7">
        <v>1</v>
      </c>
      <c r="C2577" s="6">
        <f>IF(J2577=1,1.0,0)</f>
        <v/>
      </c>
      <c r="D2577" s="5" t="s">
        <v>23</v>
      </c>
      <c r="E2577" s="5" t="s">
        <v>23</v>
      </c>
      <c r="F2577" s="5" t="s">
        <v>23</v>
      </c>
      <c r="G2577" s="5" t="s">
        <v>23</v>
      </c>
      <c r="H2577" s="5" t="s">
        <v>23</v>
      </c>
      <c r="I2577" s="5" t="s">
        <v>23</v>
      </c>
      <c r="J2577" s="8">
        <f>IF(OR(LOOKUP(A2577,characters!A:A,characters!B:B)=-1, LOOKUP(A2577,characters!A:A,characters!B:B)+0.1&gt;=B2577),1,0)</f>
        <v/>
      </c>
    </row>
    <row r="2578" spans="1:10">
      <c r="A2578" s="4" t="s">
        <v>42</v>
      </c>
      <c r="B2578" s="7">
        <v>2</v>
      </c>
      <c r="C2578" s="5" t="s">
        <v>23</v>
      </c>
      <c r="D2578" s="5" t="s">
        <v>23</v>
      </c>
      <c r="E2578" s="5" t="s">
        <v>23</v>
      </c>
      <c r="F2578" s="5" t="s">
        <v>23</v>
      </c>
      <c r="G2578" s="5" t="s">
        <v>23</v>
      </c>
      <c r="H2578" s="6">
        <f>IF(J2578=1,1.0,0)</f>
        <v/>
      </c>
      <c r="I2578" s="6">
        <f>IF(J2578=1,0.9,0)</f>
        <v/>
      </c>
      <c r="J2578" s="8">
        <f>IF(OR(LOOKUP(A2578,characters!A:A,characters!B:B)=-1, LOOKUP(A2578,characters!A:A,characters!B:B)+0.1&gt;=B2578),1,0)</f>
        <v/>
      </c>
    </row>
    <row r="2579" spans="1:10">
      <c r="A2579" s="4" t="s">
        <v>46</v>
      </c>
      <c r="B2579" s="7">
        <v>1</v>
      </c>
      <c r="C2579" s="5" t="s">
        <v>23</v>
      </c>
      <c r="D2579" s="5" t="s">
        <v>23</v>
      </c>
      <c r="E2579" s="5" t="s">
        <v>23</v>
      </c>
      <c r="F2579" s="5" t="s">
        <v>23</v>
      </c>
      <c r="G2579" s="5" t="s">
        <v>23</v>
      </c>
      <c r="H2579" s="6">
        <f>IF(J2579=1,1.0,0)</f>
        <v/>
      </c>
      <c r="I2579" s="6">
        <f>IF(J2579=1,0.9,0)</f>
        <v/>
      </c>
      <c r="J2579" s="8">
        <f>IF(OR(LOOKUP(A2579,characters!A:A,characters!B:B)=-1, LOOKUP(A2579,characters!A:A,characters!B:B)+0.1&gt;=B2579),1,0)</f>
        <v/>
      </c>
    </row>
    <row r="2580" spans="1:10">
      <c r="A2580" s="4" t="s">
        <v>113</v>
      </c>
      <c r="B2580" s="7">
        <v>1</v>
      </c>
      <c r="C2580" s="5" t="s">
        <v>23</v>
      </c>
      <c r="D2580" s="5" t="s">
        <v>23</v>
      </c>
      <c r="E2580" s="5" t="s">
        <v>23</v>
      </c>
      <c r="F2580" s="6">
        <f>IF(J2580=1,1.0,0)</f>
        <v/>
      </c>
      <c r="G2580" s="6">
        <f>IF(J2580=1,0.99,0)</f>
        <v/>
      </c>
      <c r="H2580" s="5" t="s">
        <v>23</v>
      </c>
      <c r="I2580" s="5" t="s">
        <v>23</v>
      </c>
      <c r="J2580" s="8">
        <f>IF(OR(LOOKUP(A2580,characters!A:A,characters!B:B)=-1, LOOKUP(A2580,characters!A:A,characters!B:B)+0.1&gt;=B2580),1,0)</f>
        <v/>
      </c>
    </row>
    <row r="2582" spans="1:10">
      <c r="A2582" s="3" t="s">
        <v>52</v>
      </c>
      <c r="B2582" s="3" t="s">
        <v>9</v>
      </c>
      <c r="C2582" s="3" t="s">
        <v>10</v>
      </c>
      <c r="D2582" s="3" t="s">
        <v>17</v>
      </c>
    </row>
    <row r="2583" spans="1:10">
      <c r="A2583" s="4" t="s">
        <v>22</v>
      </c>
      <c r="B2583" s="5" t="s">
        <v>23</v>
      </c>
      <c r="C2583" s="6">
        <f>IF(SUM(E2584:E2593)=0,0,SUM(C2584:C2593)/SUM(E2584:E2593))</f>
        <v/>
      </c>
      <c r="D2583" s="6">
        <f>IF(SUM(E2584:E2593)=0,0,SUM(D2584:D2593)/SUM(E2584:E2593))</f>
        <v/>
      </c>
    </row>
    <row r="2584" spans="1:10">
      <c r="A2584" s="4" t="s">
        <v>94</v>
      </c>
      <c r="B2584" s="7">
        <v>2</v>
      </c>
      <c r="C2584" s="6">
        <f>IF(E2584=1,1.0,0)</f>
        <v/>
      </c>
      <c r="D2584" s="5" t="s">
        <v>23</v>
      </c>
      <c r="E2584" s="8">
        <f>IF(OR(LOOKUP(A2584,characters!A:A,characters!B:B)=-1, LOOKUP(A2584,characters!A:A,characters!B:B)+0.1&gt;=B2584),1,0)</f>
        <v/>
      </c>
    </row>
    <row r="2585" spans="1:10">
      <c r="A2585" s="4" t="s">
        <v>119</v>
      </c>
      <c r="B2585" s="7">
        <v>1</v>
      </c>
      <c r="C2585" s="6">
        <f>IF(E2585=1,1.0,0)</f>
        <v/>
      </c>
      <c r="D2585" s="5" t="s">
        <v>23</v>
      </c>
      <c r="E2585" s="8">
        <f>IF(OR(LOOKUP(A2585,characters!A:A,characters!B:B)=-1, LOOKUP(A2585,characters!A:A,characters!B:B)+0.1&gt;=B2585),1,0)</f>
        <v/>
      </c>
    </row>
    <row r="2586" spans="1:10">
      <c r="A2586" s="4" t="s">
        <v>29</v>
      </c>
      <c r="B2586" s="7">
        <v>1</v>
      </c>
      <c r="C2586" s="6">
        <f>IF(E2586=1,1.0,0)</f>
        <v/>
      </c>
      <c r="D2586" s="5" t="s">
        <v>23</v>
      </c>
      <c r="E2586" s="8">
        <f>IF(OR(LOOKUP(A2586,characters!A:A,characters!B:B)=-1, LOOKUP(A2586,characters!A:A,characters!B:B)+0.1&gt;=B2586),1,0)</f>
        <v/>
      </c>
    </row>
    <row r="2587" spans="1:10">
      <c r="A2587" s="4" t="s">
        <v>35</v>
      </c>
      <c r="B2587" s="7">
        <v>1</v>
      </c>
      <c r="C2587" s="6">
        <f>IF(E2587=1,1.0,0)</f>
        <v/>
      </c>
      <c r="D2587" s="5" t="s">
        <v>23</v>
      </c>
      <c r="E2587" s="8">
        <f>IF(OR(LOOKUP(A2587,characters!A:A,characters!B:B)=-1, LOOKUP(A2587,characters!A:A,characters!B:B)+0.1&gt;=B2587),1,0)</f>
        <v/>
      </c>
    </row>
    <row r="2588" spans="1:10">
      <c r="A2588" s="4" t="s">
        <v>76</v>
      </c>
      <c r="B2588" s="7">
        <v>1</v>
      </c>
      <c r="C2588" s="6">
        <f>IF(E2588=1,1.0,0)</f>
        <v/>
      </c>
      <c r="D2588" s="5" t="s">
        <v>23</v>
      </c>
      <c r="E2588" s="8">
        <f>IF(OR(LOOKUP(A2588,characters!A:A,characters!B:B)=-1, LOOKUP(A2588,characters!A:A,characters!B:B)+0.1&gt;=B2588),1,0)</f>
        <v/>
      </c>
    </row>
    <row r="2589" spans="1:10">
      <c r="A2589" s="4" t="s">
        <v>110</v>
      </c>
      <c r="B2589" s="7">
        <v>1</v>
      </c>
      <c r="C2589" s="6">
        <f>IF(E2589=1,1.0,0)</f>
        <v/>
      </c>
      <c r="D2589" s="6">
        <f>IF(E2589=1,0.99,0)</f>
        <v/>
      </c>
      <c r="E2589" s="8">
        <f>IF(OR(LOOKUP(A2589,characters!A:A,characters!B:B)=-1, LOOKUP(A2589,characters!A:A,characters!B:B)+0.1&gt;=B2589),1,0)</f>
        <v/>
      </c>
    </row>
    <row r="2590" spans="1:10">
      <c r="A2590" s="4" t="s">
        <v>95</v>
      </c>
      <c r="B2590" s="7">
        <v>1</v>
      </c>
      <c r="C2590" s="6">
        <f>IF(E2590=1,1.0,0)</f>
        <v/>
      </c>
      <c r="D2590" s="5" t="s">
        <v>23</v>
      </c>
      <c r="E2590" s="8">
        <f>IF(OR(LOOKUP(A2590,characters!A:A,characters!B:B)=-1, LOOKUP(A2590,characters!A:A,characters!B:B)+0.1&gt;=B2590),1,0)</f>
        <v/>
      </c>
    </row>
    <row r="2591" spans="1:10">
      <c r="A2591" s="4" t="s">
        <v>42</v>
      </c>
      <c r="B2591" s="7">
        <v>2</v>
      </c>
      <c r="C2591" s="6">
        <f>IF(E2591=1,1.0,0)</f>
        <v/>
      </c>
      <c r="D2591" s="5" t="s">
        <v>23</v>
      </c>
      <c r="E2591" s="8">
        <f>IF(OR(LOOKUP(A2591,characters!A:A,characters!B:B)=-1, LOOKUP(A2591,characters!A:A,characters!B:B)+0.1&gt;=B2591),1,0)</f>
        <v/>
      </c>
    </row>
    <row r="2592" spans="1:10">
      <c r="A2592" s="4" t="s">
        <v>46</v>
      </c>
      <c r="B2592" s="7">
        <v>1</v>
      </c>
      <c r="C2592" s="6">
        <f>IF(E2592=1,1.0,0)</f>
        <v/>
      </c>
      <c r="D2592" s="5" t="s">
        <v>23</v>
      </c>
      <c r="E2592" s="8">
        <f>IF(OR(LOOKUP(A2592,characters!A:A,characters!B:B)=-1, LOOKUP(A2592,characters!A:A,characters!B:B)+0.1&gt;=B2592),1,0)</f>
        <v/>
      </c>
    </row>
    <row r="2593" spans="1:9">
      <c r="A2593" s="4" t="s">
        <v>113</v>
      </c>
      <c r="B2593" s="7">
        <v>1</v>
      </c>
      <c r="C2593" s="6">
        <f>IF(E2593=1,1.0,0)</f>
        <v/>
      </c>
      <c r="D2593" s="6">
        <f>IF(E2593=1,0.99,0)</f>
        <v/>
      </c>
      <c r="E2593" s="8">
        <f>IF(OR(LOOKUP(A2593,characters!A:A,characters!B:B)=-1, LOOKUP(A2593,characters!A:A,characters!B:B)+0.1&gt;=B2593),1,0)</f>
        <v/>
      </c>
    </row>
    <row r="2600" spans="1:9">
      <c r="A2600" s="3" t="s">
        <v>167</v>
      </c>
    </row>
    <row r="2601" spans="1:9">
      <c r="A2601" s="3" t="s">
        <v>8</v>
      </c>
      <c r="B2601" s="3" t="s">
        <v>9</v>
      </c>
      <c r="C2601" s="3" t="s">
        <v>16</v>
      </c>
      <c r="D2601" s="3" t="s">
        <v>10</v>
      </c>
      <c r="E2601" s="3" t="s">
        <v>17</v>
      </c>
      <c r="F2601" s="3" t="s">
        <v>13</v>
      </c>
      <c r="G2601" s="3" t="s">
        <v>12</v>
      </c>
      <c r="H2601" s="3" t="s">
        <v>18</v>
      </c>
    </row>
    <row r="2602" spans="1:9">
      <c r="A2602" s="4" t="s">
        <v>22</v>
      </c>
      <c r="B2602" s="5" t="s">
        <v>23</v>
      </c>
      <c r="C2602" s="6">
        <f>IF(SUM(I2603:I2604)=0,0,SUM(C2603:C2604)/SUM(I2603:I2604))</f>
        <v/>
      </c>
      <c r="D2602" s="6">
        <f>IF(SUM(I2603:I2604)=0,0,SUM(D2603:D2604)/SUM(I2603:I2604))</f>
        <v/>
      </c>
      <c r="E2602" s="6">
        <f>IF(SUM(I2603:I2604)=0,0,SUM(E2603:E2604)/SUM(I2603:I2604))</f>
        <v/>
      </c>
      <c r="F2602" s="6">
        <f>IF(SUM(I2603:I2604)=0,0,SUM(F2603:F2604)/SUM(I2603:I2604))</f>
        <v/>
      </c>
      <c r="G2602" s="6">
        <f>IF(SUM(I2603:I2604)=0,0,SUM(G2603:G2604)/SUM(I2603:I2604))</f>
        <v/>
      </c>
      <c r="H2602" s="6">
        <f>IF(SUM(I2603:I2604)=0,0,SUM(H2603:H2604)/SUM(I2603:I2604))</f>
        <v/>
      </c>
    </row>
    <row r="2603" spans="1:9">
      <c r="A2603" s="4" t="s">
        <v>31</v>
      </c>
      <c r="B2603" s="7">
        <v>0</v>
      </c>
      <c r="C2603" s="6">
        <f>IF(I2603=1,1.0,0)</f>
        <v/>
      </c>
      <c r="D2603" s="6">
        <f>IF(I2603=1,0.9,0)</f>
        <v/>
      </c>
      <c r="E2603" s="6">
        <f>IF(I2603=1,0.8,0)</f>
        <v/>
      </c>
      <c r="F2603" s="6">
        <f>IF(I2603=1,0.7,0)</f>
        <v/>
      </c>
      <c r="G2603" s="6">
        <f>IF(I2603=1,0.7,0)</f>
        <v/>
      </c>
      <c r="H2603" s="6">
        <f>IF(I2603=1,0.7,0)</f>
        <v/>
      </c>
      <c r="I2603" s="8">
        <f>IF(OR(LOOKUP(A2603,characters!A:A,characters!B:B)=-1, LOOKUP(A2603,characters!A:A,characters!B:B)+0.1&gt;=B2603),1,0)</f>
        <v/>
      </c>
    </row>
    <row r="2604" spans="1:9">
      <c r="A2604" s="4" t="s">
        <v>34</v>
      </c>
      <c r="B2604" s="7">
        <v>0</v>
      </c>
      <c r="C2604" s="6">
        <f>IF(I2604=1,1.0,0)</f>
        <v/>
      </c>
      <c r="D2604" s="6">
        <f>IF(I2604=1,0.9,0)</f>
        <v/>
      </c>
      <c r="E2604" s="6">
        <f>IF(I2604=1,0.8,0)</f>
        <v/>
      </c>
      <c r="F2604" s="5" t="s">
        <v>23</v>
      </c>
      <c r="G2604" s="5" t="s">
        <v>23</v>
      </c>
      <c r="H2604" s="5" t="s">
        <v>23</v>
      </c>
      <c r="I2604" s="8">
        <f>IF(OR(LOOKUP(A2604,characters!A:A,characters!B:B)=-1, LOOKUP(A2604,characters!A:A,characters!B:B)+0.1&gt;=B2604),1,0)</f>
        <v/>
      </c>
    </row>
    <row r="2606" spans="1:9">
      <c r="A2606" s="3" t="s">
        <v>49</v>
      </c>
      <c r="B2606" s="3" t="s">
        <v>9</v>
      </c>
      <c r="C2606" s="3" t="s">
        <v>17</v>
      </c>
      <c r="D2606" s="3" t="s">
        <v>16</v>
      </c>
    </row>
    <row r="2607" spans="1:9">
      <c r="A2607" s="4" t="s">
        <v>22</v>
      </c>
      <c r="B2607" s="5" t="s">
        <v>23</v>
      </c>
      <c r="C2607" s="6">
        <f>IF(SUM(E2608:E2609)=0,0,SUM(C2608:C2609)/SUM(E2608:E2609))</f>
        <v/>
      </c>
      <c r="D2607" s="6">
        <f>IF(SUM(E2608:E2609)=0,0,SUM(D2608:D2609)/SUM(E2608:E2609))</f>
        <v/>
      </c>
    </row>
    <row r="2608" spans="1:9">
      <c r="A2608" s="4" t="s">
        <v>31</v>
      </c>
      <c r="B2608" s="7">
        <v>0</v>
      </c>
      <c r="C2608" s="6">
        <f>IF(E2608=1,1.0,0)</f>
        <v/>
      </c>
      <c r="D2608" s="6">
        <f>IF(E2608=1,0.9,0)</f>
        <v/>
      </c>
      <c r="E2608" s="8">
        <f>IF(OR(LOOKUP(A2608,characters!A:A,characters!B:B)=-1, LOOKUP(A2608,characters!A:A,characters!B:B)+0.1&gt;=B2608),1,0)</f>
        <v/>
      </c>
    </row>
    <row r="2609" spans="1:7">
      <c r="A2609" s="4" t="s">
        <v>34</v>
      </c>
      <c r="B2609" s="7">
        <v>0</v>
      </c>
      <c r="C2609" s="5" t="s">
        <v>23</v>
      </c>
      <c r="D2609" s="6">
        <f>IF(E2609=1,1.0,0)</f>
        <v/>
      </c>
      <c r="E2609" s="8">
        <f>IF(OR(LOOKUP(A2609,characters!A:A,characters!B:B)=-1, LOOKUP(A2609,characters!A:A,characters!B:B)+0.1&gt;=B2609),1,0)</f>
        <v/>
      </c>
    </row>
    <row r="2611" spans="1:7">
      <c r="A2611" s="3" t="s">
        <v>52</v>
      </c>
      <c r="B2611" s="3" t="s">
        <v>9</v>
      </c>
      <c r="C2611" s="3" t="s">
        <v>10</v>
      </c>
    </row>
    <row r="2612" spans="1:7">
      <c r="A2612" s="4" t="s">
        <v>22</v>
      </c>
      <c r="B2612" s="5" t="s">
        <v>23</v>
      </c>
      <c r="C2612" s="6">
        <f>IF(SUM(D2613:D2614)=0,0,SUM(C2613:C2614)/SUM(D2613:D2614))</f>
        <v/>
      </c>
    </row>
    <row r="2613" spans="1:7">
      <c r="A2613" s="4" t="s">
        <v>31</v>
      </c>
      <c r="B2613" s="7">
        <v>0</v>
      </c>
      <c r="C2613" s="6">
        <f>IF(D2613=1,1.0,0)</f>
        <v/>
      </c>
      <c r="D2613" s="8">
        <f>IF(OR(LOOKUP(A2613,characters!A:A,characters!B:B)=-1, LOOKUP(A2613,characters!A:A,characters!B:B)+0.1&gt;=B2613),1,0)</f>
        <v/>
      </c>
    </row>
    <row r="2614" spans="1:7">
      <c r="A2614" s="4" t="s">
        <v>34</v>
      </c>
      <c r="B2614" s="7">
        <v>0</v>
      </c>
      <c r="C2614" s="6">
        <f>IF(D2614=1,1.0,0)</f>
        <v/>
      </c>
      <c r="D2614" s="8">
        <f>IF(OR(LOOKUP(A2614,characters!A:A,characters!B:B)=-1, LOOKUP(A2614,characters!A:A,characters!B:B)+0.1&gt;=B2614),1,0)</f>
        <v/>
      </c>
    </row>
    <row r="2621" spans="1:7">
      <c r="A2621" s="3" t="s">
        <v>168</v>
      </c>
    </row>
    <row r="2622" spans="1:7">
      <c r="A2622" s="3" t="s">
        <v>8</v>
      </c>
      <c r="B2622" s="3" t="s">
        <v>9</v>
      </c>
      <c r="C2622" s="3" t="s">
        <v>10</v>
      </c>
      <c r="D2622" s="3" t="s">
        <v>13</v>
      </c>
      <c r="E2622" s="3" t="s">
        <v>11</v>
      </c>
      <c r="F2622" s="3" t="s">
        <v>12</v>
      </c>
    </row>
    <row r="2623" spans="1:7">
      <c r="A2623" s="4" t="s">
        <v>22</v>
      </c>
      <c r="B2623" s="5" t="s">
        <v>23</v>
      </c>
      <c r="C2623" s="6">
        <f>IF(SUM(G2624:G2627)=0,0,SUM(C2624:C2627)/SUM(G2624:G2627))</f>
        <v/>
      </c>
      <c r="D2623" s="6">
        <f>IF(SUM(G2624:G2627)=0,0,SUM(D2624:D2627)/SUM(G2624:G2627))</f>
        <v/>
      </c>
      <c r="E2623" s="6">
        <f>IF(SUM(G2624:G2627)=0,0,SUM(E2624:E2627)/SUM(G2624:G2627))</f>
        <v/>
      </c>
      <c r="F2623" s="6">
        <f>IF(SUM(G2624:G2627)=0,0,SUM(F2624:F2627)/SUM(G2624:G2627))</f>
        <v/>
      </c>
    </row>
    <row r="2624" spans="1:7">
      <c r="A2624" s="4" t="s">
        <v>26</v>
      </c>
      <c r="B2624" s="7">
        <v>1</v>
      </c>
      <c r="C2624" s="6">
        <f>IF(G2624=1,1.0,0)</f>
        <v/>
      </c>
      <c r="D2624" s="6">
        <f>IF(G2624=1,0.9,0)</f>
        <v/>
      </c>
      <c r="E2624" s="6">
        <f>IF(G2624=1,0.8,0)</f>
        <v/>
      </c>
      <c r="F2624" s="6">
        <f>IF(G2624=1,0.8,0)</f>
        <v/>
      </c>
      <c r="G2624" s="8">
        <f>IF(OR(LOOKUP(A2624,characters!A:A,characters!B:B)=-1, LOOKUP(A2624,characters!A:A,characters!B:B)+0.1&gt;=B2624),1,0)</f>
        <v/>
      </c>
    </row>
    <row r="2625" spans="1:7">
      <c r="A2625" s="4" t="s">
        <v>37</v>
      </c>
      <c r="B2625" s="7">
        <v>1</v>
      </c>
      <c r="C2625" s="6">
        <f>IF(G2625=1,1.0,0)</f>
        <v/>
      </c>
      <c r="D2625" s="6">
        <f>IF(G2625=1,0.9,0)</f>
        <v/>
      </c>
      <c r="E2625" s="6">
        <f>IF(G2625=1,0.8,0)</f>
        <v/>
      </c>
      <c r="F2625" s="6">
        <f>IF(G2625=1,0.7,0)</f>
        <v/>
      </c>
      <c r="G2625" s="8">
        <f>IF(OR(LOOKUP(A2625,characters!A:A,characters!B:B)=-1, LOOKUP(A2625,characters!A:A,characters!B:B)+0.1&gt;=B2625),1,0)</f>
        <v/>
      </c>
    </row>
    <row r="2626" spans="1:7">
      <c r="A2626" s="4" t="s">
        <v>39</v>
      </c>
      <c r="B2626" s="7">
        <v>1</v>
      </c>
      <c r="C2626" s="6">
        <f>IF(G2626=1,1.0,0)</f>
        <v/>
      </c>
      <c r="D2626" s="6">
        <f>IF(G2626=1,0.9,0)</f>
        <v/>
      </c>
      <c r="E2626" s="6">
        <f>IF(G2626=1,0.8,0)</f>
        <v/>
      </c>
      <c r="F2626" s="6">
        <f>IF(G2626=1,0.8,0)</f>
        <v/>
      </c>
      <c r="G2626" s="8">
        <f>IF(OR(LOOKUP(A2626,characters!A:A,characters!B:B)=-1, LOOKUP(A2626,characters!A:A,characters!B:B)+0.1&gt;=B2626),1,0)</f>
        <v/>
      </c>
    </row>
    <row r="2627" spans="1:7">
      <c r="A2627" s="4" t="s">
        <v>33</v>
      </c>
      <c r="B2627" s="7">
        <v>3</v>
      </c>
      <c r="C2627" s="6">
        <f>IF(G2627=1,1.0,0)</f>
        <v/>
      </c>
      <c r="D2627" s="6">
        <f>IF(G2627=1,0.9,0)</f>
        <v/>
      </c>
      <c r="E2627" s="6">
        <f>IF(G2627=1,0.8,0)</f>
        <v/>
      </c>
      <c r="F2627" s="6">
        <f>IF(G2627=1,0.8,0)</f>
        <v/>
      </c>
      <c r="G2627" s="8">
        <f>IF(OR(LOOKUP(A2627,characters!A:A,characters!B:B)=-1, LOOKUP(A2627,characters!A:A,characters!B:B)+0.1&gt;=B2627),1,0)</f>
        <v/>
      </c>
    </row>
    <row r="2629" spans="1:7">
      <c r="A2629" s="3" t="s">
        <v>49</v>
      </c>
      <c r="B2629" s="3" t="s">
        <v>9</v>
      </c>
      <c r="C2629" s="3" t="s">
        <v>50</v>
      </c>
      <c r="D2629" s="3" t="s">
        <v>13</v>
      </c>
    </row>
    <row r="2630" spans="1:7">
      <c r="A2630" s="4" t="s">
        <v>22</v>
      </c>
      <c r="B2630" s="5" t="s">
        <v>23</v>
      </c>
      <c r="C2630" s="6">
        <f>IF(SUM(E2631:E2634)=0,0,SUM(C2631:C2634)/SUM(E2631:E2634))</f>
        <v/>
      </c>
      <c r="D2630" s="6">
        <f>IF(SUM(E2631:E2634)=0,0,SUM(D2631:D2634)/SUM(E2631:E2634))</f>
        <v/>
      </c>
    </row>
    <row r="2631" spans="1:7">
      <c r="A2631" s="4" t="s">
        <v>26</v>
      </c>
      <c r="B2631" s="7">
        <v>1</v>
      </c>
      <c r="C2631" s="6">
        <f>IF(E2631=1,1.0,0)</f>
        <v/>
      </c>
      <c r="D2631" s="6">
        <f>IF(E2631=1,0.9,0)</f>
        <v/>
      </c>
      <c r="E2631" s="8">
        <f>IF(OR(LOOKUP(A2631,characters!A:A,characters!B:B)=-1, LOOKUP(A2631,characters!A:A,characters!B:B)+0.1&gt;=B2631),1,0)</f>
        <v/>
      </c>
    </row>
    <row r="2632" spans="1:7">
      <c r="A2632" s="4" t="s">
        <v>33</v>
      </c>
      <c r="B2632" s="7">
        <v>3</v>
      </c>
      <c r="C2632" s="6">
        <f>IF(E2632=1,1.0,0)</f>
        <v/>
      </c>
      <c r="D2632" s="6">
        <f>IF(E2632=1,0.9,0)</f>
        <v/>
      </c>
      <c r="E2632" s="8">
        <f>IF(OR(LOOKUP(A2632,characters!A:A,characters!B:B)=-1, LOOKUP(A2632,characters!A:A,characters!B:B)+0.1&gt;=B2632),1,0)</f>
        <v/>
      </c>
    </row>
    <row r="2633" spans="1:7">
      <c r="A2633" s="4" t="s">
        <v>37</v>
      </c>
      <c r="B2633" s="7">
        <v>1</v>
      </c>
      <c r="C2633" s="6">
        <f>IF(E2633=1,1.0,0)</f>
        <v/>
      </c>
      <c r="D2633" s="6">
        <f>IF(E2633=1,0.9,0)</f>
        <v/>
      </c>
      <c r="E2633" s="8">
        <f>IF(OR(LOOKUP(A2633,characters!A:A,characters!B:B)=-1, LOOKUP(A2633,characters!A:A,characters!B:B)+0.1&gt;=B2633),1,0)</f>
        <v/>
      </c>
    </row>
    <row r="2634" spans="1:7">
      <c r="A2634" s="4" t="s">
        <v>39</v>
      </c>
      <c r="B2634" s="7">
        <v>1</v>
      </c>
      <c r="C2634" s="6">
        <f>IF(E2634=1,1.0,0)</f>
        <v/>
      </c>
      <c r="D2634" s="6">
        <f>IF(E2634=1,0.9,0)</f>
        <v/>
      </c>
      <c r="E2634" s="8">
        <f>IF(OR(LOOKUP(A2634,characters!A:A,characters!B:B)=-1, LOOKUP(A2634,characters!A:A,characters!B:B)+0.1&gt;=B2634),1,0)</f>
        <v/>
      </c>
    </row>
    <row r="2636" spans="1:7">
      <c r="A2636" s="3" t="s">
        <v>52</v>
      </c>
      <c r="B2636" s="3" t="s">
        <v>9</v>
      </c>
      <c r="C2636" s="3" t="s">
        <v>10</v>
      </c>
    </row>
    <row r="2637" spans="1:7">
      <c r="A2637" s="4" t="s">
        <v>22</v>
      </c>
      <c r="B2637" s="5" t="s">
        <v>23</v>
      </c>
      <c r="C2637" s="6">
        <f>IF(SUM(D2638:D2641)=0,0,SUM(C2638:C2641)/SUM(D2638:D2641))</f>
        <v/>
      </c>
    </row>
    <row r="2638" spans="1:7">
      <c r="A2638" s="4" t="s">
        <v>26</v>
      </c>
      <c r="B2638" s="7">
        <v>1</v>
      </c>
      <c r="C2638" s="6">
        <f>IF(D2638=1,1.0,0)</f>
        <v/>
      </c>
      <c r="D2638" s="8">
        <f>IF(OR(LOOKUP(A2638,characters!A:A,characters!B:B)=-1, LOOKUP(A2638,characters!A:A,characters!B:B)+0.1&gt;=B2638),1,0)</f>
        <v/>
      </c>
    </row>
    <row r="2639" spans="1:7">
      <c r="A2639" s="4" t="s">
        <v>33</v>
      </c>
      <c r="B2639" s="7">
        <v>3</v>
      </c>
      <c r="C2639" s="6">
        <f>IF(D2639=1,1.0,0)</f>
        <v/>
      </c>
      <c r="D2639" s="8">
        <f>IF(OR(LOOKUP(A2639,characters!A:A,characters!B:B)=-1, LOOKUP(A2639,characters!A:A,characters!B:B)+0.1&gt;=B2639),1,0)</f>
        <v/>
      </c>
    </row>
    <row r="2640" spans="1:7">
      <c r="A2640" s="4" t="s">
        <v>37</v>
      </c>
      <c r="B2640" s="7">
        <v>1</v>
      </c>
      <c r="C2640" s="6">
        <f>IF(D2640=1,1.0,0)</f>
        <v/>
      </c>
      <c r="D2640" s="8">
        <f>IF(OR(LOOKUP(A2640,characters!A:A,characters!B:B)=-1, LOOKUP(A2640,characters!A:A,characters!B:B)+0.1&gt;=B2640),1,0)</f>
        <v/>
      </c>
    </row>
    <row r="2641" spans="1:10">
      <c r="A2641" s="4" t="s">
        <v>39</v>
      </c>
      <c r="B2641" s="7">
        <v>1</v>
      </c>
      <c r="C2641" s="6">
        <f>IF(D2641=1,1.0,0)</f>
        <v/>
      </c>
      <c r="D2641" s="8">
        <f>IF(OR(LOOKUP(A2641,characters!A:A,characters!B:B)=-1, LOOKUP(A2641,characters!A:A,characters!B:B)+0.1&gt;=B2641),1,0)</f>
        <v/>
      </c>
    </row>
    <row r="2648" spans="1:10">
      <c r="A2648" s="3" t="s">
        <v>169</v>
      </c>
    </row>
    <row r="2649" spans="1:10">
      <c r="A2649" s="3" t="s">
        <v>8</v>
      </c>
      <c r="B2649" s="3" t="s">
        <v>9</v>
      </c>
      <c r="C2649" s="3" t="s">
        <v>10</v>
      </c>
      <c r="D2649" s="3" t="s">
        <v>12</v>
      </c>
      <c r="E2649" s="3" t="s">
        <v>11</v>
      </c>
      <c r="F2649" s="3" t="s">
        <v>13</v>
      </c>
      <c r="G2649" s="3" t="s">
        <v>16</v>
      </c>
      <c r="H2649" s="3" t="s">
        <v>19</v>
      </c>
      <c r="I2649" s="3" t="s">
        <v>21</v>
      </c>
    </row>
    <row r="2650" spans="1:10">
      <c r="A2650" s="4" t="s">
        <v>22</v>
      </c>
      <c r="B2650" s="5" t="s">
        <v>23</v>
      </c>
      <c r="C2650" s="6">
        <f>IF(SUM(J2651:J2655)=0,0,SUM(C2651:C2655)/SUM(J2651:J2655))</f>
        <v/>
      </c>
      <c r="D2650" s="6">
        <f>IF(SUM(J2651:J2655)=0,0,SUM(D2651:D2655)/SUM(J2651:J2655))</f>
        <v/>
      </c>
      <c r="E2650" s="6">
        <f>IF(SUM(J2651:J2655)=0,0,SUM(E2651:E2655)/SUM(J2651:J2655))</f>
        <v/>
      </c>
      <c r="F2650" s="6">
        <f>IF(SUM(J2651:J2655)=0,0,SUM(F2651:F2655)/SUM(J2651:J2655))</f>
        <v/>
      </c>
      <c r="G2650" s="6">
        <f>IF(SUM(J2651:J2655)=0,0,SUM(G2651:G2655)/SUM(J2651:J2655))</f>
        <v/>
      </c>
      <c r="H2650" s="6">
        <f>IF(SUM(J2651:J2655)=0,0,SUM(H2651:H2655)/SUM(J2651:J2655))</f>
        <v/>
      </c>
      <c r="I2650" s="6">
        <f>IF(SUM(J2651:J2655)=0,0,SUM(I2651:I2655)/SUM(J2651:J2655))</f>
        <v/>
      </c>
    </row>
    <row r="2651" spans="1:10">
      <c r="A2651" s="4" t="s">
        <v>25</v>
      </c>
      <c r="B2651" s="7">
        <v>0</v>
      </c>
      <c r="C2651" s="6">
        <f>IF(J2651=1,0.99,0)</f>
        <v/>
      </c>
      <c r="D2651" s="6">
        <f>IF(J2651=1,1.0,0)</f>
        <v/>
      </c>
      <c r="E2651" s="6">
        <f>IF(J2651=1,0.69,0)</f>
        <v/>
      </c>
      <c r="F2651" s="5" t="s">
        <v>23</v>
      </c>
      <c r="G2651" s="5" t="s">
        <v>23</v>
      </c>
      <c r="H2651" s="6">
        <f>IF(J2651=1,0.89,0)</f>
        <v/>
      </c>
      <c r="I2651" s="6">
        <f>IF(J2651=1,0.79,0)</f>
        <v/>
      </c>
      <c r="J2651" s="8">
        <f>IF(OR(LOOKUP(A2651,characters!A:A,characters!B:B)=-1, LOOKUP(A2651,characters!A:A,characters!B:B)+0.1&gt;=B2651),1,0)</f>
        <v/>
      </c>
    </row>
    <row r="2652" spans="1:10">
      <c r="A2652" s="4" t="s">
        <v>28</v>
      </c>
      <c r="B2652" s="7">
        <v>0</v>
      </c>
      <c r="C2652" s="6">
        <f>IF(J2652=1,1.0,0)</f>
        <v/>
      </c>
      <c r="D2652" s="6">
        <f>IF(J2652=1,0.99,0)</f>
        <v/>
      </c>
      <c r="E2652" s="6">
        <f>IF(J2652=1,0.89,0)</f>
        <v/>
      </c>
      <c r="F2652" s="6">
        <f>IF(J2652=1,1.0,0)</f>
        <v/>
      </c>
      <c r="G2652" s="5" t="s">
        <v>23</v>
      </c>
      <c r="H2652" s="5" t="s">
        <v>23</v>
      </c>
      <c r="I2652" s="5" t="s">
        <v>23</v>
      </c>
      <c r="J2652" s="8">
        <f>IF(OR(LOOKUP(A2652,characters!A:A,characters!B:B)=-1, LOOKUP(A2652,characters!A:A,characters!B:B)+0.1&gt;=B2652),1,0)</f>
        <v/>
      </c>
    </row>
    <row r="2653" spans="1:10">
      <c r="A2653" s="4" t="s">
        <v>30</v>
      </c>
      <c r="B2653" s="7">
        <v>0</v>
      </c>
      <c r="C2653" s="6">
        <f>IF(J2653=1,1.0,0)</f>
        <v/>
      </c>
      <c r="D2653" s="6">
        <f>IF(J2653=1,1.0,0)</f>
        <v/>
      </c>
      <c r="E2653" s="6">
        <f>IF(J2653=1,0.9,0)</f>
        <v/>
      </c>
      <c r="F2653" s="6">
        <f>IF(J2653=1,0.9,0)</f>
        <v/>
      </c>
      <c r="G2653" s="5" t="s">
        <v>23</v>
      </c>
      <c r="H2653" s="5" t="s">
        <v>23</v>
      </c>
      <c r="I2653" s="5" t="s">
        <v>23</v>
      </c>
      <c r="J2653" s="8">
        <f>IF(OR(LOOKUP(A2653,characters!A:A,characters!B:B)=-1, LOOKUP(A2653,characters!A:A,characters!B:B)+0.1&gt;=B2653),1,0)</f>
        <v/>
      </c>
    </row>
    <row r="2654" spans="1:10">
      <c r="A2654" s="4" t="s">
        <v>47</v>
      </c>
      <c r="B2654" s="7">
        <v>0</v>
      </c>
      <c r="C2654" s="6">
        <f>IF(J2654=1,0.9,0)</f>
        <v/>
      </c>
      <c r="D2654" s="6">
        <f>IF(J2654=1,0.8,0)</f>
        <v/>
      </c>
      <c r="E2654" s="6">
        <f>IF(J2654=1,1.0,0)</f>
        <v/>
      </c>
      <c r="F2654" s="6">
        <f>IF(J2654=1,0.7,0)</f>
        <v/>
      </c>
      <c r="G2654" s="6">
        <f>IF(J2654=1,0.6,0)</f>
        <v/>
      </c>
      <c r="H2654" s="5" t="s">
        <v>23</v>
      </c>
      <c r="I2654" s="5" t="s">
        <v>23</v>
      </c>
      <c r="J2654" s="8">
        <f>IF(OR(LOOKUP(A2654,characters!A:A,characters!B:B)=-1, LOOKUP(A2654,characters!A:A,characters!B:B)+0.1&gt;=B2654),1,0)</f>
        <v/>
      </c>
    </row>
    <row r="2655" spans="1:10">
      <c r="A2655" s="4" t="s">
        <v>38</v>
      </c>
      <c r="B2655" s="7">
        <v>2</v>
      </c>
      <c r="C2655" s="6">
        <f>IF(J2655=1,1.0,0)</f>
        <v/>
      </c>
      <c r="D2655" s="6">
        <f>IF(J2655=1,0.9,0)</f>
        <v/>
      </c>
      <c r="E2655" s="6">
        <f>IF(J2655=1,0.8,0)</f>
        <v/>
      </c>
      <c r="F2655" s="6">
        <f>IF(J2655=1,0.8,0)</f>
        <v/>
      </c>
      <c r="G2655" s="6">
        <f>IF(J2655=1,1.0,0)</f>
        <v/>
      </c>
      <c r="H2655" s="5" t="s">
        <v>23</v>
      </c>
      <c r="I2655" s="5" t="s">
        <v>23</v>
      </c>
      <c r="J2655" s="8">
        <f>IF(OR(LOOKUP(A2655,characters!A:A,characters!B:B)=-1, LOOKUP(A2655,characters!A:A,characters!B:B)+0.1&gt;=B2655),1,0)</f>
        <v/>
      </c>
    </row>
    <row r="2657" spans="1:7">
      <c r="A2657" s="3" t="s">
        <v>49</v>
      </c>
      <c r="B2657" s="3" t="s">
        <v>9</v>
      </c>
      <c r="C2657" s="3" t="s">
        <v>12</v>
      </c>
      <c r="D2657" s="3" t="s">
        <v>19</v>
      </c>
      <c r="E2657" s="3" t="s">
        <v>13</v>
      </c>
      <c r="F2657" s="3" t="s">
        <v>16</v>
      </c>
    </row>
    <row r="2658" spans="1:7">
      <c r="A2658" s="4" t="s">
        <v>22</v>
      </c>
      <c r="B2658" s="5" t="s">
        <v>23</v>
      </c>
      <c r="C2658" s="6">
        <f>IF(SUM(G2659:G2663)=0,0,SUM(C2659:C2663)/SUM(G2659:G2663))</f>
        <v/>
      </c>
      <c r="D2658" s="6">
        <f>IF(SUM(G2659:G2663)=0,0,SUM(D2659:D2663)/SUM(G2659:G2663))</f>
        <v/>
      </c>
      <c r="E2658" s="6">
        <f>IF(SUM(G2659:G2663)=0,0,SUM(E2659:E2663)/SUM(G2659:G2663))</f>
        <v/>
      </c>
      <c r="F2658" s="6">
        <f>IF(SUM(G2659:G2663)=0,0,SUM(F2659:F2663)/SUM(G2659:G2663))</f>
        <v/>
      </c>
    </row>
    <row r="2659" spans="1:7">
      <c r="A2659" s="4" t="s">
        <v>25</v>
      </c>
      <c r="B2659" s="7">
        <v>0</v>
      </c>
      <c r="C2659" s="6">
        <f>IF(G2659=1,1.0,0)</f>
        <v/>
      </c>
      <c r="D2659" s="6">
        <f>IF(G2659=1,1.0,0)</f>
        <v/>
      </c>
      <c r="E2659" s="5" t="s">
        <v>23</v>
      </c>
      <c r="F2659" s="5" t="s">
        <v>23</v>
      </c>
      <c r="G2659" s="8">
        <f>IF(OR(LOOKUP(A2659,characters!A:A,characters!B:B)=-1, LOOKUP(A2659,characters!A:A,characters!B:B)+0.1&gt;=B2659),1,0)</f>
        <v/>
      </c>
    </row>
    <row r="2660" spans="1:7">
      <c r="A2660" s="4" t="s">
        <v>28</v>
      </c>
      <c r="B2660" s="7">
        <v>0</v>
      </c>
      <c r="C2660" s="6">
        <f>IF(G2660=1,0.9,0)</f>
        <v/>
      </c>
      <c r="D2660" s="5" t="s">
        <v>23</v>
      </c>
      <c r="E2660" s="6">
        <f>IF(G2660=1,1.0,0)</f>
        <v/>
      </c>
      <c r="F2660" s="5" t="s">
        <v>23</v>
      </c>
      <c r="G2660" s="8">
        <f>IF(OR(LOOKUP(A2660,characters!A:A,characters!B:B)=-1, LOOKUP(A2660,characters!A:A,characters!B:B)+0.1&gt;=B2660),1,0)</f>
        <v/>
      </c>
    </row>
    <row r="2661" spans="1:7">
      <c r="A2661" s="4" t="s">
        <v>30</v>
      </c>
      <c r="B2661" s="7">
        <v>0</v>
      </c>
      <c r="C2661" s="6">
        <f>IF(G2661=1,1.0,0)</f>
        <v/>
      </c>
      <c r="D2661" s="5" t="s">
        <v>23</v>
      </c>
      <c r="E2661" s="5" t="s">
        <v>23</v>
      </c>
      <c r="F2661" s="5" t="s">
        <v>23</v>
      </c>
      <c r="G2661" s="8">
        <f>IF(OR(LOOKUP(A2661,characters!A:A,characters!B:B)=-1, LOOKUP(A2661,characters!A:A,characters!B:B)+0.1&gt;=B2661),1,0)</f>
        <v/>
      </c>
    </row>
    <row r="2662" spans="1:7">
      <c r="A2662" s="4" t="s">
        <v>38</v>
      </c>
      <c r="B2662" s="7">
        <v>2</v>
      </c>
      <c r="C2662" s="6">
        <f>IF(G2662=1,0.99,0)</f>
        <v/>
      </c>
      <c r="D2662" s="5" t="s">
        <v>23</v>
      </c>
      <c r="E2662" s="5" t="s">
        <v>23</v>
      </c>
      <c r="F2662" s="6">
        <f>IF(G2662=1,1.0,0)</f>
        <v/>
      </c>
      <c r="G2662" s="8">
        <f>IF(OR(LOOKUP(A2662,characters!A:A,characters!B:B)=-1, LOOKUP(A2662,characters!A:A,characters!B:B)+0.1&gt;=B2662),1,0)</f>
        <v/>
      </c>
    </row>
    <row r="2663" spans="1:7">
      <c r="A2663" s="4" t="s">
        <v>47</v>
      </c>
      <c r="B2663" s="7">
        <v>0</v>
      </c>
      <c r="C2663" s="6">
        <f>IF(G2663=1,1.0,0)</f>
        <v/>
      </c>
      <c r="D2663" s="5" t="s">
        <v>23</v>
      </c>
      <c r="E2663" s="5" t="s">
        <v>23</v>
      </c>
      <c r="F2663" s="5" t="s">
        <v>23</v>
      </c>
      <c r="G2663" s="8">
        <f>IF(OR(LOOKUP(A2663,characters!A:A,characters!B:B)=-1, LOOKUP(A2663,characters!A:A,characters!B:B)+0.1&gt;=B2663),1,0)</f>
        <v/>
      </c>
    </row>
    <row r="2665" spans="1:7">
      <c r="A2665" s="3" t="s">
        <v>52</v>
      </c>
      <c r="B2665" s="3" t="s">
        <v>9</v>
      </c>
      <c r="C2665" s="3" t="s">
        <v>10</v>
      </c>
      <c r="D2665" s="3" t="s">
        <v>12</v>
      </c>
      <c r="E2665" s="3" t="s">
        <v>13</v>
      </c>
    </row>
    <row r="2666" spans="1:7">
      <c r="A2666" s="4" t="s">
        <v>22</v>
      </c>
      <c r="B2666" s="5" t="s">
        <v>23</v>
      </c>
      <c r="C2666" s="6">
        <f>IF(SUM(F2667:F2671)=0,0,SUM(C2667:C2671)/SUM(F2667:F2671))</f>
        <v/>
      </c>
      <c r="D2666" s="6">
        <f>IF(SUM(F2667:F2671)=0,0,SUM(D2667:D2671)/SUM(F2667:F2671))</f>
        <v/>
      </c>
      <c r="E2666" s="6">
        <f>IF(SUM(F2667:F2671)=0,0,SUM(E2667:E2671)/SUM(F2667:F2671))</f>
        <v/>
      </c>
    </row>
    <row r="2667" spans="1:7">
      <c r="A2667" s="4" t="s">
        <v>25</v>
      </c>
      <c r="B2667" s="7">
        <v>0</v>
      </c>
      <c r="C2667" s="6">
        <f>IF(F2667=1,1.0,0)</f>
        <v/>
      </c>
      <c r="D2667" s="6">
        <f>IF(F2667=1,0.99,0)</f>
        <v/>
      </c>
      <c r="E2667" s="5" t="s">
        <v>23</v>
      </c>
      <c r="F2667" s="8">
        <f>IF(OR(LOOKUP(A2667,characters!A:A,characters!B:B)=-1, LOOKUP(A2667,characters!A:A,characters!B:B)+0.1&gt;=B2667),1,0)</f>
        <v/>
      </c>
    </row>
    <row r="2668" spans="1:7">
      <c r="A2668" s="4" t="s">
        <v>28</v>
      </c>
      <c r="B2668" s="7">
        <v>0</v>
      </c>
      <c r="C2668" s="6">
        <f>IF(F2668=1,1.0,0)</f>
        <v/>
      </c>
      <c r="D2668" s="5" t="s">
        <v>23</v>
      </c>
      <c r="E2668" s="6">
        <f>IF(F2668=1,0.9,0)</f>
        <v/>
      </c>
      <c r="F2668" s="8">
        <f>IF(OR(LOOKUP(A2668,characters!A:A,characters!B:B)=-1, LOOKUP(A2668,characters!A:A,characters!B:B)+0.1&gt;=B2668),1,0)</f>
        <v/>
      </c>
    </row>
    <row r="2669" spans="1:7">
      <c r="A2669" s="4" t="s">
        <v>30</v>
      </c>
      <c r="B2669" s="7">
        <v>0</v>
      </c>
      <c r="C2669" s="6">
        <f>IF(F2669=1,1.0,0)</f>
        <v/>
      </c>
      <c r="D2669" s="5" t="s">
        <v>23</v>
      </c>
      <c r="E2669" s="5" t="s">
        <v>23</v>
      </c>
      <c r="F2669" s="8">
        <f>IF(OR(LOOKUP(A2669,characters!A:A,characters!B:B)=-1, LOOKUP(A2669,characters!A:A,characters!B:B)+0.1&gt;=B2669),1,0)</f>
        <v/>
      </c>
    </row>
    <row r="2670" spans="1:7">
      <c r="A2670" s="4" t="s">
        <v>38</v>
      </c>
      <c r="B2670" s="7">
        <v>2</v>
      </c>
      <c r="C2670" s="6">
        <f>IF(F2670=1,1.0,0)</f>
        <v/>
      </c>
      <c r="D2670" s="5" t="s">
        <v>23</v>
      </c>
      <c r="E2670" s="5" t="s">
        <v>23</v>
      </c>
      <c r="F2670" s="8">
        <f>IF(OR(LOOKUP(A2670,characters!A:A,characters!B:B)=-1, LOOKUP(A2670,characters!A:A,characters!B:B)+0.1&gt;=B2670),1,0)</f>
        <v/>
      </c>
    </row>
    <row r="2671" spans="1:7">
      <c r="A2671" s="4" t="s">
        <v>47</v>
      </c>
      <c r="B2671" s="7">
        <v>0</v>
      </c>
      <c r="C2671" s="6">
        <f>IF(F2671=1,1.0,0)</f>
        <v/>
      </c>
      <c r="D2671" s="6">
        <f>IF(F2671=1,0.99,0)</f>
        <v/>
      </c>
      <c r="E2671" s="5" t="s">
        <v>23</v>
      </c>
      <c r="F2671" s="8">
        <f>IF(OR(LOOKUP(A2671,characters!A:A,characters!B:B)=-1, LOOKUP(A2671,characters!A:A,characters!B:B)+0.1&gt;=B2671),1,0)</f>
        <v/>
      </c>
    </row>
    <row r="2678" spans="1:8">
      <c r="A2678" s="3" t="s">
        <v>170</v>
      </c>
    </row>
    <row r="2679" spans="1:8">
      <c r="A2679" s="3" t="s">
        <v>8</v>
      </c>
      <c r="B2679" s="3" t="s">
        <v>9</v>
      </c>
      <c r="C2679" s="3" t="s">
        <v>21</v>
      </c>
      <c r="D2679" s="3" t="s">
        <v>19</v>
      </c>
      <c r="E2679" s="3" t="s">
        <v>17</v>
      </c>
      <c r="F2679" s="3" t="s">
        <v>10</v>
      </c>
      <c r="G2679" s="3" t="s">
        <v>16</v>
      </c>
    </row>
    <row r="2680" spans="1:8">
      <c r="A2680" s="4" t="s">
        <v>22</v>
      </c>
      <c r="B2680" s="5" t="s">
        <v>23</v>
      </c>
      <c r="C2680" s="6">
        <f>IF(SUM(H2681:H2684)=0,0,SUM(C2681:C2684)/SUM(H2681:H2684))</f>
        <v/>
      </c>
      <c r="D2680" s="6">
        <f>IF(SUM(H2681:H2684)=0,0,SUM(D2681:D2684)/SUM(H2681:H2684))</f>
        <v/>
      </c>
      <c r="E2680" s="6">
        <f>IF(SUM(H2681:H2684)=0,0,SUM(E2681:E2684)/SUM(H2681:H2684))</f>
        <v/>
      </c>
      <c r="F2680" s="6">
        <f>IF(SUM(H2681:H2684)=0,0,SUM(F2681:F2684)/SUM(H2681:H2684))</f>
        <v/>
      </c>
      <c r="G2680" s="6">
        <f>IF(SUM(H2681:H2684)=0,0,SUM(G2681:G2684)/SUM(H2681:H2684))</f>
        <v/>
      </c>
    </row>
    <row r="2681" spans="1:8">
      <c r="A2681" s="4" t="s">
        <v>105</v>
      </c>
      <c r="B2681" s="7">
        <v>1</v>
      </c>
      <c r="C2681" s="6">
        <f>IF(H2681=1,1.0,0)</f>
        <v/>
      </c>
      <c r="D2681" s="6">
        <f>IF(H2681=1,1.0,0)</f>
        <v/>
      </c>
      <c r="E2681" s="6">
        <f>IF(H2681=1,0.9,0)</f>
        <v/>
      </c>
      <c r="F2681" s="5" t="s">
        <v>23</v>
      </c>
      <c r="G2681" s="5" t="s">
        <v>23</v>
      </c>
      <c r="H2681" s="8">
        <f>IF(OR(LOOKUP(A2681,characters!A:A,characters!B:B)=-1, LOOKUP(A2681,characters!A:A,characters!B:B)+0.1&gt;=B2681),1,0)</f>
        <v/>
      </c>
    </row>
    <row r="2682" spans="1:8">
      <c r="A2682" s="4" t="s">
        <v>81</v>
      </c>
      <c r="B2682" s="7">
        <v>1</v>
      </c>
      <c r="C2682" s="6">
        <f>IF(H2682=1,0.9,0)</f>
        <v/>
      </c>
      <c r="D2682" s="6">
        <f>IF(H2682=1,0.9,0)</f>
        <v/>
      </c>
      <c r="E2682" s="6">
        <f>IF(H2682=1,0.8,0)</f>
        <v/>
      </c>
      <c r="F2682" s="6">
        <f>IF(H2682=1,1.0,0)</f>
        <v/>
      </c>
      <c r="G2682" s="5" t="s">
        <v>23</v>
      </c>
      <c r="H2682" s="8">
        <f>IF(OR(LOOKUP(A2682,characters!A:A,characters!B:B)=-1, LOOKUP(A2682,characters!A:A,characters!B:B)+0.1&gt;=B2682),1,0)</f>
        <v/>
      </c>
    </row>
    <row r="2683" spans="1:8">
      <c r="A2683" s="4" t="s">
        <v>110</v>
      </c>
      <c r="B2683" s="7">
        <v>1</v>
      </c>
      <c r="C2683" s="6">
        <f>IF(H2683=1,0.9,0)</f>
        <v/>
      </c>
      <c r="D2683" s="6">
        <f>IF(H2683=1,0.9,0)</f>
        <v/>
      </c>
      <c r="E2683" s="6">
        <f>IF(H2683=1,0.8,0)</f>
        <v/>
      </c>
      <c r="F2683" s="6">
        <f>IF(H2683=1,1.0,0)</f>
        <v/>
      </c>
      <c r="G2683" s="5" t="s">
        <v>23</v>
      </c>
      <c r="H2683" s="8">
        <f>IF(OR(LOOKUP(A2683,characters!A:A,characters!B:B)=-1, LOOKUP(A2683,characters!A:A,characters!B:B)+0.1&gt;=B2683),1,0)</f>
        <v/>
      </c>
    </row>
    <row r="2684" spans="1:8">
      <c r="A2684" s="4" t="s">
        <v>111</v>
      </c>
      <c r="B2684" s="7">
        <v>1</v>
      </c>
      <c r="C2684" s="6">
        <f>IF(H2684=1,0.9,0)</f>
        <v/>
      </c>
      <c r="D2684" s="6">
        <f>IF(H2684=1,0.9,0)</f>
        <v/>
      </c>
      <c r="E2684" s="6">
        <f>IF(H2684=1,0.8,0)</f>
        <v/>
      </c>
      <c r="F2684" s="6">
        <f>IF(H2684=1,1.0,0)</f>
        <v/>
      </c>
      <c r="G2684" s="6">
        <f>IF(H2684=1,1.0,0)</f>
        <v/>
      </c>
      <c r="H2684" s="8">
        <f>IF(OR(LOOKUP(A2684,characters!A:A,characters!B:B)=-1, LOOKUP(A2684,characters!A:A,characters!B:B)+0.1&gt;=B2684),1,0)</f>
        <v/>
      </c>
    </row>
    <row r="2686" spans="1:8">
      <c r="A2686" s="3" t="s">
        <v>49</v>
      </c>
      <c r="B2686" s="3" t="s">
        <v>9</v>
      </c>
      <c r="C2686" s="3" t="s">
        <v>19</v>
      </c>
      <c r="D2686" s="3" t="s">
        <v>21</v>
      </c>
      <c r="E2686" s="3" t="s">
        <v>16</v>
      </c>
    </row>
    <row r="2687" spans="1:8">
      <c r="A2687" s="4" t="s">
        <v>22</v>
      </c>
      <c r="B2687" s="5" t="s">
        <v>23</v>
      </c>
      <c r="C2687" s="6">
        <f>IF(SUM(F2688:F2691)=0,0,SUM(C2688:C2691)/SUM(F2688:F2691))</f>
        <v/>
      </c>
      <c r="D2687" s="6">
        <f>IF(SUM(F2688:F2691)=0,0,SUM(D2688:D2691)/SUM(F2688:F2691))</f>
        <v/>
      </c>
      <c r="E2687" s="6">
        <f>IF(SUM(F2688:F2691)=0,0,SUM(E2688:E2691)/SUM(F2688:F2691))</f>
        <v/>
      </c>
    </row>
    <row r="2688" spans="1:8">
      <c r="A2688" s="4" t="s">
        <v>105</v>
      </c>
      <c r="B2688" s="7">
        <v>1</v>
      </c>
      <c r="C2688" s="6">
        <f>IF(F2688=1,1.0,0)</f>
        <v/>
      </c>
      <c r="D2688" s="6">
        <f>IF(F2688=1,0.99,0)</f>
        <v/>
      </c>
      <c r="E2688" s="5" t="s">
        <v>23</v>
      </c>
      <c r="F2688" s="8">
        <f>IF(OR(LOOKUP(A2688,characters!A:A,characters!B:B)=-1, LOOKUP(A2688,characters!A:A,characters!B:B)+0.1&gt;=B2688),1,0)</f>
        <v/>
      </c>
    </row>
    <row r="2689" spans="1:6">
      <c r="A2689" s="4" t="s">
        <v>81</v>
      </c>
      <c r="B2689" s="7">
        <v>1</v>
      </c>
      <c r="C2689" s="6">
        <f>IF(F2689=1,0.99,0)</f>
        <v/>
      </c>
      <c r="D2689" s="6">
        <f>IF(F2689=1,1.0,0)</f>
        <v/>
      </c>
      <c r="E2689" s="5" t="s">
        <v>23</v>
      </c>
      <c r="F2689" s="8">
        <f>IF(OR(LOOKUP(A2689,characters!A:A,characters!B:B)=-1, LOOKUP(A2689,characters!A:A,characters!B:B)+0.1&gt;=B2689),1,0)</f>
        <v/>
      </c>
    </row>
    <row r="2690" spans="1:6">
      <c r="A2690" s="4" t="s">
        <v>110</v>
      </c>
      <c r="B2690" s="7">
        <v>1</v>
      </c>
      <c r="C2690" s="6">
        <f>IF(F2690=1,0.99,0)</f>
        <v/>
      </c>
      <c r="D2690" s="6">
        <f>IF(F2690=1,1.0,0)</f>
        <v/>
      </c>
      <c r="E2690" s="5" t="s">
        <v>23</v>
      </c>
      <c r="F2690" s="8">
        <f>IF(OR(LOOKUP(A2690,characters!A:A,characters!B:B)=-1, LOOKUP(A2690,characters!A:A,characters!B:B)+0.1&gt;=B2690),1,0)</f>
        <v/>
      </c>
    </row>
    <row r="2691" spans="1:6">
      <c r="A2691" s="4" t="s">
        <v>111</v>
      </c>
      <c r="B2691" s="7">
        <v>1</v>
      </c>
      <c r="C2691" s="5" t="s">
        <v>23</v>
      </c>
      <c r="D2691" s="6">
        <f>IF(F2691=1,1.0,0)</f>
        <v/>
      </c>
      <c r="E2691" s="6">
        <f>IF(F2691=1,0.9,0)</f>
        <v/>
      </c>
      <c r="F2691" s="8">
        <f>IF(OR(LOOKUP(A2691,characters!A:A,characters!B:B)=-1, LOOKUP(A2691,characters!A:A,characters!B:B)+0.1&gt;=B2691),1,0)</f>
        <v/>
      </c>
    </row>
    <row r="2693" spans="1:6">
      <c r="A2693" s="3" t="s">
        <v>52</v>
      </c>
      <c r="B2693" s="3" t="s">
        <v>9</v>
      </c>
      <c r="C2693" s="3" t="s">
        <v>17</v>
      </c>
      <c r="D2693" s="3" t="s">
        <v>10</v>
      </c>
    </row>
    <row r="2694" spans="1:6">
      <c r="A2694" s="4" t="s">
        <v>22</v>
      </c>
      <c r="B2694" s="5" t="s">
        <v>23</v>
      </c>
      <c r="C2694" s="6">
        <f>IF(SUM(E2695:E2698)=0,0,SUM(C2695:C2698)/SUM(E2695:E2698))</f>
        <v/>
      </c>
      <c r="D2694" s="6">
        <f>IF(SUM(E2695:E2698)=0,0,SUM(D2695:D2698)/SUM(E2695:E2698))</f>
        <v/>
      </c>
    </row>
    <row r="2695" spans="1:6">
      <c r="A2695" s="4" t="s">
        <v>105</v>
      </c>
      <c r="B2695" s="7">
        <v>1</v>
      </c>
      <c r="C2695" s="6">
        <f>IF(E2695=1,1.0,0)</f>
        <v/>
      </c>
      <c r="D2695" s="6">
        <f>IF(E2695=1,0.9,0)</f>
        <v/>
      </c>
      <c r="E2695" s="8">
        <f>IF(OR(LOOKUP(A2695,characters!A:A,characters!B:B)=-1, LOOKUP(A2695,characters!A:A,characters!B:B)+0.1&gt;=B2695),1,0)</f>
        <v/>
      </c>
    </row>
    <row r="2696" spans="1:6">
      <c r="A2696" s="4" t="s">
        <v>81</v>
      </c>
      <c r="B2696" s="7">
        <v>1</v>
      </c>
      <c r="C2696" s="6">
        <f>IF(E2696=1,0.9,0)</f>
        <v/>
      </c>
      <c r="D2696" s="6">
        <f>IF(E2696=1,1.0,0)</f>
        <v/>
      </c>
      <c r="E2696" s="8">
        <f>IF(OR(LOOKUP(A2696,characters!A:A,characters!B:B)=-1, LOOKUP(A2696,characters!A:A,characters!B:B)+0.1&gt;=B2696),1,0)</f>
        <v/>
      </c>
    </row>
    <row r="2697" spans="1:6">
      <c r="A2697" s="4" t="s">
        <v>110</v>
      </c>
      <c r="B2697" s="7">
        <v>1</v>
      </c>
      <c r="C2697" s="6">
        <f>IF(E2697=1,0.99,0)</f>
        <v/>
      </c>
      <c r="D2697" s="6">
        <f>IF(E2697=1,1.0,0)</f>
        <v/>
      </c>
      <c r="E2697" s="8">
        <f>IF(OR(LOOKUP(A2697,characters!A:A,characters!B:B)=-1, LOOKUP(A2697,characters!A:A,characters!B:B)+0.1&gt;=B2697),1,0)</f>
        <v/>
      </c>
    </row>
    <row r="2698" spans="1:6">
      <c r="A2698" s="4" t="s">
        <v>111</v>
      </c>
      <c r="B2698" s="7">
        <v>1</v>
      </c>
      <c r="C2698" s="5" t="s">
        <v>23</v>
      </c>
      <c r="D2698" s="6">
        <f>IF(E2698=1,1.0,0)</f>
        <v/>
      </c>
      <c r="E2698" s="8">
        <f>IF(OR(LOOKUP(A2698,characters!A:A,characters!B:B)=-1, LOOKUP(A2698,characters!A:A,characters!B:B)+0.1&gt;=B2698),1,0)</f>
        <v/>
      </c>
    </row>
    <row r="2705" spans="1:10">
      <c r="A2705" s="3" t="s">
        <v>171</v>
      </c>
    </row>
    <row r="2706" spans="1:10">
      <c r="A2706" s="3" t="s">
        <v>8</v>
      </c>
      <c r="B2706" s="3" t="s">
        <v>9</v>
      </c>
      <c r="C2706" s="3" t="s">
        <v>10</v>
      </c>
      <c r="D2706" s="3" t="s">
        <v>18</v>
      </c>
      <c r="E2706" s="3" t="s">
        <v>13</v>
      </c>
      <c r="F2706" s="3" t="s">
        <v>12</v>
      </c>
      <c r="G2706" s="3" t="s">
        <v>11</v>
      </c>
      <c r="H2706" s="3" t="s">
        <v>14</v>
      </c>
      <c r="I2706" s="3" t="s">
        <v>15</v>
      </c>
    </row>
    <row r="2707" spans="1:10">
      <c r="A2707" s="4" t="s">
        <v>22</v>
      </c>
      <c r="B2707" s="5" t="s">
        <v>23</v>
      </c>
      <c r="C2707" s="6">
        <f>IF(SUM(J2708:J2710)=0,0,SUM(C2708:C2710)/SUM(J2708:J2710))</f>
        <v/>
      </c>
      <c r="D2707" s="6">
        <f>IF(SUM(J2708:J2710)=0,0,SUM(D2708:D2710)/SUM(J2708:J2710))</f>
        <v/>
      </c>
      <c r="E2707" s="6">
        <f>IF(SUM(J2708:J2710)=0,0,SUM(E2708:E2710)/SUM(J2708:J2710))</f>
        <v/>
      </c>
      <c r="F2707" s="6">
        <f>IF(SUM(J2708:J2710)=0,0,SUM(F2708:F2710)/SUM(J2708:J2710))</f>
        <v/>
      </c>
      <c r="G2707" s="6">
        <f>IF(SUM(J2708:J2710)=0,0,SUM(G2708:G2710)/SUM(J2708:J2710))</f>
        <v/>
      </c>
      <c r="H2707" s="6">
        <f>IF(SUM(J2708:J2710)=0,0,SUM(H2708:H2710)/SUM(J2708:J2710))</f>
        <v/>
      </c>
      <c r="I2707" s="6">
        <f>IF(SUM(J2708:J2710)=0,0,SUM(I2708:I2710)/SUM(J2708:J2710))</f>
        <v/>
      </c>
    </row>
    <row r="2708" spans="1:10">
      <c r="A2708" s="4" t="s">
        <v>42</v>
      </c>
      <c r="B2708" s="7">
        <v>0</v>
      </c>
      <c r="C2708" s="6">
        <f>IF(J2708=1,0.9,0)</f>
        <v/>
      </c>
      <c r="D2708" s="6">
        <f>IF(J2708=1,1.0,0)</f>
        <v/>
      </c>
      <c r="E2708" s="6">
        <f>IF(J2708=1,0.8,0)</f>
        <v/>
      </c>
      <c r="F2708" s="6">
        <f>IF(J2708=1,0.8,0)</f>
        <v/>
      </c>
      <c r="G2708" s="6">
        <f>IF(J2708=1,0.7,0)</f>
        <v/>
      </c>
      <c r="H2708" s="5" t="s">
        <v>23</v>
      </c>
      <c r="I2708" s="5" t="s">
        <v>23</v>
      </c>
      <c r="J2708" s="8">
        <f>IF(OR(LOOKUP(A2708,characters!A:A,characters!B:B)=-1, LOOKUP(A2708,characters!A:A,characters!B:B)+0.1&gt;=B2708),1,0)</f>
        <v/>
      </c>
    </row>
    <row r="2709" spans="1:10">
      <c r="A2709" s="4" t="s">
        <v>46</v>
      </c>
      <c r="B2709" s="7">
        <v>0</v>
      </c>
      <c r="C2709" s="6">
        <f>IF(J2709=1,1.0,0)</f>
        <v/>
      </c>
      <c r="D2709" s="6">
        <f>IF(J2709=1,1.0,0)</f>
        <v/>
      </c>
      <c r="E2709" s="6">
        <f>IF(J2709=1,0.9,0)</f>
        <v/>
      </c>
      <c r="F2709" s="6">
        <f>IF(J2709=1,0.9,0)</f>
        <v/>
      </c>
      <c r="G2709" s="5" t="s">
        <v>23</v>
      </c>
      <c r="H2709" s="5" t="s">
        <v>23</v>
      </c>
      <c r="I2709" s="5" t="s">
        <v>23</v>
      </c>
      <c r="J2709" s="8">
        <f>IF(OR(LOOKUP(A2709,characters!A:A,characters!B:B)=-1, LOOKUP(A2709,characters!A:A,characters!B:B)+0.1&gt;=B2709),1,0)</f>
        <v/>
      </c>
    </row>
    <row r="2710" spans="1:10">
      <c r="A2710" s="4" t="s">
        <v>24</v>
      </c>
      <c r="B2710" s="7">
        <v>1</v>
      </c>
      <c r="C2710" s="6">
        <f>IF(J2710=1,1.0,0)</f>
        <v/>
      </c>
      <c r="D2710" s="5" t="s">
        <v>23</v>
      </c>
      <c r="E2710" s="5" t="s">
        <v>23</v>
      </c>
      <c r="F2710" s="5" t="s">
        <v>23</v>
      </c>
      <c r="G2710" s="6">
        <f>IF(J2710=1,0.8,0)</f>
        <v/>
      </c>
      <c r="H2710" s="6">
        <f>IF(J2710=1,0.9,0)</f>
        <v/>
      </c>
      <c r="I2710" s="6">
        <f>IF(J2710=1,0.9,0)</f>
        <v/>
      </c>
      <c r="J2710" s="8">
        <f>IF(OR(LOOKUP(A2710,characters!A:A,characters!B:B)=-1, LOOKUP(A2710,characters!A:A,characters!B:B)+0.1&gt;=B2710),1,0)</f>
        <v/>
      </c>
    </row>
    <row r="2712" spans="1:10">
      <c r="A2712" s="3" t="s">
        <v>49</v>
      </c>
      <c r="B2712" s="3" t="s">
        <v>9</v>
      </c>
      <c r="C2712" s="3" t="s">
        <v>13</v>
      </c>
      <c r="D2712" s="3" t="s">
        <v>12</v>
      </c>
    </row>
    <row r="2713" spans="1:10">
      <c r="A2713" s="4" t="s">
        <v>22</v>
      </c>
      <c r="B2713" s="5" t="s">
        <v>23</v>
      </c>
      <c r="C2713" s="6">
        <f>IF(SUM(E2714:E2716)=0,0,SUM(C2714:C2716)/SUM(E2714:E2716))</f>
        <v/>
      </c>
      <c r="D2713" s="6">
        <f>IF(SUM(E2714:E2716)=0,0,SUM(D2714:D2716)/SUM(E2714:E2716))</f>
        <v/>
      </c>
    </row>
    <row r="2714" spans="1:10">
      <c r="A2714" s="4" t="s">
        <v>24</v>
      </c>
      <c r="B2714" s="7">
        <v>1</v>
      </c>
      <c r="C2714" s="6">
        <f>IF(E2714=1,1.0,0)</f>
        <v/>
      </c>
      <c r="D2714" s="6">
        <f>IF(E2714=1,0.9,0)</f>
        <v/>
      </c>
      <c r="E2714" s="8">
        <f>IF(OR(LOOKUP(A2714,characters!A:A,characters!B:B)=-1, LOOKUP(A2714,characters!A:A,characters!B:B)+0.1&gt;=B2714),1,0)</f>
        <v/>
      </c>
    </row>
    <row r="2715" spans="1:10">
      <c r="A2715" s="4" t="s">
        <v>42</v>
      </c>
      <c r="B2715" s="7">
        <v>0</v>
      </c>
      <c r="C2715" s="6">
        <f>IF(E2715=1,1.0,0)</f>
        <v/>
      </c>
      <c r="D2715" s="6">
        <f>IF(E2715=1,0.9,0)</f>
        <v/>
      </c>
      <c r="E2715" s="8">
        <f>IF(OR(LOOKUP(A2715,characters!A:A,characters!B:B)=-1, LOOKUP(A2715,characters!A:A,characters!B:B)+0.1&gt;=B2715),1,0)</f>
        <v/>
      </c>
    </row>
    <row r="2716" spans="1:10">
      <c r="A2716" s="4" t="s">
        <v>46</v>
      </c>
      <c r="B2716" s="7">
        <v>0</v>
      </c>
      <c r="C2716" s="6">
        <f>IF(E2716=1,1.0,0)</f>
        <v/>
      </c>
      <c r="D2716" s="6">
        <f>IF(E2716=1,0.9,0)</f>
        <v/>
      </c>
      <c r="E2716" s="8">
        <f>IF(OR(LOOKUP(A2716,characters!A:A,characters!B:B)=-1, LOOKUP(A2716,characters!A:A,characters!B:B)+0.1&gt;=B2716),1,0)</f>
        <v/>
      </c>
    </row>
    <row r="2718" spans="1:10">
      <c r="A2718" s="3" t="s">
        <v>52</v>
      </c>
      <c r="B2718" s="3" t="s">
        <v>9</v>
      </c>
      <c r="C2718" s="3" t="s">
        <v>10</v>
      </c>
    </row>
    <row r="2719" spans="1:10">
      <c r="A2719" s="4" t="s">
        <v>22</v>
      </c>
      <c r="B2719" s="5" t="s">
        <v>23</v>
      </c>
      <c r="C2719" s="6">
        <f>IF(SUM(D2720:D2722)=0,0,SUM(C2720:C2722)/SUM(D2720:D2722))</f>
        <v/>
      </c>
    </row>
    <row r="2720" spans="1:10">
      <c r="A2720" s="4" t="s">
        <v>24</v>
      </c>
      <c r="B2720" s="7">
        <v>1</v>
      </c>
      <c r="C2720" s="6">
        <f>IF(D2720=1,1.0,0)</f>
        <v/>
      </c>
      <c r="D2720" s="8">
        <f>IF(OR(LOOKUP(A2720,characters!A:A,characters!B:B)=-1, LOOKUP(A2720,characters!A:A,characters!B:B)+0.1&gt;=B2720),1,0)</f>
        <v/>
      </c>
    </row>
    <row r="2721" spans="1:10">
      <c r="A2721" s="4" t="s">
        <v>42</v>
      </c>
      <c r="B2721" s="7">
        <v>0</v>
      </c>
      <c r="C2721" s="6">
        <f>IF(D2721=1,1.0,0)</f>
        <v/>
      </c>
      <c r="D2721" s="8">
        <f>IF(OR(LOOKUP(A2721,characters!A:A,characters!B:B)=-1, LOOKUP(A2721,characters!A:A,characters!B:B)+0.1&gt;=B2721),1,0)</f>
        <v/>
      </c>
    </row>
    <row r="2722" spans="1:10">
      <c r="A2722" s="4" t="s">
        <v>46</v>
      </c>
      <c r="B2722" s="7">
        <v>0</v>
      </c>
      <c r="C2722" s="6">
        <f>IF(D2722=1,1.0,0)</f>
        <v/>
      </c>
      <c r="D2722" s="8">
        <f>IF(OR(LOOKUP(A2722,characters!A:A,characters!B:B)=-1, LOOKUP(A2722,characters!A:A,characters!B:B)+0.1&gt;=B2722),1,0)</f>
        <v/>
      </c>
    </row>
    <row r="2729" spans="1:10">
      <c r="A2729" s="3" t="s">
        <v>172</v>
      </c>
    </row>
    <row r="2730" spans="1:10">
      <c r="A2730" s="3" t="s">
        <v>8</v>
      </c>
      <c r="B2730" s="3" t="s">
        <v>9</v>
      </c>
      <c r="C2730" s="3" t="s">
        <v>10</v>
      </c>
      <c r="D2730" s="3" t="s">
        <v>18</v>
      </c>
      <c r="E2730" s="3" t="s">
        <v>20</v>
      </c>
      <c r="F2730" s="3" t="s">
        <v>17</v>
      </c>
      <c r="G2730" s="3" t="s">
        <v>11</v>
      </c>
      <c r="H2730" s="3" t="s">
        <v>13</v>
      </c>
      <c r="I2730" s="3" t="s">
        <v>12</v>
      </c>
    </row>
    <row r="2731" spans="1:10">
      <c r="A2731" s="4" t="s">
        <v>22</v>
      </c>
      <c r="B2731" s="5" t="s">
        <v>23</v>
      </c>
      <c r="C2731" s="6">
        <f>IF(SUM(J2732:J2733)=0,0,SUM(C2732:C2733)/SUM(J2732:J2733))</f>
        <v/>
      </c>
      <c r="D2731" s="6">
        <f>IF(SUM(J2732:J2733)=0,0,SUM(D2732:D2733)/SUM(J2732:J2733))</f>
        <v/>
      </c>
      <c r="E2731" s="6">
        <f>IF(SUM(J2732:J2733)=0,0,SUM(E2732:E2733)/SUM(J2732:J2733))</f>
        <v/>
      </c>
      <c r="F2731" s="6">
        <f>IF(SUM(J2732:J2733)=0,0,SUM(F2732:F2733)/SUM(J2732:J2733))</f>
        <v/>
      </c>
      <c r="G2731" s="6">
        <f>IF(SUM(J2732:J2733)=0,0,SUM(G2732:G2733)/SUM(J2732:J2733))</f>
        <v/>
      </c>
      <c r="H2731" s="6">
        <f>IF(SUM(J2732:J2733)=0,0,SUM(H2732:H2733)/SUM(J2732:J2733))</f>
        <v/>
      </c>
      <c r="I2731" s="6">
        <f>IF(SUM(J2732:J2733)=0,0,SUM(I2732:I2733)/SUM(J2732:J2733))</f>
        <v/>
      </c>
    </row>
    <row r="2732" spans="1:10">
      <c r="A2732" s="4" t="s">
        <v>29</v>
      </c>
      <c r="B2732" s="7">
        <v>1</v>
      </c>
      <c r="C2732" s="6">
        <f>IF(J2732=1,1.0,0)</f>
        <v/>
      </c>
      <c r="D2732" s="6">
        <f>IF(J2732=1,0.9,0)</f>
        <v/>
      </c>
      <c r="E2732" s="5" t="s">
        <v>23</v>
      </c>
      <c r="F2732" s="5" t="s">
        <v>23</v>
      </c>
      <c r="G2732" s="6">
        <f>IF(J2732=1,0.8,0)</f>
        <v/>
      </c>
      <c r="H2732" s="6">
        <f>IF(J2732=1,0.7,0)</f>
        <v/>
      </c>
      <c r="I2732" s="6">
        <f>IF(J2732=1,0.7,0)</f>
        <v/>
      </c>
      <c r="J2732" s="8">
        <f>IF(OR(LOOKUP(A2732,characters!A:A,characters!B:B)=-1, LOOKUP(A2732,characters!A:A,characters!B:B)+0.1&gt;=B2732),1,0)</f>
        <v/>
      </c>
    </row>
    <row r="2733" spans="1:10">
      <c r="A2733" s="4" t="s">
        <v>35</v>
      </c>
      <c r="B2733" s="7">
        <v>1</v>
      </c>
      <c r="C2733" s="6">
        <f>IF(J2733=1,1.0,0)</f>
        <v/>
      </c>
      <c r="D2733" s="5" t="s">
        <v>23</v>
      </c>
      <c r="E2733" s="6">
        <f>IF(J2733=1,0.9,0)</f>
        <v/>
      </c>
      <c r="F2733" s="6">
        <f>IF(J2733=1,0.89,0)</f>
        <v/>
      </c>
      <c r="G2733" s="5" t="s">
        <v>23</v>
      </c>
      <c r="H2733" s="5" t="s">
        <v>23</v>
      </c>
      <c r="I2733" s="5" t="s">
        <v>23</v>
      </c>
      <c r="J2733" s="8">
        <f>IF(OR(LOOKUP(A2733,characters!A:A,characters!B:B)=-1, LOOKUP(A2733,characters!A:A,characters!B:B)+0.1&gt;=B2733),1,0)</f>
        <v/>
      </c>
    </row>
    <row r="2735" spans="1:10">
      <c r="A2735" s="3" t="s">
        <v>49</v>
      </c>
      <c r="B2735" s="3" t="s">
        <v>9</v>
      </c>
      <c r="C2735" s="3" t="s">
        <v>50</v>
      </c>
    </row>
    <row r="2736" spans="1:10">
      <c r="A2736" s="4" t="s">
        <v>22</v>
      </c>
      <c r="B2736" s="5" t="s">
        <v>23</v>
      </c>
      <c r="C2736" s="6">
        <f>IF(SUM(D2737:D2738)=0,0,SUM(C2737:C2738)/SUM(D2737:D2738))</f>
        <v/>
      </c>
    </row>
    <row r="2737" spans="1:4">
      <c r="A2737" s="4" t="s">
        <v>29</v>
      </c>
      <c r="B2737" s="7">
        <v>1</v>
      </c>
      <c r="C2737" s="6">
        <f>IF(D2737=1,1.0,0)</f>
        <v/>
      </c>
      <c r="D2737" s="8">
        <f>IF(OR(LOOKUP(A2737,characters!A:A,characters!B:B)=-1, LOOKUP(A2737,characters!A:A,characters!B:B)+0.1&gt;=B2737),1,0)</f>
        <v/>
      </c>
    </row>
    <row r="2738" spans="1:4">
      <c r="A2738" s="4" t="s">
        <v>35</v>
      </c>
      <c r="B2738" s="7">
        <v>1</v>
      </c>
      <c r="C2738" s="6">
        <f>IF(D2738=1,1.0,0)</f>
        <v/>
      </c>
      <c r="D2738" s="8">
        <f>IF(OR(LOOKUP(A2738,characters!A:A,characters!B:B)=-1, LOOKUP(A2738,characters!A:A,characters!B:B)+0.1&gt;=B2738),1,0)</f>
        <v/>
      </c>
    </row>
    <row r="2740" spans="1:4">
      <c r="A2740" s="3" t="s">
        <v>52</v>
      </c>
      <c r="B2740" s="3" t="s">
        <v>9</v>
      </c>
      <c r="C2740" s="3" t="s">
        <v>10</v>
      </c>
    </row>
    <row r="2741" spans="1:4">
      <c r="A2741" s="4" t="s">
        <v>22</v>
      </c>
      <c r="B2741" s="5" t="s">
        <v>23</v>
      </c>
      <c r="C2741" s="6">
        <f>IF(SUM(D2742:D2743)=0,0,SUM(C2742:C2743)/SUM(D2742:D2743))</f>
        <v/>
      </c>
    </row>
    <row r="2742" spans="1:4">
      <c r="A2742" s="4" t="s">
        <v>29</v>
      </c>
      <c r="B2742" s="7">
        <v>1</v>
      </c>
      <c r="C2742" s="6">
        <f>IF(D2742=1,1.0,0)</f>
        <v/>
      </c>
      <c r="D2742" s="8">
        <f>IF(OR(LOOKUP(A2742,characters!A:A,characters!B:B)=-1, LOOKUP(A2742,characters!A:A,characters!B:B)+0.1&gt;=B2742),1,0)</f>
        <v/>
      </c>
    </row>
    <row r="2743" spans="1:4">
      <c r="A2743" s="4" t="s">
        <v>35</v>
      </c>
      <c r="B2743" s="7">
        <v>1</v>
      </c>
      <c r="C2743" s="6">
        <f>IF(D2743=1,1.0,0)</f>
        <v/>
      </c>
      <c r="D2743" s="8">
        <f>IF(OR(LOOKUP(A2743,characters!A:A,characters!B:B)=-1, LOOKUP(A2743,characters!A:A,characters!B:B)+0.1&gt;=B2743),1,0)</f>
        <v/>
      </c>
    </row>
  </sheetData>
  <mergeCells count="3">
    <mergeCell ref="B3:C3"/>
    <mergeCell ref="B4:G4"/>
    <mergeCell ref="A1:E1"/>
  </mergeCells>
  <conditionalFormatting sqref="C100">
    <cfRule type="cellIs" dxfId="1" priority="219" operator="equal">
      <formula>0</formula>
    </cfRule>
  </conditionalFormatting>
  <conditionalFormatting sqref="C1000">
    <cfRule type="cellIs" dxfId="1" priority="2162" operator="equal">
      <formula>0</formula>
    </cfRule>
  </conditionalFormatting>
  <conditionalFormatting sqref="C1001">
    <cfRule type="cellIs" dxfId="1" priority="2164" operator="equal">
      <formula>0</formula>
    </cfRule>
  </conditionalFormatting>
  <conditionalFormatting sqref="C1003">
    <cfRule type="cellIs" dxfId="1" priority="2167" operator="equal">
      <formula>0</formula>
    </cfRule>
  </conditionalFormatting>
  <conditionalFormatting sqref="C1005">
    <cfRule type="expression" dxfId="0" priority="2169">
      <formula>C1006=0</formula>
    </cfRule>
  </conditionalFormatting>
  <conditionalFormatting sqref="C1006">
    <cfRule type="cellIs" dxfId="1" priority="2171" operator="equal">
      <formula>0</formula>
    </cfRule>
  </conditionalFormatting>
  <conditionalFormatting sqref="C1007">
    <cfRule type="cellIs" dxfId="1" priority="2173" operator="equal">
      <formula>0</formula>
    </cfRule>
  </conditionalFormatting>
  <conditionalFormatting sqref="C1008">
    <cfRule type="cellIs" dxfId="1" priority="2174" operator="equal">
      <formula>0</formula>
    </cfRule>
  </conditionalFormatting>
  <conditionalFormatting sqref="C1009">
    <cfRule type="cellIs" dxfId="1" priority="2176" operator="equal">
      <formula>0</formula>
    </cfRule>
  </conditionalFormatting>
  <conditionalFormatting sqref="C101">
    <cfRule type="cellIs" dxfId="1" priority="220" operator="equal">
      <formula>0</formula>
    </cfRule>
  </conditionalFormatting>
  <conditionalFormatting sqref="C1010">
    <cfRule type="cellIs" dxfId="1" priority="2178" operator="equal">
      <formula>0</formula>
    </cfRule>
  </conditionalFormatting>
  <conditionalFormatting sqref="C1012">
    <cfRule type="cellIs" dxfId="1" priority="2180" operator="equal">
      <formula>0</formula>
    </cfRule>
  </conditionalFormatting>
  <conditionalFormatting sqref="C1020">
    <cfRule type="expression" dxfId="0" priority="2182">
      <formula>C1021=0</formula>
    </cfRule>
  </conditionalFormatting>
  <conditionalFormatting sqref="C1021">
    <cfRule type="cellIs" dxfId="1" priority="2186" operator="equal">
      <formula>0</formula>
    </cfRule>
  </conditionalFormatting>
  <conditionalFormatting sqref="C1022">
    <cfRule type="cellIs" dxfId="1" priority="2190" operator="equal">
      <formula>0</formula>
    </cfRule>
  </conditionalFormatting>
  <conditionalFormatting sqref="C1024">
    <cfRule type="expression" dxfId="0" priority="2194">
      <formula>C1025=0</formula>
    </cfRule>
  </conditionalFormatting>
  <conditionalFormatting sqref="C1025">
    <cfRule type="cellIs" dxfId="1" priority="2196" operator="equal">
      <formula>0</formula>
    </cfRule>
  </conditionalFormatting>
  <conditionalFormatting sqref="C1026">
    <cfRule type="cellIs" dxfId="1" priority="2198" operator="equal">
      <formula>0</formula>
    </cfRule>
  </conditionalFormatting>
  <conditionalFormatting sqref="C1028">
    <cfRule type="expression" dxfId="0" priority="2200">
      <formula>C1029=0</formula>
    </cfRule>
  </conditionalFormatting>
  <conditionalFormatting sqref="C1029">
    <cfRule type="cellIs" dxfId="1" priority="2201" operator="equal">
      <formula>0</formula>
    </cfRule>
  </conditionalFormatting>
  <conditionalFormatting sqref="C103">
    <cfRule type="cellIs" dxfId="1" priority="222" operator="equal">
      <formula>0</formula>
    </cfRule>
  </conditionalFormatting>
  <conditionalFormatting sqref="C1030">
    <cfRule type="cellIs" dxfId="1" priority="2202" operator="equal">
      <formula>0</formula>
    </cfRule>
  </conditionalFormatting>
  <conditionalFormatting sqref="C1038">
    <cfRule type="expression" dxfId="0" priority="2203">
      <formula>C1039=0</formula>
    </cfRule>
  </conditionalFormatting>
  <conditionalFormatting sqref="C1039">
    <cfRule type="cellIs" dxfId="1" priority="2207" operator="equal">
      <formula>0</formula>
    </cfRule>
  </conditionalFormatting>
  <conditionalFormatting sqref="C104">
    <cfRule type="cellIs" dxfId="1" priority="223" operator="equal">
      <formula>0</formula>
    </cfRule>
  </conditionalFormatting>
  <conditionalFormatting sqref="C1040">
    <cfRule type="cellIs" dxfId="1" priority="2211" operator="equal">
      <formula>0</formula>
    </cfRule>
  </conditionalFormatting>
  <conditionalFormatting sqref="C1041">
    <cfRule type="cellIs" dxfId="1" priority="2215" operator="equal">
      <formula>0</formula>
    </cfRule>
  </conditionalFormatting>
  <conditionalFormatting sqref="C1042">
    <cfRule type="cellIs" dxfId="1" priority="2219" operator="equal">
      <formula>0</formula>
    </cfRule>
  </conditionalFormatting>
  <conditionalFormatting sqref="C1043">
    <cfRule type="cellIs" dxfId="1" priority="2223" operator="equal">
      <formula>0</formula>
    </cfRule>
  </conditionalFormatting>
  <conditionalFormatting sqref="C1045">
    <cfRule type="expression" dxfId="0" priority="2227">
      <formula>C1046=0</formula>
    </cfRule>
  </conditionalFormatting>
  <conditionalFormatting sqref="C1046">
    <cfRule type="cellIs" dxfId="1" priority="2229" operator="equal">
      <formula>0</formula>
    </cfRule>
  </conditionalFormatting>
  <conditionalFormatting sqref="C1047">
    <cfRule type="cellIs" dxfId="1" priority="2231" operator="equal">
      <formula>0</formula>
    </cfRule>
  </conditionalFormatting>
  <conditionalFormatting sqref="C1049">
    <cfRule type="cellIs" dxfId="1" priority="2234" operator="equal">
      <formula>0</formula>
    </cfRule>
  </conditionalFormatting>
  <conditionalFormatting sqref="C105">
    <cfRule type="cellIs" dxfId="1" priority="224" operator="equal">
      <formula>0</formula>
    </cfRule>
  </conditionalFormatting>
  <conditionalFormatting sqref="C1052">
    <cfRule type="expression" dxfId="0" priority="2237">
      <formula>C1053=0</formula>
    </cfRule>
  </conditionalFormatting>
  <conditionalFormatting sqref="C1053">
    <cfRule type="cellIs" dxfId="1" priority="2239" operator="equal">
      <formula>0</formula>
    </cfRule>
  </conditionalFormatting>
  <conditionalFormatting sqref="C1054">
    <cfRule type="cellIs" dxfId="1" priority="2241" operator="equal">
      <formula>0</formula>
    </cfRule>
  </conditionalFormatting>
  <conditionalFormatting sqref="C1055">
    <cfRule type="cellIs" dxfId="1" priority="2243" operator="equal">
      <formula>0</formula>
    </cfRule>
  </conditionalFormatting>
  <conditionalFormatting sqref="C1056">
    <cfRule type="cellIs" dxfId="1" priority="2245" operator="equal">
      <formula>0</formula>
    </cfRule>
  </conditionalFormatting>
  <conditionalFormatting sqref="C1057">
    <cfRule type="cellIs" dxfId="1" priority="2247" operator="equal">
      <formula>0</formula>
    </cfRule>
  </conditionalFormatting>
  <conditionalFormatting sqref="C106">
    <cfRule type="cellIs" dxfId="1" priority="225" operator="equal">
      <formula>0</formula>
    </cfRule>
  </conditionalFormatting>
  <conditionalFormatting sqref="C1065">
    <cfRule type="expression" dxfId="0" priority="2249">
      <formula>C1066=0</formula>
    </cfRule>
  </conditionalFormatting>
  <conditionalFormatting sqref="C1066">
    <cfRule type="cellIs" dxfId="1" priority="2255" operator="equal">
      <formula>0</formula>
    </cfRule>
  </conditionalFormatting>
  <conditionalFormatting sqref="C1067">
    <cfRule type="cellIs" dxfId="1" priority="2261" operator="equal">
      <formula>0</formula>
    </cfRule>
  </conditionalFormatting>
  <conditionalFormatting sqref="C1069">
    <cfRule type="expression" dxfId="0" priority="2267">
      <formula>C1070=0</formula>
    </cfRule>
  </conditionalFormatting>
  <conditionalFormatting sqref="C107">
    <cfRule type="cellIs" dxfId="1" priority="226" operator="equal">
      <formula>0</formula>
    </cfRule>
  </conditionalFormatting>
  <conditionalFormatting sqref="C1070">
    <cfRule type="cellIs" dxfId="1" priority="2268" operator="equal">
      <formula>0</formula>
    </cfRule>
  </conditionalFormatting>
  <conditionalFormatting sqref="C1071">
    <cfRule type="cellIs" dxfId="1" priority="2269" operator="equal">
      <formula>0</formula>
    </cfRule>
  </conditionalFormatting>
  <conditionalFormatting sqref="C1073">
    <cfRule type="expression" dxfId="0" priority="2270">
      <formula>C1074=0</formula>
    </cfRule>
  </conditionalFormatting>
  <conditionalFormatting sqref="C1074">
    <cfRule type="cellIs" dxfId="1" priority="2271" operator="equal">
      <formula>0</formula>
    </cfRule>
  </conditionalFormatting>
  <conditionalFormatting sqref="C1075">
    <cfRule type="cellIs" dxfId="1" priority="2272" operator="equal">
      <formula>0</formula>
    </cfRule>
  </conditionalFormatting>
  <conditionalFormatting sqref="C108">
    <cfRule type="cellIs" dxfId="1" priority="227" operator="equal">
      <formula>0</formula>
    </cfRule>
  </conditionalFormatting>
  <conditionalFormatting sqref="C1083">
    <cfRule type="expression" dxfId="0" priority="2273">
      <formula>C1084=0</formula>
    </cfRule>
  </conditionalFormatting>
  <conditionalFormatting sqref="C1084">
    <cfRule type="cellIs" dxfId="1" priority="2284" operator="equal">
      <formula>0</formula>
    </cfRule>
  </conditionalFormatting>
  <conditionalFormatting sqref="C1085">
    <cfRule type="cellIs" dxfId="1" priority="2295" operator="equal">
      <formula>0</formula>
    </cfRule>
  </conditionalFormatting>
  <conditionalFormatting sqref="C1086">
    <cfRule type="cellIs" dxfId="1" priority="2299" operator="equal">
      <formula>0</formula>
    </cfRule>
  </conditionalFormatting>
  <conditionalFormatting sqref="C1087">
    <cfRule type="cellIs" dxfId="1" priority="2304" operator="equal">
      <formula>0</formula>
    </cfRule>
  </conditionalFormatting>
  <conditionalFormatting sqref="C1088">
    <cfRule type="cellIs" dxfId="1" priority="2308" operator="equal">
      <formula>0</formula>
    </cfRule>
  </conditionalFormatting>
  <conditionalFormatting sqref="C1089">
    <cfRule type="cellIs" dxfId="1" priority="2312" operator="equal">
      <formula>0</formula>
    </cfRule>
  </conditionalFormatting>
  <conditionalFormatting sqref="C109">
    <cfRule type="cellIs" dxfId="1" priority="229" operator="equal">
      <formula>0</formula>
    </cfRule>
  </conditionalFormatting>
  <conditionalFormatting sqref="C1090">
    <cfRule type="cellIs" dxfId="1" priority="2316" operator="equal">
      <formula>0</formula>
    </cfRule>
  </conditionalFormatting>
  <conditionalFormatting sqref="C1091">
    <cfRule type="cellIs" dxfId="1" priority="2320" operator="equal">
      <formula>0</formula>
    </cfRule>
  </conditionalFormatting>
  <conditionalFormatting sqref="C1093">
    <cfRule type="cellIs" dxfId="1" priority="2327" operator="equal">
      <formula>0</formula>
    </cfRule>
  </conditionalFormatting>
  <conditionalFormatting sqref="C1094">
    <cfRule type="cellIs" dxfId="1" priority="2331" operator="equal">
      <formula>0</formula>
    </cfRule>
  </conditionalFormatting>
  <conditionalFormatting sqref="C1095">
    <cfRule type="cellIs" dxfId="1" priority="2335" operator="equal">
      <formula>0</formula>
    </cfRule>
  </conditionalFormatting>
  <conditionalFormatting sqref="C1096">
    <cfRule type="cellIs" dxfId="1" priority="2339" operator="equal">
      <formula>0</formula>
    </cfRule>
  </conditionalFormatting>
  <conditionalFormatting sqref="C1097">
    <cfRule type="cellIs" dxfId="1" priority="2343" operator="equal">
      <formula>0</formula>
    </cfRule>
  </conditionalFormatting>
  <conditionalFormatting sqref="C1098">
    <cfRule type="cellIs" dxfId="1" priority="2347" operator="equal">
      <formula>0</formula>
    </cfRule>
  </conditionalFormatting>
  <conditionalFormatting sqref="C1100">
    <cfRule type="cellIs" dxfId="1" priority="2354" operator="equal">
      <formula>0</formula>
    </cfRule>
  </conditionalFormatting>
  <conditionalFormatting sqref="C1101">
    <cfRule type="cellIs" dxfId="1" priority="2359" operator="equal">
      <formula>0</formula>
    </cfRule>
  </conditionalFormatting>
  <conditionalFormatting sqref="C1102">
    <cfRule type="cellIs" dxfId="1" priority="2364" operator="equal">
      <formula>0</formula>
    </cfRule>
  </conditionalFormatting>
  <conditionalFormatting sqref="C1103">
    <cfRule type="cellIs" dxfId="1" priority="2369" operator="equal">
      <formula>0</formula>
    </cfRule>
  </conditionalFormatting>
  <conditionalFormatting sqref="C1104">
    <cfRule type="cellIs" dxfId="1" priority="2373" operator="equal">
      <formula>0</formula>
    </cfRule>
  </conditionalFormatting>
  <conditionalFormatting sqref="C1105">
    <cfRule type="cellIs" dxfId="1" priority="2377" operator="equal">
      <formula>0</formula>
    </cfRule>
  </conditionalFormatting>
  <conditionalFormatting sqref="C1106">
    <cfRule type="cellIs" dxfId="1" priority="2381" operator="equal">
      <formula>0</formula>
    </cfRule>
  </conditionalFormatting>
  <conditionalFormatting sqref="C1107">
    <cfRule type="cellIs" dxfId="1" priority="2385" operator="equal">
      <formula>0</formula>
    </cfRule>
  </conditionalFormatting>
  <conditionalFormatting sqref="C1108">
    <cfRule type="cellIs" dxfId="1" priority="2389" operator="equal">
      <formula>0</formula>
    </cfRule>
  </conditionalFormatting>
  <conditionalFormatting sqref="C1109">
    <cfRule type="cellIs" dxfId="1" priority="2393" operator="equal">
      <formula>0</formula>
    </cfRule>
  </conditionalFormatting>
  <conditionalFormatting sqref="C1110">
    <cfRule type="cellIs" dxfId="1" priority="2397" operator="equal">
      <formula>0</formula>
    </cfRule>
  </conditionalFormatting>
  <conditionalFormatting sqref="C1111">
    <cfRule type="cellIs" dxfId="1" priority="2401" operator="equal">
      <formula>0</formula>
    </cfRule>
  </conditionalFormatting>
  <conditionalFormatting sqref="C1113">
    <cfRule type="expression" dxfId="0" priority="2406">
      <formula>C1114=0</formula>
    </cfRule>
  </conditionalFormatting>
  <conditionalFormatting sqref="C1114">
    <cfRule type="cellIs" dxfId="1" priority="2416" operator="equal">
      <formula>0</formula>
    </cfRule>
  </conditionalFormatting>
  <conditionalFormatting sqref="C1115">
    <cfRule type="cellIs" dxfId="1" priority="2426" operator="equal">
      <formula>0</formula>
    </cfRule>
  </conditionalFormatting>
  <conditionalFormatting sqref="C1116">
    <cfRule type="cellIs" dxfId="1" priority="2428" operator="equal">
      <formula>0</formula>
    </cfRule>
  </conditionalFormatting>
  <conditionalFormatting sqref="C1117">
    <cfRule type="cellIs" dxfId="1" priority="2430" operator="equal">
      <formula>0</formula>
    </cfRule>
  </conditionalFormatting>
  <conditionalFormatting sqref="C1120">
    <cfRule type="cellIs" dxfId="1" priority="2436" operator="equal">
      <formula>0</formula>
    </cfRule>
  </conditionalFormatting>
  <conditionalFormatting sqref="C1121">
    <cfRule type="cellIs" dxfId="1" priority="2438" operator="equal">
      <formula>0</formula>
    </cfRule>
  </conditionalFormatting>
  <conditionalFormatting sqref="C1122">
    <cfRule type="cellIs" dxfId="1" priority="2440" operator="equal">
      <formula>0</formula>
    </cfRule>
  </conditionalFormatting>
  <conditionalFormatting sqref="C1123">
    <cfRule type="cellIs" dxfId="1" priority="2442" operator="equal">
      <formula>0</formula>
    </cfRule>
  </conditionalFormatting>
  <conditionalFormatting sqref="C1124">
    <cfRule type="cellIs" dxfId="1" priority="2444" operator="equal">
      <formula>0</formula>
    </cfRule>
  </conditionalFormatting>
  <conditionalFormatting sqref="C1125">
    <cfRule type="cellIs" dxfId="1" priority="2446" operator="equal">
      <formula>0</formula>
    </cfRule>
  </conditionalFormatting>
  <conditionalFormatting sqref="C1127">
    <cfRule type="cellIs" dxfId="1" priority="2449" operator="equal">
      <formula>0</formula>
    </cfRule>
  </conditionalFormatting>
  <conditionalFormatting sqref="C1128">
    <cfRule type="cellIs" dxfId="1" priority="2451" operator="equal">
      <formula>0</formula>
    </cfRule>
  </conditionalFormatting>
  <conditionalFormatting sqref="C1129">
    <cfRule type="cellIs" dxfId="1" priority="2453" operator="equal">
      <formula>0</formula>
    </cfRule>
  </conditionalFormatting>
  <conditionalFormatting sqref="C1130">
    <cfRule type="cellIs" dxfId="1" priority="2455" operator="equal">
      <formula>0</formula>
    </cfRule>
  </conditionalFormatting>
  <conditionalFormatting sqref="C1133">
    <cfRule type="cellIs" dxfId="1" priority="2459" operator="equal">
      <formula>0</formula>
    </cfRule>
  </conditionalFormatting>
  <conditionalFormatting sqref="C1134">
    <cfRule type="cellIs" dxfId="1" priority="2461" operator="equal">
      <formula>0</formula>
    </cfRule>
  </conditionalFormatting>
  <conditionalFormatting sqref="C1135">
    <cfRule type="cellIs" dxfId="1" priority="2463" operator="equal">
      <formula>0</formula>
    </cfRule>
  </conditionalFormatting>
  <conditionalFormatting sqref="C1136">
    <cfRule type="cellIs" dxfId="1" priority="2465" operator="equal">
      <formula>0</formula>
    </cfRule>
  </conditionalFormatting>
  <conditionalFormatting sqref="C1137">
    <cfRule type="cellIs" dxfId="1" priority="2467" operator="equal">
      <formula>0</formula>
    </cfRule>
  </conditionalFormatting>
  <conditionalFormatting sqref="C1138">
    <cfRule type="cellIs" dxfId="1" priority="2469" operator="equal">
      <formula>0</formula>
    </cfRule>
  </conditionalFormatting>
  <conditionalFormatting sqref="C1139">
    <cfRule type="cellIs" dxfId="1" priority="2471" operator="equal">
      <formula>0</formula>
    </cfRule>
  </conditionalFormatting>
  <conditionalFormatting sqref="C1140">
    <cfRule type="cellIs" dxfId="1" priority="2473" operator="equal">
      <formula>0</formula>
    </cfRule>
  </conditionalFormatting>
  <conditionalFormatting sqref="C1141">
    <cfRule type="cellIs" dxfId="1" priority="2475" operator="equal">
      <formula>0</formula>
    </cfRule>
  </conditionalFormatting>
  <conditionalFormatting sqref="C1143">
    <cfRule type="expression" dxfId="0" priority="2477">
      <formula>C1144=0</formula>
    </cfRule>
  </conditionalFormatting>
  <conditionalFormatting sqref="C1144">
    <cfRule type="cellIs" dxfId="1" priority="2483" operator="equal">
      <formula>0</formula>
    </cfRule>
  </conditionalFormatting>
  <conditionalFormatting sqref="C1145">
    <cfRule type="cellIs" dxfId="1" priority="2489" operator="equal">
      <formula>0</formula>
    </cfRule>
  </conditionalFormatting>
  <conditionalFormatting sqref="C1146">
    <cfRule type="cellIs" dxfId="1" priority="2490" operator="equal">
      <formula>0</formula>
    </cfRule>
  </conditionalFormatting>
  <conditionalFormatting sqref="C1147">
    <cfRule type="cellIs" dxfId="1" priority="2491" operator="equal">
      <formula>0</formula>
    </cfRule>
  </conditionalFormatting>
  <conditionalFormatting sqref="C1150">
    <cfRule type="cellIs" dxfId="1" priority="2494" operator="equal">
      <formula>0</formula>
    </cfRule>
  </conditionalFormatting>
  <conditionalFormatting sqref="C1151">
    <cfRule type="cellIs" dxfId="1" priority="2495" operator="equal">
      <formula>0</formula>
    </cfRule>
  </conditionalFormatting>
  <conditionalFormatting sqref="C1152">
    <cfRule type="cellIs" dxfId="1" priority="2496" operator="equal">
      <formula>0</formula>
    </cfRule>
  </conditionalFormatting>
  <conditionalFormatting sqref="C1153">
    <cfRule type="cellIs" dxfId="1" priority="2497" operator="equal">
      <formula>0</formula>
    </cfRule>
  </conditionalFormatting>
  <conditionalFormatting sqref="C1154">
    <cfRule type="cellIs" dxfId="1" priority="2498" operator="equal">
      <formula>0</formula>
    </cfRule>
  </conditionalFormatting>
  <conditionalFormatting sqref="C1155">
    <cfRule type="cellIs" dxfId="1" priority="2499" operator="equal">
      <formula>0</formula>
    </cfRule>
  </conditionalFormatting>
  <conditionalFormatting sqref="C1156">
    <cfRule type="cellIs" dxfId="1" priority="2500" operator="equal">
      <formula>0</formula>
    </cfRule>
  </conditionalFormatting>
  <conditionalFormatting sqref="C1157">
    <cfRule type="cellIs" dxfId="1" priority="2501" operator="equal">
      <formula>0</formula>
    </cfRule>
  </conditionalFormatting>
  <conditionalFormatting sqref="C1158">
    <cfRule type="cellIs" dxfId="1" priority="2502" operator="equal">
      <formula>0</formula>
    </cfRule>
  </conditionalFormatting>
  <conditionalFormatting sqref="C1159">
    <cfRule type="cellIs" dxfId="1" priority="2503" operator="equal">
      <formula>0</formula>
    </cfRule>
  </conditionalFormatting>
  <conditionalFormatting sqref="C1160">
    <cfRule type="cellIs" dxfId="1" priority="2504" operator="equal">
      <formula>0</formula>
    </cfRule>
  </conditionalFormatting>
  <conditionalFormatting sqref="C1162">
    <cfRule type="cellIs" dxfId="1" priority="2506" operator="equal">
      <formula>0</formula>
    </cfRule>
  </conditionalFormatting>
  <conditionalFormatting sqref="C1163">
    <cfRule type="cellIs" dxfId="1" priority="2507" operator="equal">
      <formula>0</formula>
    </cfRule>
  </conditionalFormatting>
  <conditionalFormatting sqref="C1164">
    <cfRule type="cellIs" dxfId="1" priority="2508" operator="equal">
      <formula>0</formula>
    </cfRule>
  </conditionalFormatting>
  <conditionalFormatting sqref="C1165">
    <cfRule type="cellIs" dxfId="1" priority="2509" operator="equal">
      <formula>0</formula>
    </cfRule>
  </conditionalFormatting>
  <conditionalFormatting sqref="C1166">
    <cfRule type="cellIs" dxfId="1" priority="2511" operator="equal">
      <formula>0</formula>
    </cfRule>
  </conditionalFormatting>
  <conditionalFormatting sqref="C1167">
    <cfRule type="cellIs" dxfId="1" priority="2512" operator="equal">
      <formula>0</formula>
    </cfRule>
  </conditionalFormatting>
  <conditionalFormatting sqref="C1168">
    <cfRule type="cellIs" dxfId="1" priority="2514" operator="equal">
      <formula>0</formula>
    </cfRule>
  </conditionalFormatting>
  <conditionalFormatting sqref="C117">
    <cfRule type="expression" dxfId="0" priority="231">
      <formula>C118=0</formula>
    </cfRule>
  </conditionalFormatting>
  <conditionalFormatting sqref="C1170">
    <cfRule type="cellIs" dxfId="1" priority="2516" operator="equal">
      <formula>0</formula>
    </cfRule>
  </conditionalFormatting>
  <conditionalFormatting sqref="C1171">
    <cfRule type="cellIs" dxfId="1" priority="2518" operator="equal">
      <formula>0</formula>
    </cfRule>
  </conditionalFormatting>
  <conditionalFormatting sqref="C1179">
    <cfRule type="expression" dxfId="0" priority="2520">
      <formula>C1180=0</formula>
    </cfRule>
  </conditionalFormatting>
  <conditionalFormatting sqref="C118">
    <cfRule type="cellIs" dxfId="1" priority="243" operator="equal">
      <formula>0</formula>
    </cfRule>
  </conditionalFormatting>
  <conditionalFormatting sqref="C1180">
    <cfRule type="cellIs" dxfId="1" priority="2525" operator="equal">
      <formula>0</formula>
    </cfRule>
  </conditionalFormatting>
  <conditionalFormatting sqref="C1181">
    <cfRule type="cellIs" dxfId="1" priority="2530" operator="equal">
      <formula>0</formula>
    </cfRule>
  </conditionalFormatting>
  <conditionalFormatting sqref="C1183">
    <cfRule type="expression" dxfId="0" priority="2535">
      <formula>C1184=0</formula>
    </cfRule>
  </conditionalFormatting>
  <conditionalFormatting sqref="C1184">
    <cfRule type="cellIs" dxfId="1" priority="2537" operator="equal">
      <formula>0</formula>
    </cfRule>
  </conditionalFormatting>
  <conditionalFormatting sqref="C1185">
    <cfRule type="cellIs" dxfId="1" priority="2539" operator="equal">
      <formula>0</formula>
    </cfRule>
  </conditionalFormatting>
  <conditionalFormatting sqref="C1187">
    <cfRule type="expression" dxfId="0" priority="2541">
      <formula>C1188=0</formula>
    </cfRule>
  </conditionalFormatting>
  <conditionalFormatting sqref="C1188">
    <cfRule type="cellIs" dxfId="1" priority="2543" operator="equal">
      <formula>0</formula>
    </cfRule>
  </conditionalFormatting>
  <conditionalFormatting sqref="C1189">
    <cfRule type="cellIs" dxfId="1" priority="2545" operator="equal">
      <formula>0</formula>
    </cfRule>
  </conditionalFormatting>
  <conditionalFormatting sqref="C119">
    <cfRule type="cellIs" dxfId="1" priority="255" operator="equal">
      <formula>0</formula>
    </cfRule>
  </conditionalFormatting>
  <conditionalFormatting sqref="C1197">
    <cfRule type="expression" dxfId="0" priority="2547">
      <formula>C1198=0</formula>
    </cfRule>
  </conditionalFormatting>
  <conditionalFormatting sqref="C1198">
    <cfRule type="cellIs" dxfId="1" priority="2557" operator="equal">
      <formula>0</formula>
    </cfRule>
  </conditionalFormatting>
  <conditionalFormatting sqref="C1199">
    <cfRule type="cellIs" dxfId="1" priority="2567" operator="equal">
      <formula>0</formula>
    </cfRule>
  </conditionalFormatting>
  <conditionalFormatting sqref="C120">
    <cfRule type="cellIs" dxfId="1" priority="260" operator="equal">
      <formula>0</formula>
    </cfRule>
  </conditionalFormatting>
  <conditionalFormatting sqref="C1200">
    <cfRule type="cellIs" dxfId="1" priority="2569" operator="equal">
      <formula>0</formula>
    </cfRule>
  </conditionalFormatting>
  <conditionalFormatting sqref="C1201">
    <cfRule type="cellIs" dxfId="1" priority="2572" operator="equal">
      <formula>0</formula>
    </cfRule>
  </conditionalFormatting>
  <conditionalFormatting sqref="C1202">
    <cfRule type="cellIs" dxfId="1" priority="2577" operator="equal">
      <formula>0</formula>
    </cfRule>
  </conditionalFormatting>
  <conditionalFormatting sqref="C1203">
    <cfRule type="cellIs" dxfId="1" priority="2580" operator="equal">
      <formula>0</formula>
    </cfRule>
  </conditionalFormatting>
  <conditionalFormatting sqref="C1204">
    <cfRule type="cellIs" dxfId="1" priority="2584" operator="equal">
      <formula>0</formula>
    </cfRule>
  </conditionalFormatting>
  <conditionalFormatting sqref="C1205">
    <cfRule type="cellIs" dxfId="1" priority="2587" operator="equal">
      <formula>0</formula>
    </cfRule>
  </conditionalFormatting>
  <conditionalFormatting sqref="C1207">
    <cfRule type="expression" dxfId="0" priority="2593">
      <formula>C1208=0</formula>
    </cfRule>
  </conditionalFormatting>
  <conditionalFormatting sqref="C1208">
    <cfRule type="cellIs" dxfId="1" priority="2598" operator="equal">
      <formula>0</formula>
    </cfRule>
  </conditionalFormatting>
  <conditionalFormatting sqref="C121">
    <cfRule type="cellIs" dxfId="1" priority="264" operator="equal">
      <formula>0</formula>
    </cfRule>
  </conditionalFormatting>
  <conditionalFormatting sqref="C1210">
    <cfRule type="cellIs" dxfId="1" priority="2603" operator="equal">
      <formula>0</formula>
    </cfRule>
  </conditionalFormatting>
  <conditionalFormatting sqref="C1212">
    <cfRule type="cellIs" dxfId="1" priority="2605" operator="equal">
      <formula>0</formula>
    </cfRule>
  </conditionalFormatting>
  <conditionalFormatting sqref="C1215">
    <cfRule type="cellIs" dxfId="1" priority="2610" operator="equal">
      <formula>0</formula>
    </cfRule>
  </conditionalFormatting>
  <conditionalFormatting sqref="C1217">
    <cfRule type="expression" dxfId="0" priority="2611">
      <formula>C1218=0</formula>
    </cfRule>
  </conditionalFormatting>
  <conditionalFormatting sqref="C1218">
    <cfRule type="cellIs" dxfId="1" priority="2613" operator="equal">
      <formula>0</formula>
    </cfRule>
  </conditionalFormatting>
  <conditionalFormatting sqref="C1219">
    <cfRule type="cellIs" dxfId="1" priority="2615" operator="equal">
      <formula>0</formula>
    </cfRule>
  </conditionalFormatting>
  <conditionalFormatting sqref="C122">
    <cfRule type="cellIs" dxfId="1" priority="269" operator="equal">
      <formula>0</formula>
    </cfRule>
  </conditionalFormatting>
  <conditionalFormatting sqref="C1220">
    <cfRule type="cellIs" dxfId="1" priority="2616" operator="equal">
      <formula>0</formula>
    </cfRule>
  </conditionalFormatting>
  <conditionalFormatting sqref="C1221">
    <cfRule type="cellIs" dxfId="1" priority="2617" operator="equal">
      <formula>0</formula>
    </cfRule>
  </conditionalFormatting>
  <conditionalFormatting sqref="C1222">
    <cfRule type="cellIs" dxfId="1" priority="2618" operator="equal">
      <formula>0</formula>
    </cfRule>
  </conditionalFormatting>
  <conditionalFormatting sqref="C1223">
    <cfRule type="cellIs" dxfId="1" priority="2619" operator="equal">
      <formula>0</formula>
    </cfRule>
  </conditionalFormatting>
  <conditionalFormatting sqref="C1224">
    <cfRule type="cellIs" dxfId="1" priority="2620" operator="equal">
      <formula>0</formula>
    </cfRule>
  </conditionalFormatting>
  <conditionalFormatting sqref="C1225">
    <cfRule type="cellIs" dxfId="1" priority="2622" operator="equal">
      <formula>0</formula>
    </cfRule>
  </conditionalFormatting>
  <conditionalFormatting sqref="C123">
    <cfRule type="cellIs" dxfId="1" priority="273" operator="equal">
      <formula>0</formula>
    </cfRule>
  </conditionalFormatting>
  <conditionalFormatting sqref="C1233">
    <cfRule type="expression" dxfId="0" priority="2623">
      <formula>C1234=0</formula>
    </cfRule>
  </conditionalFormatting>
  <conditionalFormatting sqref="C1234">
    <cfRule type="cellIs" dxfId="1" priority="2628" operator="equal">
      <formula>0</formula>
    </cfRule>
  </conditionalFormatting>
  <conditionalFormatting sqref="C1235">
    <cfRule type="cellIs" dxfId="1" priority="2633" operator="equal">
      <formula>0</formula>
    </cfRule>
  </conditionalFormatting>
  <conditionalFormatting sqref="C1236">
    <cfRule type="cellIs" dxfId="1" priority="2637" operator="equal">
      <formula>0</formula>
    </cfRule>
  </conditionalFormatting>
  <conditionalFormatting sqref="C1237">
    <cfRule type="cellIs" dxfId="1" priority="2641" operator="equal">
      <formula>0</formula>
    </cfRule>
  </conditionalFormatting>
  <conditionalFormatting sqref="C1238">
    <cfRule type="cellIs" dxfId="1" priority="2645" operator="equal">
      <formula>0</formula>
    </cfRule>
  </conditionalFormatting>
  <conditionalFormatting sqref="C1239">
    <cfRule type="cellIs" dxfId="1" priority="2649" operator="equal">
      <formula>0</formula>
    </cfRule>
  </conditionalFormatting>
  <conditionalFormatting sqref="C124">
    <cfRule type="cellIs" dxfId="1" priority="278" operator="equal">
      <formula>0</formula>
    </cfRule>
  </conditionalFormatting>
  <conditionalFormatting sqref="C1240">
    <cfRule type="cellIs" dxfId="1" priority="2653" operator="equal">
      <formula>0</formula>
    </cfRule>
  </conditionalFormatting>
  <conditionalFormatting sqref="C1241">
    <cfRule type="cellIs" dxfId="1" priority="2657" operator="equal">
      <formula>0</formula>
    </cfRule>
  </conditionalFormatting>
  <conditionalFormatting sqref="C1242">
    <cfRule type="cellIs" dxfId="1" priority="2661" operator="equal">
      <formula>0</formula>
    </cfRule>
  </conditionalFormatting>
  <conditionalFormatting sqref="C1243">
    <cfRule type="cellIs" dxfId="1" priority="2665" operator="equal">
      <formula>0</formula>
    </cfRule>
  </conditionalFormatting>
  <conditionalFormatting sqref="C1244">
    <cfRule type="cellIs" dxfId="1" priority="2669" operator="equal">
      <formula>0</formula>
    </cfRule>
  </conditionalFormatting>
  <conditionalFormatting sqref="C1246">
    <cfRule type="expression" dxfId="0" priority="2673">
      <formula>C1247=0</formula>
    </cfRule>
  </conditionalFormatting>
  <conditionalFormatting sqref="C1247">
    <cfRule type="cellIs" dxfId="1" priority="2681" operator="equal">
      <formula>0</formula>
    </cfRule>
  </conditionalFormatting>
  <conditionalFormatting sqref="C1248">
    <cfRule type="cellIs" dxfId="1" priority="2689" operator="equal">
      <formula>0</formula>
    </cfRule>
  </conditionalFormatting>
  <conditionalFormatting sqref="C125">
    <cfRule type="cellIs" dxfId="1" priority="282" operator="equal">
      <formula>0</formula>
    </cfRule>
  </conditionalFormatting>
  <conditionalFormatting sqref="C1250">
    <cfRule type="cellIs" dxfId="1" priority="2693" operator="equal">
      <formula>0</formula>
    </cfRule>
  </conditionalFormatting>
  <conditionalFormatting sqref="C1251">
    <cfRule type="cellIs" dxfId="1" priority="2695" operator="equal">
      <formula>0</formula>
    </cfRule>
  </conditionalFormatting>
  <conditionalFormatting sqref="C1252">
    <cfRule type="cellIs" dxfId="1" priority="2697" operator="equal">
      <formula>0</formula>
    </cfRule>
  </conditionalFormatting>
  <conditionalFormatting sqref="C1253">
    <cfRule type="cellIs" dxfId="1" priority="2699" operator="equal">
      <formula>0</formula>
    </cfRule>
  </conditionalFormatting>
  <conditionalFormatting sqref="C1255">
    <cfRule type="cellIs" dxfId="1" priority="2702" operator="equal">
      <formula>0</formula>
    </cfRule>
  </conditionalFormatting>
  <conditionalFormatting sqref="C1257">
    <cfRule type="cellIs" dxfId="1" priority="2705" operator="equal">
      <formula>0</formula>
    </cfRule>
  </conditionalFormatting>
  <conditionalFormatting sqref="C1259">
    <cfRule type="expression" dxfId="0" priority="2707">
      <formula>C1260=0</formula>
    </cfRule>
  </conditionalFormatting>
  <conditionalFormatting sqref="C126">
    <cfRule type="cellIs" dxfId="1" priority="288" operator="equal">
      <formula>0</formula>
    </cfRule>
  </conditionalFormatting>
  <conditionalFormatting sqref="C1260">
    <cfRule type="cellIs" dxfId="1" priority="2710" operator="equal">
      <formula>0</formula>
    </cfRule>
  </conditionalFormatting>
  <conditionalFormatting sqref="C1261">
    <cfRule type="cellIs" dxfId="1" priority="2713" operator="equal">
      <formula>0</formula>
    </cfRule>
  </conditionalFormatting>
  <conditionalFormatting sqref="C1263">
    <cfRule type="cellIs" dxfId="1" priority="2715" operator="equal">
      <formula>0</formula>
    </cfRule>
  </conditionalFormatting>
  <conditionalFormatting sqref="C1264">
    <cfRule type="cellIs" dxfId="1" priority="2716" operator="equal">
      <formula>0</formula>
    </cfRule>
  </conditionalFormatting>
  <conditionalFormatting sqref="C1265">
    <cfRule type="cellIs" dxfId="1" priority="2717" operator="equal">
      <formula>0</formula>
    </cfRule>
  </conditionalFormatting>
  <conditionalFormatting sqref="C1266">
    <cfRule type="cellIs" dxfId="1" priority="2718" operator="equal">
      <formula>0</formula>
    </cfRule>
  </conditionalFormatting>
  <conditionalFormatting sqref="C1267">
    <cfRule type="cellIs" dxfId="1" priority="2719" operator="equal">
      <formula>0</formula>
    </cfRule>
  </conditionalFormatting>
  <conditionalFormatting sqref="C1268">
    <cfRule type="cellIs" dxfId="1" priority="2720" operator="equal">
      <formula>0</formula>
    </cfRule>
  </conditionalFormatting>
  <conditionalFormatting sqref="C127">
    <cfRule type="cellIs" dxfId="1" priority="292" operator="equal">
      <formula>0</formula>
    </cfRule>
  </conditionalFormatting>
  <conditionalFormatting sqref="C1270">
    <cfRule type="cellIs" dxfId="1" priority="2722" operator="equal">
      <formula>0</formula>
    </cfRule>
  </conditionalFormatting>
  <conditionalFormatting sqref="C1278">
    <cfRule type="expression" dxfId="0" priority="2723">
      <formula>C1279=0</formula>
    </cfRule>
  </conditionalFormatting>
  <conditionalFormatting sqref="C1279">
    <cfRule type="cellIs" dxfId="1" priority="2730" operator="equal">
      <formula>0</formula>
    </cfRule>
  </conditionalFormatting>
  <conditionalFormatting sqref="C128">
    <cfRule type="cellIs" dxfId="1" priority="295" operator="equal">
      <formula>0</formula>
    </cfRule>
  </conditionalFormatting>
  <conditionalFormatting sqref="C1280">
    <cfRule type="cellIs" dxfId="1" priority="2737" operator="equal">
      <formula>0</formula>
    </cfRule>
  </conditionalFormatting>
  <conditionalFormatting sqref="C1281">
    <cfRule type="cellIs" dxfId="1" priority="2742" operator="equal">
      <formula>0</formula>
    </cfRule>
  </conditionalFormatting>
  <conditionalFormatting sqref="C1282">
    <cfRule type="cellIs" dxfId="1" priority="2746" operator="equal">
      <formula>0</formula>
    </cfRule>
  </conditionalFormatting>
  <conditionalFormatting sqref="C1283">
    <cfRule type="cellIs" dxfId="1" priority="2751" operator="equal">
      <formula>0</formula>
    </cfRule>
  </conditionalFormatting>
  <conditionalFormatting sqref="C1285">
    <cfRule type="expression" dxfId="0" priority="2756">
      <formula>C1286=0</formula>
    </cfRule>
  </conditionalFormatting>
  <conditionalFormatting sqref="C1286">
    <cfRule type="cellIs" dxfId="1" priority="2759" operator="equal">
      <formula>0</formula>
    </cfRule>
  </conditionalFormatting>
  <conditionalFormatting sqref="C1287">
    <cfRule type="cellIs" dxfId="1" priority="2762" operator="equal">
      <formula>0</formula>
    </cfRule>
  </conditionalFormatting>
  <conditionalFormatting sqref="C1288">
    <cfRule type="cellIs" dxfId="1" priority="2764" operator="equal">
      <formula>0</formula>
    </cfRule>
  </conditionalFormatting>
  <conditionalFormatting sqref="C1289">
    <cfRule type="cellIs" dxfId="1" priority="2765" operator="equal">
      <formula>0</formula>
    </cfRule>
  </conditionalFormatting>
  <conditionalFormatting sqref="C129">
    <cfRule type="cellIs" dxfId="1" priority="298" operator="equal">
      <formula>0</formula>
    </cfRule>
  </conditionalFormatting>
  <conditionalFormatting sqref="C1290">
    <cfRule type="cellIs" dxfId="1" priority="2767" operator="equal">
      <formula>0</formula>
    </cfRule>
  </conditionalFormatting>
  <conditionalFormatting sqref="C1292">
    <cfRule type="expression" dxfId="0" priority="2768">
      <formula>C1293=0</formula>
    </cfRule>
  </conditionalFormatting>
  <conditionalFormatting sqref="C1293">
    <cfRule type="cellIs" dxfId="1" priority="2770" operator="equal">
      <formula>0</formula>
    </cfRule>
  </conditionalFormatting>
  <conditionalFormatting sqref="C1294">
    <cfRule type="cellIs" dxfId="1" priority="2772" operator="equal">
      <formula>0</formula>
    </cfRule>
  </conditionalFormatting>
  <conditionalFormatting sqref="C1295">
    <cfRule type="cellIs" dxfId="1" priority="2774" operator="equal">
      <formula>0</formula>
    </cfRule>
  </conditionalFormatting>
  <conditionalFormatting sqref="C1296">
    <cfRule type="cellIs" dxfId="1" priority="2775" operator="equal">
      <formula>0</formula>
    </cfRule>
  </conditionalFormatting>
  <conditionalFormatting sqref="C1297">
    <cfRule type="cellIs" dxfId="1" priority="2776" operator="equal">
      <formula>0</formula>
    </cfRule>
  </conditionalFormatting>
  <conditionalFormatting sqref="C130">
    <cfRule type="cellIs" dxfId="1" priority="303" operator="equal">
      <formula>0</formula>
    </cfRule>
  </conditionalFormatting>
  <conditionalFormatting sqref="C1305">
    <cfRule type="expression" dxfId="0" priority="2778">
      <formula>C1306=0</formula>
    </cfRule>
  </conditionalFormatting>
  <conditionalFormatting sqref="C1306">
    <cfRule type="cellIs" dxfId="1" priority="2785" operator="equal">
      <formula>0</formula>
    </cfRule>
  </conditionalFormatting>
  <conditionalFormatting sqref="C1307">
    <cfRule type="cellIs" dxfId="1" priority="2792" operator="equal">
      <formula>0</formula>
    </cfRule>
  </conditionalFormatting>
  <conditionalFormatting sqref="C1308">
    <cfRule type="cellIs" dxfId="1" priority="2797" operator="equal">
      <formula>0</formula>
    </cfRule>
  </conditionalFormatting>
  <conditionalFormatting sqref="C1309">
    <cfRule type="cellIs" dxfId="1" priority="2802" operator="equal">
      <formula>0</formula>
    </cfRule>
  </conditionalFormatting>
  <conditionalFormatting sqref="C131">
    <cfRule type="cellIs" dxfId="1" priority="307" operator="equal">
      <formula>0</formula>
    </cfRule>
  </conditionalFormatting>
  <conditionalFormatting sqref="C1310">
    <cfRule type="cellIs" dxfId="1" priority="2807" operator="equal">
      <formula>0</formula>
    </cfRule>
  </conditionalFormatting>
  <conditionalFormatting sqref="C1311">
    <cfRule type="cellIs" dxfId="1" priority="2811" operator="equal">
      <formula>0</formula>
    </cfRule>
  </conditionalFormatting>
  <conditionalFormatting sqref="C1313">
    <cfRule type="expression" dxfId="0" priority="2815">
      <formula>C1314=0</formula>
    </cfRule>
  </conditionalFormatting>
  <conditionalFormatting sqref="C1314">
    <cfRule type="cellIs" dxfId="1" priority="2819" operator="equal">
      <formula>0</formula>
    </cfRule>
  </conditionalFormatting>
  <conditionalFormatting sqref="C1315">
    <cfRule type="cellIs" dxfId="1" priority="2823" operator="equal">
      <formula>0</formula>
    </cfRule>
  </conditionalFormatting>
  <conditionalFormatting sqref="C1316">
    <cfRule type="cellIs" dxfId="1" priority="2825" operator="equal">
      <formula>0</formula>
    </cfRule>
  </conditionalFormatting>
  <conditionalFormatting sqref="C1317">
    <cfRule type="cellIs" dxfId="1" priority="2827" operator="equal">
      <formula>0</formula>
    </cfRule>
  </conditionalFormatting>
  <conditionalFormatting sqref="C1318">
    <cfRule type="cellIs" dxfId="1" priority="2828" operator="equal">
      <formula>0</formula>
    </cfRule>
  </conditionalFormatting>
  <conditionalFormatting sqref="C1319">
    <cfRule type="cellIs" dxfId="1" priority="2830" operator="equal">
      <formula>0</formula>
    </cfRule>
  </conditionalFormatting>
  <conditionalFormatting sqref="C132">
    <cfRule type="cellIs" dxfId="1" priority="312" operator="equal">
      <formula>0</formula>
    </cfRule>
  </conditionalFormatting>
  <conditionalFormatting sqref="C1321">
    <cfRule type="expression" dxfId="0" priority="2831">
      <formula>C1322=0</formula>
    </cfRule>
  </conditionalFormatting>
  <conditionalFormatting sqref="C1322">
    <cfRule type="cellIs" dxfId="1" priority="2834" operator="equal">
      <formula>0</formula>
    </cfRule>
  </conditionalFormatting>
  <conditionalFormatting sqref="C1323">
    <cfRule type="cellIs" dxfId="1" priority="2837" operator="equal">
      <formula>0</formula>
    </cfRule>
  </conditionalFormatting>
  <conditionalFormatting sqref="C1324">
    <cfRule type="cellIs" dxfId="1" priority="2839" operator="equal">
      <formula>0</formula>
    </cfRule>
  </conditionalFormatting>
  <conditionalFormatting sqref="C1325">
    <cfRule type="cellIs" dxfId="1" priority="2841" operator="equal">
      <formula>0</formula>
    </cfRule>
  </conditionalFormatting>
  <conditionalFormatting sqref="C1326">
    <cfRule type="cellIs" dxfId="1" priority="2842" operator="equal">
      <formula>0</formula>
    </cfRule>
  </conditionalFormatting>
  <conditionalFormatting sqref="C1327">
    <cfRule type="cellIs" dxfId="1" priority="2843" operator="equal">
      <formula>0</formula>
    </cfRule>
  </conditionalFormatting>
  <conditionalFormatting sqref="C133">
    <cfRule type="cellIs" dxfId="1" priority="316" operator="equal">
      <formula>0</formula>
    </cfRule>
  </conditionalFormatting>
  <conditionalFormatting sqref="C1335">
    <cfRule type="expression" dxfId="0" priority="2845">
      <formula>C1336=0</formula>
    </cfRule>
  </conditionalFormatting>
  <conditionalFormatting sqref="C1336">
    <cfRule type="cellIs" dxfId="1" priority="2852" operator="equal">
      <formula>0</formula>
    </cfRule>
  </conditionalFormatting>
  <conditionalFormatting sqref="C1337">
    <cfRule type="cellIs" dxfId="1" priority="2859" operator="equal">
      <formula>0</formula>
    </cfRule>
  </conditionalFormatting>
  <conditionalFormatting sqref="C1338">
    <cfRule type="cellIs" dxfId="1" priority="2863" operator="equal">
      <formula>0</formula>
    </cfRule>
  </conditionalFormatting>
  <conditionalFormatting sqref="C1339">
    <cfRule type="cellIs" dxfId="1" priority="2867" operator="equal">
      <formula>0</formula>
    </cfRule>
  </conditionalFormatting>
  <conditionalFormatting sqref="C134">
    <cfRule type="cellIs" dxfId="1" priority="320" operator="equal">
      <formula>0</formula>
    </cfRule>
  </conditionalFormatting>
  <conditionalFormatting sqref="C1340">
    <cfRule type="cellIs" dxfId="1" priority="2871" operator="equal">
      <formula>0</formula>
    </cfRule>
  </conditionalFormatting>
  <conditionalFormatting sqref="C1342">
    <cfRule type="expression" dxfId="0" priority="2875">
      <formula>C1343=0</formula>
    </cfRule>
  </conditionalFormatting>
  <conditionalFormatting sqref="C1343">
    <cfRule type="cellIs" dxfId="1" priority="2879" operator="equal">
      <formula>0</formula>
    </cfRule>
  </conditionalFormatting>
  <conditionalFormatting sqref="C1344">
    <cfRule type="cellIs" dxfId="1" priority="2883" operator="equal">
      <formula>0</formula>
    </cfRule>
  </conditionalFormatting>
  <conditionalFormatting sqref="C1345">
    <cfRule type="cellIs" dxfId="1" priority="2885" operator="equal">
      <formula>0</formula>
    </cfRule>
  </conditionalFormatting>
  <conditionalFormatting sqref="C1346">
    <cfRule type="cellIs" dxfId="1" priority="2887" operator="equal">
      <formula>0</formula>
    </cfRule>
  </conditionalFormatting>
  <conditionalFormatting sqref="C1349">
    <cfRule type="expression" dxfId="0" priority="2891">
      <formula>C1350=0</formula>
    </cfRule>
  </conditionalFormatting>
  <conditionalFormatting sqref="C135">
    <cfRule type="cellIs" dxfId="1" priority="325" operator="equal">
      <formula>0</formula>
    </cfRule>
  </conditionalFormatting>
  <conditionalFormatting sqref="C1350">
    <cfRule type="cellIs" dxfId="1" priority="2894" operator="equal">
      <formula>0</formula>
    </cfRule>
  </conditionalFormatting>
  <conditionalFormatting sqref="C1351">
    <cfRule type="cellIs" dxfId="1" priority="2897" operator="equal">
      <formula>0</formula>
    </cfRule>
  </conditionalFormatting>
  <conditionalFormatting sqref="C1352">
    <cfRule type="cellIs" dxfId="1" priority="2899" operator="equal">
      <formula>0</formula>
    </cfRule>
  </conditionalFormatting>
  <conditionalFormatting sqref="C1354">
    <cfRule type="cellIs" dxfId="1" priority="2902" operator="equal">
      <formula>0</formula>
    </cfRule>
  </conditionalFormatting>
  <conditionalFormatting sqref="C136">
    <cfRule type="cellIs" dxfId="1" priority="330" operator="equal">
      <formula>0</formula>
    </cfRule>
  </conditionalFormatting>
  <conditionalFormatting sqref="C1362">
    <cfRule type="expression" dxfId="0" priority="2904">
      <formula>C1363=0</formula>
    </cfRule>
  </conditionalFormatting>
  <conditionalFormatting sqref="C1363">
    <cfRule type="cellIs" dxfId="1" priority="2911" operator="equal">
      <formula>0</formula>
    </cfRule>
  </conditionalFormatting>
  <conditionalFormatting sqref="C1364">
    <cfRule type="cellIs" dxfId="1" priority="2918" operator="equal">
      <formula>0</formula>
    </cfRule>
  </conditionalFormatting>
  <conditionalFormatting sqref="C1365">
    <cfRule type="cellIs" dxfId="1" priority="2922" operator="equal">
      <formula>0</formula>
    </cfRule>
  </conditionalFormatting>
  <conditionalFormatting sqref="C1366">
    <cfRule type="cellIs" dxfId="1" priority="2927" operator="equal">
      <formula>0</formula>
    </cfRule>
  </conditionalFormatting>
  <conditionalFormatting sqref="C1368">
    <cfRule type="expression" dxfId="0" priority="2931">
      <formula>C1369=0</formula>
    </cfRule>
  </conditionalFormatting>
  <conditionalFormatting sqref="C1369">
    <cfRule type="cellIs" dxfId="1" priority="2935" operator="equal">
      <formula>0</formula>
    </cfRule>
  </conditionalFormatting>
  <conditionalFormatting sqref="C137">
    <cfRule type="cellIs" dxfId="1" priority="334" operator="equal">
      <formula>0</formula>
    </cfRule>
  </conditionalFormatting>
  <conditionalFormatting sqref="C1370">
    <cfRule type="cellIs" dxfId="1" priority="2939" operator="equal">
      <formula>0</formula>
    </cfRule>
  </conditionalFormatting>
  <conditionalFormatting sqref="C1371">
    <cfRule type="cellIs" dxfId="1" priority="2941" operator="equal">
      <formula>0</formula>
    </cfRule>
  </conditionalFormatting>
  <conditionalFormatting sqref="C1374">
    <cfRule type="expression" dxfId="0" priority="2945">
      <formula>C1375=0</formula>
    </cfRule>
  </conditionalFormatting>
  <conditionalFormatting sqref="C1375">
    <cfRule type="cellIs" dxfId="1" priority="2947" operator="equal">
      <formula>0</formula>
    </cfRule>
  </conditionalFormatting>
  <conditionalFormatting sqref="C1376">
    <cfRule type="cellIs" dxfId="1" priority="2949" operator="equal">
      <formula>0</formula>
    </cfRule>
  </conditionalFormatting>
  <conditionalFormatting sqref="C1377">
    <cfRule type="cellIs" dxfId="1" priority="2950" operator="equal">
      <formula>0</formula>
    </cfRule>
  </conditionalFormatting>
  <conditionalFormatting sqref="C1378">
    <cfRule type="cellIs" dxfId="1" priority="2951" operator="equal">
      <formula>0</formula>
    </cfRule>
  </conditionalFormatting>
  <conditionalFormatting sqref="C138">
    <cfRule type="cellIs" dxfId="1" priority="339" operator="equal">
      <formula>0</formula>
    </cfRule>
  </conditionalFormatting>
  <conditionalFormatting sqref="C1386">
    <cfRule type="expression" dxfId="0" priority="2953">
      <formula>C1387=0</formula>
    </cfRule>
  </conditionalFormatting>
  <conditionalFormatting sqref="C1387">
    <cfRule type="cellIs" dxfId="1" priority="2961" operator="equal">
      <formula>0</formula>
    </cfRule>
  </conditionalFormatting>
  <conditionalFormatting sqref="C1388">
    <cfRule type="cellIs" dxfId="1" priority="2969" operator="equal">
      <formula>0</formula>
    </cfRule>
  </conditionalFormatting>
  <conditionalFormatting sqref="C1389">
    <cfRule type="cellIs" dxfId="1" priority="2973" operator="equal">
      <formula>0</formula>
    </cfRule>
  </conditionalFormatting>
  <conditionalFormatting sqref="C139">
    <cfRule type="cellIs" dxfId="1" priority="345" operator="equal">
      <formula>0</formula>
    </cfRule>
  </conditionalFormatting>
  <conditionalFormatting sqref="C1390">
    <cfRule type="cellIs" dxfId="1" priority="2977" operator="equal">
      <formula>0</formula>
    </cfRule>
  </conditionalFormatting>
  <conditionalFormatting sqref="C1391">
    <cfRule type="cellIs" dxfId="1" priority="2982" operator="equal">
      <formula>0</formula>
    </cfRule>
  </conditionalFormatting>
  <conditionalFormatting sqref="C1392">
    <cfRule type="cellIs" dxfId="1" priority="2987" operator="equal">
      <formula>0</formula>
    </cfRule>
  </conditionalFormatting>
  <conditionalFormatting sqref="C1393">
    <cfRule type="cellIs" dxfId="1" priority="2992" operator="equal">
      <formula>0</formula>
    </cfRule>
  </conditionalFormatting>
  <conditionalFormatting sqref="C1394">
    <cfRule type="cellIs" dxfId="1" priority="2996" operator="equal">
      <formula>0</formula>
    </cfRule>
  </conditionalFormatting>
  <conditionalFormatting sqref="C1396">
    <cfRule type="expression" dxfId="0" priority="3000">
      <formula>C1397=0</formula>
    </cfRule>
  </conditionalFormatting>
  <conditionalFormatting sqref="C1397">
    <cfRule type="cellIs" dxfId="1" priority="3006" operator="equal">
      <formula>0</formula>
    </cfRule>
  </conditionalFormatting>
  <conditionalFormatting sqref="C1398">
    <cfRule type="cellIs" dxfId="1" priority="3012" operator="equal">
      <formula>0</formula>
    </cfRule>
  </conditionalFormatting>
  <conditionalFormatting sqref="C1399">
    <cfRule type="cellIs" dxfId="1" priority="3014" operator="equal">
      <formula>0</formula>
    </cfRule>
  </conditionalFormatting>
  <conditionalFormatting sqref="C140">
    <cfRule type="cellIs" dxfId="1" priority="349" operator="equal">
      <formula>0</formula>
    </cfRule>
  </conditionalFormatting>
  <conditionalFormatting sqref="C1401">
    <cfRule type="cellIs" dxfId="1" priority="3017" operator="equal">
      <formula>0</formula>
    </cfRule>
  </conditionalFormatting>
  <conditionalFormatting sqref="C1402">
    <cfRule type="cellIs" dxfId="1" priority="3019" operator="equal">
      <formula>0</formula>
    </cfRule>
  </conditionalFormatting>
  <conditionalFormatting sqref="C1403">
    <cfRule type="cellIs" dxfId="1" priority="3021" operator="equal">
      <formula>0</formula>
    </cfRule>
  </conditionalFormatting>
  <conditionalFormatting sqref="C1406">
    <cfRule type="expression" dxfId="0" priority="3025">
      <formula>C1407=0</formula>
    </cfRule>
  </conditionalFormatting>
  <conditionalFormatting sqref="C1407">
    <cfRule type="cellIs" dxfId="1" priority="3027" operator="equal">
      <formula>0</formula>
    </cfRule>
  </conditionalFormatting>
  <conditionalFormatting sqref="C1408">
    <cfRule type="cellIs" dxfId="1" priority="3029" operator="equal">
      <formula>0</formula>
    </cfRule>
  </conditionalFormatting>
  <conditionalFormatting sqref="C1409">
    <cfRule type="cellIs" dxfId="1" priority="3030" operator="equal">
      <formula>0</formula>
    </cfRule>
  </conditionalFormatting>
  <conditionalFormatting sqref="C141">
    <cfRule type="cellIs" dxfId="1" priority="353" operator="equal">
      <formula>0</formula>
    </cfRule>
  </conditionalFormatting>
  <conditionalFormatting sqref="C1411">
    <cfRule type="cellIs" dxfId="1" priority="3032" operator="equal">
      <formula>0</formula>
    </cfRule>
  </conditionalFormatting>
  <conditionalFormatting sqref="C1412">
    <cfRule type="cellIs" dxfId="1" priority="3033" operator="equal">
      <formula>0</formula>
    </cfRule>
  </conditionalFormatting>
  <conditionalFormatting sqref="C1413">
    <cfRule type="cellIs" dxfId="1" priority="3034" operator="equal">
      <formula>0</formula>
    </cfRule>
  </conditionalFormatting>
  <conditionalFormatting sqref="C1414">
    <cfRule type="cellIs" dxfId="1" priority="3035" operator="equal">
      <formula>0</formula>
    </cfRule>
  </conditionalFormatting>
  <conditionalFormatting sqref="C142">
    <cfRule type="cellIs" dxfId="1" priority="358" operator="equal">
      <formula>0</formula>
    </cfRule>
  </conditionalFormatting>
  <conditionalFormatting sqref="C1422">
    <cfRule type="expression" dxfId="0" priority="3037">
      <formula>C1423=0</formula>
    </cfRule>
  </conditionalFormatting>
  <conditionalFormatting sqref="C1423">
    <cfRule type="cellIs" dxfId="1" priority="3048" operator="equal">
      <formula>0</formula>
    </cfRule>
  </conditionalFormatting>
  <conditionalFormatting sqref="C1424">
    <cfRule type="cellIs" dxfId="1" priority="3059" operator="equal">
      <formula>0</formula>
    </cfRule>
  </conditionalFormatting>
  <conditionalFormatting sqref="C1425">
    <cfRule type="cellIs" dxfId="1" priority="3063" operator="equal">
      <formula>0</formula>
    </cfRule>
  </conditionalFormatting>
  <conditionalFormatting sqref="C1426">
    <cfRule type="cellIs" dxfId="1" priority="3067" operator="equal">
      <formula>0</formula>
    </cfRule>
  </conditionalFormatting>
  <conditionalFormatting sqref="C1427">
    <cfRule type="cellIs" dxfId="1" priority="3072" operator="equal">
      <formula>0</formula>
    </cfRule>
  </conditionalFormatting>
  <conditionalFormatting sqref="C1428">
    <cfRule type="cellIs" dxfId="1" priority="3078" operator="equal">
      <formula>0</formula>
    </cfRule>
  </conditionalFormatting>
  <conditionalFormatting sqref="C1429">
    <cfRule type="cellIs" dxfId="1" priority="3083" operator="equal">
      <formula>0</formula>
    </cfRule>
  </conditionalFormatting>
  <conditionalFormatting sqref="C1430">
    <cfRule type="cellIs" dxfId="1" priority="3088" operator="equal">
      <formula>0</formula>
    </cfRule>
  </conditionalFormatting>
  <conditionalFormatting sqref="C1431">
    <cfRule type="cellIs" dxfId="1" priority="3092" operator="equal">
      <formula>0</formula>
    </cfRule>
  </conditionalFormatting>
  <conditionalFormatting sqref="C1432">
    <cfRule type="cellIs" dxfId="1" priority="3096" operator="equal">
      <formula>0</formula>
    </cfRule>
  </conditionalFormatting>
  <conditionalFormatting sqref="C1433">
    <cfRule type="cellIs" dxfId="1" priority="3102" operator="equal">
      <formula>0</formula>
    </cfRule>
  </conditionalFormatting>
  <conditionalFormatting sqref="C1434">
    <cfRule type="cellIs" dxfId="1" priority="3106" operator="equal">
      <formula>0</formula>
    </cfRule>
  </conditionalFormatting>
  <conditionalFormatting sqref="C1435">
    <cfRule type="cellIs" dxfId="1" priority="3111" operator="equal">
      <formula>0</formula>
    </cfRule>
  </conditionalFormatting>
  <conditionalFormatting sqref="C1436">
    <cfRule type="cellIs" dxfId="1" priority="3115" operator="equal">
      <formula>0</formula>
    </cfRule>
  </conditionalFormatting>
  <conditionalFormatting sqref="C1437">
    <cfRule type="cellIs" dxfId="1" priority="3118" operator="equal">
      <formula>0</formula>
    </cfRule>
  </conditionalFormatting>
  <conditionalFormatting sqref="C1438">
    <cfRule type="cellIs" dxfId="1" priority="3123" operator="equal">
      <formula>0</formula>
    </cfRule>
  </conditionalFormatting>
  <conditionalFormatting sqref="C1439">
    <cfRule type="cellIs" dxfId="1" priority="3128" operator="equal">
      <formula>0</formula>
    </cfRule>
  </conditionalFormatting>
  <conditionalFormatting sqref="C144">
    <cfRule type="expression" dxfId="0" priority="363">
      <formula>C145=0</formula>
    </cfRule>
  </conditionalFormatting>
  <conditionalFormatting sqref="C1440">
    <cfRule type="cellIs" dxfId="1" priority="3133" operator="equal">
      <formula>0</formula>
    </cfRule>
  </conditionalFormatting>
  <conditionalFormatting sqref="C1441">
    <cfRule type="cellIs" dxfId="1" priority="3138" operator="equal">
      <formula>0</formula>
    </cfRule>
  </conditionalFormatting>
  <conditionalFormatting sqref="C1443">
    <cfRule type="expression" dxfId="0" priority="3142">
      <formula>C1444=0</formula>
    </cfRule>
  </conditionalFormatting>
  <conditionalFormatting sqref="C1444">
    <cfRule type="cellIs" dxfId="1" priority="3149" operator="equal">
      <formula>0</formula>
    </cfRule>
  </conditionalFormatting>
  <conditionalFormatting sqref="C1445">
    <cfRule type="cellIs" dxfId="1" priority="3156" operator="equal">
      <formula>0</formula>
    </cfRule>
  </conditionalFormatting>
  <conditionalFormatting sqref="C1446">
    <cfRule type="cellIs" dxfId="1" priority="3158" operator="equal">
      <formula>0</formula>
    </cfRule>
  </conditionalFormatting>
  <conditionalFormatting sqref="C145">
    <cfRule type="cellIs" dxfId="1" priority="371" operator="equal">
      <formula>0</formula>
    </cfRule>
  </conditionalFormatting>
  <conditionalFormatting sqref="C1450">
    <cfRule type="cellIs" dxfId="1" priority="3164" operator="equal">
      <formula>0</formula>
    </cfRule>
  </conditionalFormatting>
  <conditionalFormatting sqref="C1451">
    <cfRule type="cellIs" dxfId="1" priority="3166" operator="equal">
      <formula>0</formula>
    </cfRule>
  </conditionalFormatting>
  <conditionalFormatting sqref="C1454">
    <cfRule type="cellIs" dxfId="1" priority="3170" operator="equal">
      <formula>0</formula>
    </cfRule>
  </conditionalFormatting>
  <conditionalFormatting sqref="C1456">
    <cfRule type="cellIs" dxfId="1" priority="3174" operator="equal">
      <formula>0</formula>
    </cfRule>
  </conditionalFormatting>
  <conditionalFormatting sqref="C1457">
    <cfRule type="cellIs" dxfId="1" priority="3176" operator="equal">
      <formula>0</formula>
    </cfRule>
  </conditionalFormatting>
  <conditionalFormatting sqref="C1458">
    <cfRule type="cellIs" dxfId="1" priority="3178" operator="equal">
      <formula>0</formula>
    </cfRule>
  </conditionalFormatting>
  <conditionalFormatting sqref="C146">
    <cfRule type="cellIs" dxfId="1" priority="379" operator="equal">
      <formula>0</formula>
    </cfRule>
  </conditionalFormatting>
  <conditionalFormatting sqref="C1461">
    <cfRule type="cellIs" dxfId="1" priority="3182" operator="equal">
      <formula>0</formula>
    </cfRule>
  </conditionalFormatting>
  <conditionalFormatting sqref="C1464">
    <cfRule type="expression" dxfId="0" priority="3186">
      <formula>C1465=0</formula>
    </cfRule>
  </conditionalFormatting>
  <conditionalFormatting sqref="C1465">
    <cfRule type="cellIs" dxfId="1" priority="3188" operator="equal">
      <formula>0</formula>
    </cfRule>
  </conditionalFormatting>
  <conditionalFormatting sqref="C1466">
    <cfRule type="cellIs" dxfId="1" priority="3190" operator="equal">
      <formula>0</formula>
    </cfRule>
  </conditionalFormatting>
  <conditionalFormatting sqref="C1467">
    <cfRule type="cellIs" dxfId="1" priority="3191" operator="equal">
      <formula>0</formula>
    </cfRule>
  </conditionalFormatting>
  <conditionalFormatting sqref="C1468">
    <cfRule type="cellIs" dxfId="1" priority="3192" operator="equal">
      <formula>0</formula>
    </cfRule>
  </conditionalFormatting>
  <conditionalFormatting sqref="C1469">
    <cfRule type="cellIs" dxfId="1" priority="3193" operator="equal">
      <formula>0</formula>
    </cfRule>
  </conditionalFormatting>
  <conditionalFormatting sqref="C1470">
    <cfRule type="cellIs" dxfId="1" priority="3194" operator="equal">
      <formula>0</formula>
    </cfRule>
  </conditionalFormatting>
  <conditionalFormatting sqref="C1471">
    <cfRule type="cellIs" dxfId="1" priority="3195" operator="equal">
      <formula>0</formula>
    </cfRule>
  </conditionalFormatting>
  <conditionalFormatting sqref="C1472">
    <cfRule type="cellIs" dxfId="1" priority="3196" operator="equal">
      <formula>0</formula>
    </cfRule>
  </conditionalFormatting>
  <conditionalFormatting sqref="C1473">
    <cfRule type="cellIs" dxfId="1" priority="3197" operator="equal">
      <formula>0</formula>
    </cfRule>
  </conditionalFormatting>
  <conditionalFormatting sqref="C1474">
    <cfRule type="cellIs" dxfId="1" priority="3198" operator="equal">
      <formula>0</formula>
    </cfRule>
  </conditionalFormatting>
  <conditionalFormatting sqref="C1475">
    <cfRule type="cellIs" dxfId="1" priority="3199" operator="equal">
      <formula>0</formula>
    </cfRule>
  </conditionalFormatting>
  <conditionalFormatting sqref="C1476">
    <cfRule type="cellIs" dxfId="1" priority="3200" operator="equal">
      <formula>0</formula>
    </cfRule>
  </conditionalFormatting>
  <conditionalFormatting sqref="C1477">
    <cfRule type="cellIs" dxfId="1" priority="3202" operator="equal">
      <formula>0</formula>
    </cfRule>
  </conditionalFormatting>
  <conditionalFormatting sqref="C1478">
    <cfRule type="cellIs" dxfId="1" priority="3203" operator="equal">
      <formula>0</formula>
    </cfRule>
  </conditionalFormatting>
  <conditionalFormatting sqref="C1479">
    <cfRule type="cellIs" dxfId="1" priority="3204" operator="equal">
      <formula>0</formula>
    </cfRule>
  </conditionalFormatting>
  <conditionalFormatting sqref="C148">
    <cfRule type="cellIs" dxfId="1" priority="383" operator="equal">
      <formula>0</formula>
    </cfRule>
  </conditionalFormatting>
  <conditionalFormatting sqref="C1480">
    <cfRule type="cellIs" dxfId="1" priority="3205" operator="equal">
      <formula>0</formula>
    </cfRule>
  </conditionalFormatting>
  <conditionalFormatting sqref="C1481">
    <cfRule type="cellIs" dxfId="1" priority="3206" operator="equal">
      <formula>0</formula>
    </cfRule>
  </conditionalFormatting>
  <conditionalFormatting sqref="C1482">
    <cfRule type="cellIs" dxfId="1" priority="3207" operator="equal">
      <formula>0</formula>
    </cfRule>
  </conditionalFormatting>
  <conditionalFormatting sqref="C1483">
    <cfRule type="cellIs" dxfId="1" priority="3208" operator="equal">
      <formula>0</formula>
    </cfRule>
  </conditionalFormatting>
  <conditionalFormatting sqref="C1491">
    <cfRule type="expression" dxfId="0" priority="3210">
      <formula>C1492=0</formula>
    </cfRule>
  </conditionalFormatting>
  <conditionalFormatting sqref="C1492">
    <cfRule type="cellIs" dxfId="1" priority="3217" operator="equal">
      <formula>0</formula>
    </cfRule>
  </conditionalFormatting>
  <conditionalFormatting sqref="C1493">
    <cfRule type="cellIs" dxfId="1" priority="3224" operator="equal">
      <formula>0</formula>
    </cfRule>
  </conditionalFormatting>
  <conditionalFormatting sqref="C1494">
    <cfRule type="cellIs" dxfId="1" priority="3228" operator="equal">
      <formula>0</formula>
    </cfRule>
  </conditionalFormatting>
  <conditionalFormatting sqref="C1495">
    <cfRule type="cellIs" dxfId="1" priority="3233" operator="equal">
      <formula>0</formula>
    </cfRule>
  </conditionalFormatting>
  <conditionalFormatting sqref="C1496">
    <cfRule type="cellIs" dxfId="1" priority="3238" operator="equal">
      <formula>0</formula>
    </cfRule>
  </conditionalFormatting>
  <conditionalFormatting sqref="C1497">
    <cfRule type="cellIs" dxfId="1" priority="3243" operator="equal">
      <formula>0</formula>
    </cfRule>
  </conditionalFormatting>
  <conditionalFormatting sqref="C1499">
    <cfRule type="expression" dxfId="0" priority="3247">
      <formula>C1500=0</formula>
    </cfRule>
  </conditionalFormatting>
  <conditionalFormatting sqref="C150">
    <cfRule type="cellIs" dxfId="1" priority="386" operator="equal">
      <formula>0</formula>
    </cfRule>
  </conditionalFormatting>
  <conditionalFormatting sqref="C1500">
    <cfRule type="cellIs" dxfId="1" priority="3251" operator="equal">
      <formula>0</formula>
    </cfRule>
  </conditionalFormatting>
  <conditionalFormatting sqref="C1501">
    <cfRule type="cellIs" dxfId="1" priority="3255" operator="equal">
      <formula>0</formula>
    </cfRule>
  </conditionalFormatting>
  <conditionalFormatting sqref="C1502">
    <cfRule type="cellIs" dxfId="1" priority="3257" operator="equal">
      <formula>0</formula>
    </cfRule>
  </conditionalFormatting>
  <conditionalFormatting sqref="C1503">
    <cfRule type="cellIs" dxfId="1" priority="3259" operator="equal">
      <formula>0</formula>
    </cfRule>
  </conditionalFormatting>
  <conditionalFormatting sqref="C1504">
    <cfRule type="cellIs" dxfId="1" priority="3260" operator="equal">
      <formula>0</formula>
    </cfRule>
  </conditionalFormatting>
  <conditionalFormatting sqref="C1505">
    <cfRule type="cellIs" dxfId="1" priority="3262" operator="equal">
      <formula>0</formula>
    </cfRule>
  </conditionalFormatting>
  <conditionalFormatting sqref="C1507">
    <cfRule type="expression" dxfId="0" priority="3263">
      <formula>C1508=0</formula>
    </cfRule>
  </conditionalFormatting>
  <conditionalFormatting sqref="C1508">
    <cfRule type="cellIs" dxfId="1" priority="3266" operator="equal">
      <formula>0</formula>
    </cfRule>
  </conditionalFormatting>
  <conditionalFormatting sqref="C1509">
    <cfRule type="cellIs" dxfId="1" priority="3269" operator="equal">
      <formula>0</formula>
    </cfRule>
  </conditionalFormatting>
  <conditionalFormatting sqref="C1510">
    <cfRule type="cellIs" dxfId="1" priority="3271" operator="equal">
      <formula>0</formula>
    </cfRule>
  </conditionalFormatting>
  <conditionalFormatting sqref="C1511">
    <cfRule type="cellIs" dxfId="1" priority="3273" operator="equal">
      <formula>0</formula>
    </cfRule>
  </conditionalFormatting>
  <conditionalFormatting sqref="C1512">
    <cfRule type="cellIs" dxfId="1" priority="3274" operator="equal">
      <formula>0</formula>
    </cfRule>
  </conditionalFormatting>
  <conditionalFormatting sqref="C1513">
    <cfRule type="cellIs" dxfId="1" priority="3275" operator="equal">
      <formula>0</formula>
    </cfRule>
  </conditionalFormatting>
  <conditionalFormatting sqref="C1521">
    <cfRule type="expression" dxfId="0" priority="3277">
      <formula>C1522=0</formula>
    </cfRule>
  </conditionalFormatting>
  <conditionalFormatting sqref="C1522">
    <cfRule type="cellIs" dxfId="1" priority="3283" operator="equal">
      <formula>0</formula>
    </cfRule>
  </conditionalFormatting>
  <conditionalFormatting sqref="C1523">
    <cfRule type="cellIs" dxfId="1" priority="3289" operator="equal">
      <formula>0</formula>
    </cfRule>
  </conditionalFormatting>
  <conditionalFormatting sqref="C1524">
    <cfRule type="cellIs" dxfId="1" priority="3293" operator="equal">
      <formula>0</formula>
    </cfRule>
  </conditionalFormatting>
  <conditionalFormatting sqref="C1525">
    <cfRule type="cellIs" dxfId="1" priority="3298" operator="equal">
      <formula>0</formula>
    </cfRule>
  </conditionalFormatting>
  <conditionalFormatting sqref="C1526">
    <cfRule type="cellIs" dxfId="1" priority="3302" operator="equal">
      <formula>0</formula>
    </cfRule>
  </conditionalFormatting>
  <conditionalFormatting sqref="C1527">
    <cfRule type="cellIs" dxfId="1" priority="3306" operator="equal">
      <formula>0</formula>
    </cfRule>
  </conditionalFormatting>
  <conditionalFormatting sqref="C1528">
    <cfRule type="cellIs" dxfId="1" priority="3310" operator="equal">
      <formula>0</formula>
    </cfRule>
  </conditionalFormatting>
  <conditionalFormatting sqref="C1530">
    <cfRule type="expression" dxfId="0" priority="3315">
      <formula>C1531=0</formula>
    </cfRule>
  </conditionalFormatting>
  <conditionalFormatting sqref="C1531">
    <cfRule type="cellIs" dxfId="1" priority="3317" operator="equal">
      <formula>0</formula>
    </cfRule>
  </conditionalFormatting>
  <conditionalFormatting sqref="C1532">
    <cfRule type="cellIs" dxfId="1" priority="3319" operator="equal">
      <formula>0</formula>
    </cfRule>
  </conditionalFormatting>
  <conditionalFormatting sqref="C1533">
    <cfRule type="cellIs" dxfId="1" priority="3321" operator="equal">
      <formula>0</formula>
    </cfRule>
  </conditionalFormatting>
  <conditionalFormatting sqref="C1534">
    <cfRule type="cellIs" dxfId="1" priority="3322" operator="equal">
      <formula>0</formula>
    </cfRule>
  </conditionalFormatting>
  <conditionalFormatting sqref="C1535">
    <cfRule type="cellIs" dxfId="1" priority="3324" operator="equal">
      <formula>0</formula>
    </cfRule>
  </conditionalFormatting>
  <conditionalFormatting sqref="C1536">
    <cfRule type="cellIs" dxfId="1" priority="3325" operator="equal">
      <formula>0</formula>
    </cfRule>
  </conditionalFormatting>
  <conditionalFormatting sqref="C1537">
    <cfRule type="cellIs" dxfId="1" priority="3327" operator="equal">
      <formula>0</formula>
    </cfRule>
  </conditionalFormatting>
  <conditionalFormatting sqref="C1539">
    <cfRule type="expression" dxfId="0" priority="3329">
      <formula>C1540=0</formula>
    </cfRule>
  </conditionalFormatting>
  <conditionalFormatting sqref="C154">
    <cfRule type="cellIs" dxfId="1" priority="392" operator="equal">
      <formula>0</formula>
    </cfRule>
  </conditionalFormatting>
  <conditionalFormatting sqref="C1540">
    <cfRule type="cellIs" dxfId="1" priority="3330" operator="equal">
      <formula>0</formula>
    </cfRule>
  </conditionalFormatting>
  <conditionalFormatting sqref="C1541">
    <cfRule type="cellIs" dxfId="1" priority="3331" operator="equal">
      <formula>0</formula>
    </cfRule>
  </conditionalFormatting>
  <conditionalFormatting sqref="C1542">
    <cfRule type="cellIs" dxfId="1" priority="3332" operator="equal">
      <formula>0</formula>
    </cfRule>
  </conditionalFormatting>
  <conditionalFormatting sqref="C1543">
    <cfRule type="cellIs" dxfId="1" priority="3333" operator="equal">
      <formula>0</formula>
    </cfRule>
  </conditionalFormatting>
  <conditionalFormatting sqref="C1544">
    <cfRule type="cellIs" dxfId="1" priority="3334" operator="equal">
      <formula>0</formula>
    </cfRule>
  </conditionalFormatting>
  <conditionalFormatting sqref="C1545">
    <cfRule type="cellIs" dxfId="1" priority="3335" operator="equal">
      <formula>0</formula>
    </cfRule>
  </conditionalFormatting>
  <conditionalFormatting sqref="C1546">
    <cfRule type="cellIs" dxfId="1" priority="3336" operator="equal">
      <formula>0</formula>
    </cfRule>
  </conditionalFormatting>
  <conditionalFormatting sqref="C155">
    <cfRule type="cellIs" dxfId="1" priority="394" operator="equal">
      <formula>0</formula>
    </cfRule>
  </conditionalFormatting>
  <conditionalFormatting sqref="C1554">
    <cfRule type="expression" dxfId="0" priority="3337">
      <formula>C1555=0</formula>
    </cfRule>
  </conditionalFormatting>
  <conditionalFormatting sqref="C1555">
    <cfRule type="cellIs" dxfId="1" priority="3348" operator="equal">
      <formula>0</formula>
    </cfRule>
  </conditionalFormatting>
  <conditionalFormatting sqref="C1557">
    <cfRule type="cellIs" dxfId="1" priority="3362" operator="equal">
      <formula>0</formula>
    </cfRule>
  </conditionalFormatting>
  <conditionalFormatting sqref="C1558">
    <cfRule type="cellIs" dxfId="1" priority="3366" operator="equal">
      <formula>0</formula>
    </cfRule>
  </conditionalFormatting>
  <conditionalFormatting sqref="C1559">
    <cfRule type="cellIs" dxfId="1" priority="3370" operator="equal">
      <formula>0</formula>
    </cfRule>
  </conditionalFormatting>
  <conditionalFormatting sqref="C1560">
    <cfRule type="cellIs" dxfId="1" priority="3374" operator="equal">
      <formula>0</formula>
    </cfRule>
  </conditionalFormatting>
  <conditionalFormatting sqref="C1561">
    <cfRule type="cellIs" dxfId="1" priority="3379" operator="equal">
      <formula>0</formula>
    </cfRule>
  </conditionalFormatting>
  <conditionalFormatting sqref="C1562">
    <cfRule type="cellIs" dxfId="1" priority="3383" operator="equal">
      <formula>0</formula>
    </cfRule>
  </conditionalFormatting>
  <conditionalFormatting sqref="C1563">
    <cfRule type="cellIs" dxfId="1" priority="3388" operator="equal">
      <formula>0</formula>
    </cfRule>
  </conditionalFormatting>
  <conditionalFormatting sqref="C1564">
    <cfRule type="cellIs" dxfId="1" priority="3392" operator="equal">
      <formula>0</formula>
    </cfRule>
  </conditionalFormatting>
  <conditionalFormatting sqref="C1565">
    <cfRule type="cellIs" dxfId="1" priority="3396" operator="equal">
      <formula>0</formula>
    </cfRule>
  </conditionalFormatting>
  <conditionalFormatting sqref="C1566">
    <cfRule type="cellIs" dxfId="1" priority="3400" operator="equal">
      <formula>0</formula>
    </cfRule>
  </conditionalFormatting>
  <conditionalFormatting sqref="C1567">
    <cfRule type="cellIs" dxfId="1" priority="3404" operator="equal">
      <formula>0</formula>
    </cfRule>
  </conditionalFormatting>
  <conditionalFormatting sqref="C1568">
    <cfRule type="cellIs" dxfId="1" priority="3409" operator="equal">
      <formula>0</formula>
    </cfRule>
  </conditionalFormatting>
  <conditionalFormatting sqref="C1569">
    <cfRule type="cellIs" dxfId="1" priority="3414" operator="equal">
      <formula>0</formula>
    </cfRule>
  </conditionalFormatting>
  <conditionalFormatting sqref="C1570">
    <cfRule type="cellIs" dxfId="1" priority="3418" operator="equal">
      <formula>0</formula>
    </cfRule>
  </conditionalFormatting>
  <conditionalFormatting sqref="C1571">
    <cfRule type="cellIs" dxfId="1" priority="3423" operator="equal">
      <formula>0</formula>
    </cfRule>
  </conditionalFormatting>
  <conditionalFormatting sqref="C1573">
    <cfRule type="expression" dxfId="0" priority="3428">
      <formula>C1574=0</formula>
    </cfRule>
  </conditionalFormatting>
  <conditionalFormatting sqref="C1574">
    <cfRule type="cellIs" dxfId="1" priority="3435" operator="equal">
      <formula>0</formula>
    </cfRule>
  </conditionalFormatting>
  <conditionalFormatting sqref="C1575">
    <cfRule type="cellIs" dxfId="1" priority="3442" operator="equal">
      <formula>0</formula>
    </cfRule>
  </conditionalFormatting>
  <conditionalFormatting sqref="C1589">
    <cfRule type="cellIs" dxfId="1" priority="3468" operator="equal">
      <formula>0</formula>
    </cfRule>
  </conditionalFormatting>
  <conditionalFormatting sqref="C159">
    <cfRule type="cellIs" dxfId="1" priority="399" operator="equal">
      <formula>0</formula>
    </cfRule>
  </conditionalFormatting>
  <conditionalFormatting sqref="C1592">
    <cfRule type="expression" dxfId="0" priority="3472">
      <formula>C1593=0</formula>
    </cfRule>
  </conditionalFormatting>
  <conditionalFormatting sqref="C1593">
    <cfRule type="cellIs" dxfId="1" priority="3475" operator="equal">
      <formula>0</formula>
    </cfRule>
  </conditionalFormatting>
  <conditionalFormatting sqref="C1594">
    <cfRule type="cellIs" dxfId="1" priority="3478" operator="equal">
      <formula>0</formula>
    </cfRule>
  </conditionalFormatting>
  <conditionalFormatting sqref="C1595">
    <cfRule type="cellIs" dxfId="1" priority="3479" operator="equal">
      <formula>0</formula>
    </cfRule>
  </conditionalFormatting>
  <conditionalFormatting sqref="C1596">
    <cfRule type="cellIs" dxfId="1" priority="3481" operator="equal">
      <formula>0</formula>
    </cfRule>
  </conditionalFormatting>
  <conditionalFormatting sqref="C1597">
    <cfRule type="cellIs" dxfId="1" priority="3483" operator="equal">
      <formula>0</formula>
    </cfRule>
  </conditionalFormatting>
  <conditionalFormatting sqref="C1600">
    <cfRule type="cellIs" dxfId="1" priority="3487" operator="equal">
      <formula>0</formula>
    </cfRule>
  </conditionalFormatting>
  <conditionalFormatting sqref="C1601">
    <cfRule type="cellIs" dxfId="1" priority="3488" operator="equal">
      <formula>0</formula>
    </cfRule>
  </conditionalFormatting>
  <conditionalFormatting sqref="C1602">
    <cfRule type="cellIs" dxfId="1" priority="3490" operator="equal">
      <formula>0</formula>
    </cfRule>
  </conditionalFormatting>
  <conditionalFormatting sqref="C1603">
    <cfRule type="cellIs" dxfId="1" priority="3492" operator="equal">
      <formula>0</formula>
    </cfRule>
  </conditionalFormatting>
  <conditionalFormatting sqref="C1605">
    <cfRule type="cellIs" dxfId="1" priority="3495" operator="equal">
      <formula>0</formula>
    </cfRule>
  </conditionalFormatting>
  <conditionalFormatting sqref="C1606">
    <cfRule type="cellIs" dxfId="1" priority="3497" operator="equal">
      <formula>0</formula>
    </cfRule>
  </conditionalFormatting>
  <conditionalFormatting sqref="C1607">
    <cfRule type="cellIs" dxfId="1" priority="3498" operator="equal">
      <formula>0</formula>
    </cfRule>
  </conditionalFormatting>
  <conditionalFormatting sqref="C1608">
    <cfRule type="cellIs" dxfId="1" priority="3500" operator="equal">
      <formula>0</formula>
    </cfRule>
  </conditionalFormatting>
  <conditionalFormatting sqref="C1609">
    <cfRule type="cellIs" dxfId="1" priority="3501" operator="equal">
      <formula>0</formula>
    </cfRule>
  </conditionalFormatting>
  <conditionalFormatting sqref="C161">
    <cfRule type="cellIs" dxfId="1" priority="403" operator="equal">
      <formula>0</formula>
    </cfRule>
  </conditionalFormatting>
  <conditionalFormatting sqref="C1617">
    <cfRule type="expression" dxfId="0" priority="3503">
      <formula>C1618=0</formula>
    </cfRule>
  </conditionalFormatting>
  <conditionalFormatting sqref="C1618">
    <cfRule type="cellIs" dxfId="1" priority="3507" operator="equal">
      <formula>0</formula>
    </cfRule>
  </conditionalFormatting>
  <conditionalFormatting sqref="C1619">
    <cfRule type="cellIs" dxfId="1" priority="3511" operator="equal">
      <formula>0</formula>
    </cfRule>
  </conditionalFormatting>
  <conditionalFormatting sqref="C1620">
    <cfRule type="cellIs" dxfId="1" priority="3515" operator="equal">
      <formula>0</formula>
    </cfRule>
  </conditionalFormatting>
  <conditionalFormatting sqref="C1621">
    <cfRule type="cellIs" dxfId="1" priority="3519" operator="equal">
      <formula>0</formula>
    </cfRule>
  </conditionalFormatting>
  <conditionalFormatting sqref="C1622">
    <cfRule type="cellIs" dxfId="1" priority="3523" operator="equal">
      <formula>0</formula>
    </cfRule>
  </conditionalFormatting>
  <conditionalFormatting sqref="C1624">
    <cfRule type="expression" dxfId="0" priority="3527">
      <formula>C1625=0</formula>
    </cfRule>
  </conditionalFormatting>
  <conditionalFormatting sqref="C1625">
    <cfRule type="cellIs" dxfId="1" priority="3529" operator="equal">
      <formula>0</formula>
    </cfRule>
  </conditionalFormatting>
  <conditionalFormatting sqref="C1626">
    <cfRule type="cellIs" dxfId="1" priority="3531" operator="equal">
      <formula>0</formula>
    </cfRule>
  </conditionalFormatting>
  <conditionalFormatting sqref="C1627">
    <cfRule type="cellIs" dxfId="1" priority="3533" operator="equal">
      <formula>0</formula>
    </cfRule>
  </conditionalFormatting>
  <conditionalFormatting sqref="C1628">
    <cfRule type="cellIs" dxfId="1" priority="3535" operator="equal">
      <formula>0</formula>
    </cfRule>
  </conditionalFormatting>
  <conditionalFormatting sqref="C1629">
    <cfRule type="cellIs" dxfId="1" priority="3537" operator="equal">
      <formula>0</formula>
    </cfRule>
  </conditionalFormatting>
  <conditionalFormatting sqref="C163">
    <cfRule type="cellIs" dxfId="1" priority="406" operator="equal">
      <formula>0</formula>
    </cfRule>
  </conditionalFormatting>
  <conditionalFormatting sqref="C1631">
    <cfRule type="expression" dxfId="0" priority="3539">
      <formula>C1632=0</formula>
    </cfRule>
  </conditionalFormatting>
  <conditionalFormatting sqref="C1632">
    <cfRule type="cellIs" dxfId="1" priority="3540" operator="equal">
      <formula>0</formula>
    </cfRule>
  </conditionalFormatting>
  <conditionalFormatting sqref="C1633">
    <cfRule type="cellIs" dxfId="1" priority="3541" operator="equal">
      <formula>0</formula>
    </cfRule>
  </conditionalFormatting>
  <conditionalFormatting sqref="C1634">
    <cfRule type="cellIs" dxfId="1" priority="3542" operator="equal">
      <formula>0</formula>
    </cfRule>
  </conditionalFormatting>
  <conditionalFormatting sqref="C1635">
    <cfRule type="cellIs" dxfId="1" priority="3543" operator="equal">
      <formula>0</formula>
    </cfRule>
  </conditionalFormatting>
  <conditionalFormatting sqref="C1636">
    <cfRule type="cellIs" dxfId="1" priority="3544" operator="equal">
      <formula>0</formula>
    </cfRule>
  </conditionalFormatting>
  <conditionalFormatting sqref="C1644">
    <cfRule type="expression" dxfId="0" priority="3545">
      <formula>C1645=0</formula>
    </cfRule>
  </conditionalFormatting>
  <conditionalFormatting sqref="C1645">
    <cfRule type="cellIs" dxfId="1" priority="3554" operator="equal">
      <formula>0</formula>
    </cfRule>
  </conditionalFormatting>
  <conditionalFormatting sqref="C1646">
    <cfRule type="cellIs" dxfId="1" priority="3563" operator="equal">
      <formula>0</formula>
    </cfRule>
  </conditionalFormatting>
  <conditionalFormatting sqref="C1647">
    <cfRule type="cellIs" dxfId="1" priority="3567" operator="equal">
      <formula>0</formula>
    </cfRule>
  </conditionalFormatting>
  <conditionalFormatting sqref="C1648">
    <cfRule type="cellIs" dxfId="1" priority="3570" operator="equal">
      <formula>0</formula>
    </cfRule>
  </conditionalFormatting>
  <conditionalFormatting sqref="C1649">
    <cfRule type="cellIs" dxfId="1" priority="3576" operator="equal">
      <formula>0</formula>
    </cfRule>
  </conditionalFormatting>
  <conditionalFormatting sqref="C1650">
    <cfRule type="cellIs" dxfId="1" priority="3581" operator="equal">
      <formula>0</formula>
    </cfRule>
  </conditionalFormatting>
  <conditionalFormatting sqref="C1651">
    <cfRule type="cellIs" dxfId="1" priority="3585" operator="equal">
      <formula>0</formula>
    </cfRule>
  </conditionalFormatting>
  <conditionalFormatting sqref="C1653">
    <cfRule type="expression" dxfId="0" priority="3589">
      <formula>C1654=0</formula>
    </cfRule>
  </conditionalFormatting>
  <conditionalFormatting sqref="C1654">
    <cfRule type="cellIs" dxfId="1" priority="3596" operator="equal">
      <formula>0</formula>
    </cfRule>
  </conditionalFormatting>
  <conditionalFormatting sqref="C1655">
    <cfRule type="cellIs" dxfId="1" priority="3603" operator="equal">
      <formula>0</formula>
    </cfRule>
  </conditionalFormatting>
  <conditionalFormatting sqref="C1658">
    <cfRule type="cellIs" dxfId="1" priority="3608" operator="equal">
      <formula>0</formula>
    </cfRule>
  </conditionalFormatting>
  <conditionalFormatting sqref="C166">
    <cfRule type="cellIs" dxfId="1" priority="410" operator="equal">
      <formula>0</formula>
    </cfRule>
  </conditionalFormatting>
  <conditionalFormatting sqref="C1662">
    <cfRule type="expression" dxfId="0" priority="3614">
      <formula>C1663=0</formula>
    </cfRule>
  </conditionalFormatting>
  <conditionalFormatting sqref="C1663">
    <cfRule type="cellIs" dxfId="1" priority="3617" operator="equal">
      <formula>0</formula>
    </cfRule>
  </conditionalFormatting>
  <conditionalFormatting sqref="C1664">
    <cfRule type="cellIs" dxfId="1" priority="3620" operator="equal">
      <formula>0</formula>
    </cfRule>
  </conditionalFormatting>
  <conditionalFormatting sqref="C1666">
    <cfRule type="cellIs" dxfId="1" priority="3622" operator="equal">
      <formula>0</formula>
    </cfRule>
  </conditionalFormatting>
  <conditionalFormatting sqref="C1667">
    <cfRule type="cellIs" dxfId="1" priority="3624" operator="equal">
      <formula>0</formula>
    </cfRule>
  </conditionalFormatting>
  <conditionalFormatting sqref="C1669">
    <cfRule type="cellIs" dxfId="1" priority="3626" operator="equal">
      <formula>0</formula>
    </cfRule>
  </conditionalFormatting>
  <conditionalFormatting sqref="C167">
    <cfRule type="cellIs" dxfId="1" priority="412" operator="equal">
      <formula>0</formula>
    </cfRule>
  </conditionalFormatting>
  <conditionalFormatting sqref="C1677">
    <cfRule type="expression" dxfId="0" priority="3627">
      <formula>C1678=0</formula>
    </cfRule>
  </conditionalFormatting>
  <conditionalFormatting sqref="C1678">
    <cfRule type="cellIs" dxfId="1" priority="3633" operator="equal">
      <formula>0</formula>
    </cfRule>
  </conditionalFormatting>
  <conditionalFormatting sqref="C1679">
    <cfRule type="cellIs" dxfId="1" priority="3639" operator="equal">
      <formula>0</formula>
    </cfRule>
  </conditionalFormatting>
  <conditionalFormatting sqref="C1680">
    <cfRule type="cellIs" dxfId="1" priority="3643" operator="equal">
      <formula>0</formula>
    </cfRule>
  </conditionalFormatting>
  <conditionalFormatting sqref="C1681">
    <cfRule type="cellIs" dxfId="1" priority="3646" operator="equal">
      <formula>0</formula>
    </cfRule>
  </conditionalFormatting>
  <conditionalFormatting sqref="C1682">
    <cfRule type="cellIs" dxfId="1" priority="3650" operator="equal">
      <formula>0</formula>
    </cfRule>
  </conditionalFormatting>
  <conditionalFormatting sqref="C1683">
    <cfRule type="cellIs" dxfId="1" priority="3655" operator="equal">
      <formula>0</formula>
    </cfRule>
  </conditionalFormatting>
  <conditionalFormatting sqref="C1684">
    <cfRule type="cellIs" dxfId="1" priority="3659" operator="equal">
      <formula>0</formula>
    </cfRule>
  </conditionalFormatting>
  <conditionalFormatting sqref="C1686">
    <cfRule type="expression" dxfId="0" priority="3663">
      <formula>C1687=0</formula>
    </cfRule>
  </conditionalFormatting>
  <conditionalFormatting sqref="C1687">
    <cfRule type="cellIs" dxfId="1" priority="3665" operator="equal">
      <formula>0</formula>
    </cfRule>
  </conditionalFormatting>
  <conditionalFormatting sqref="C1688">
    <cfRule type="cellIs" dxfId="1" priority="3667" operator="equal">
      <formula>0</formula>
    </cfRule>
  </conditionalFormatting>
  <conditionalFormatting sqref="C1689">
    <cfRule type="cellIs" dxfId="1" priority="3669" operator="equal">
      <formula>0</formula>
    </cfRule>
  </conditionalFormatting>
  <conditionalFormatting sqref="C1690">
    <cfRule type="cellIs" dxfId="1" priority="3671" operator="equal">
      <formula>0</formula>
    </cfRule>
  </conditionalFormatting>
  <conditionalFormatting sqref="C1691">
    <cfRule type="cellIs" dxfId="1" priority="3672" operator="equal">
      <formula>0</formula>
    </cfRule>
  </conditionalFormatting>
  <conditionalFormatting sqref="C1692">
    <cfRule type="cellIs" dxfId="1" priority="3673" operator="equal">
      <formula>0</formula>
    </cfRule>
  </conditionalFormatting>
  <conditionalFormatting sqref="C1693">
    <cfRule type="cellIs" dxfId="1" priority="3675" operator="equal">
      <formula>0</formula>
    </cfRule>
  </conditionalFormatting>
  <conditionalFormatting sqref="C1695">
    <cfRule type="expression" dxfId="0" priority="3677">
      <formula>C1696=0</formula>
    </cfRule>
  </conditionalFormatting>
  <conditionalFormatting sqref="C1696">
    <cfRule type="cellIs" dxfId="1" priority="3678" operator="equal">
      <formula>0</formula>
    </cfRule>
  </conditionalFormatting>
  <conditionalFormatting sqref="C1697">
    <cfRule type="cellIs" dxfId="1" priority="3679" operator="equal">
      <formula>0</formula>
    </cfRule>
  </conditionalFormatting>
  <conditionalFormatting sqref="C1698">
    <cfRule type="cellIs" dxfId="1" priority="3680" operator="equal">
      <formula>0</formula>
    </cfRule>
  </conditionalFormatting>
  <conditionalFormatting sqref="C1699">
    <cfRule type="cellIs" dxfId="1" priority="3681" operator="equal">
      <formula>0</formula>
    </cfRule>
  </conditionalFormatting>
  <conditionalFormatting sqref="C1700">
    <cfRule type="cellIs" dxfId="1" priority="3682" operator="equal">
      <formula>0</formula>
    </cfRule>
  </conditionalFormatting>
  <conditionalFormatting sqref="C1701">
    <cfRule type="cellIs" dxfId="1" priority="3683" operator="equal">
      <formula>0</formula>
    </cfRule>
  </conditionalFormatting>
  <conditionalFormatting sqref="C1702">
    <cfRule type="cellIs" dxfId="1" priority="3684" operator="equal">
      <formula>0</formula>
    </cfRule>
  </conditionalFormatting>
  <conditionalFormatting sqref="C171">
    <cfRule type="expression" dxfId="0" priority="417">
      <formula>C172=0</formula>
    </cfRule>
  </conditionalFormatting>
  <conditionalFormatting sqref="C1710">
    <cfRule type="expression" dxfId="0" priority="3685">
      <formula>C1711=0</formula>
    </cfRule>
  </conditionalFormatting>
  <conditionalFormatting sqref="C1711">
    <cfRule type="cellIs" dxfId="1" priority="3690" operator="equal">
      <formula>0</formula>
    </cfRule>
  </conditionalFormatting>
  <conditionalFormatting sqref="C1712">
    <cfRule type="cellIs" dxfId="1" priority="3695" operator="equal">
      <formula>0</formula>
    </cfRule>
  </conditionalFormatting>
  <conditionalFormatting sqref="C1713">
    <cfRule type="cellIs" dxfId="1" priority="3700" operator="equal">
      <formula>0</formula>
    </cfRule>
  </conditionalFormatting>
  <conditionalFormatting sqref="C1715">
    <cfRule type="expression" dxfId="0" priority="3704">
      <formula>C1716=0</formula>
    </cfRule>
  </conditionalFormatting>
  <conditionalFormatting sqref="C1716">
    <cfRule type="cellIs" dxfId="1" priority="3706" operator="equal">
      <formula>0</formula>
    </cfRule>
  </conditionalFormatting>
  <conditionalFormatting sqref="C1717">
    <cfRule type="cellIs" dxfId="1" priority="3708" operator="equal">
      <formula>0</formula>
    </cfRule>
  </conditionalFormatting>
  <conditionalFormatting sqref="C1718">
    <cfRule type="cellIs" dxfId="1" priority="3710" operator="equal">
      <formula>0</formula>
    </cfRule>
  </conditionalFormatting>
  <conditionalFormatting sqref="C172">
    <cfRule type="cellIs" dxfId="1" priority="421" operator="equal">
      <formula>0</formula>
    </cfRule>
  </conditionalFormatting>
  <conditionalFormatting sqref="C1720">
    <cfRule type="expression" dxfId="0" priority="3712">
      <formula>C1721=0</formula>
    </cfRule>
  </conditionalFormatting>
  <conditionalFormatting sqref="C1721">
    <cfRule type="cellIs" dxfId="1" priority="3713" operator="equal">
      <formula>0</formula>
    </cfRule>
  </conditionalFormatting>
  <conditionalFormatting sqref="C1722">
    <cfRule type="cellIs" dxfId="1" priority="3714" operator="equal">
      <formula>0</formula>
    </cfRule>
  </conditionalFormatting>
  <conditionalFormatting sqref="C1723">
    <cfRule type="cellIs" dxfId="1" priority="3715" operator="equal">
      <formula>0</formula>
    </cfRule>
  </conditionalFormatting>
  <conditionalFormatting sqref="C173">
    <cfRule type="cellIs" dxfId="1" priority="425" operator="equal">
      <formula>0</formula>
    </cfRule>
  </conditionalFormatting>
  <conditionalFormatting sqref="C1731">
    <cfRule type="expression" dxfId="0" priority="3716">
      <formula>C1732=0</formula>
    </cfRule>
  </conditionalFormatting>
  <conditionalFormatting sqref="C1732">
    <cfRule type="cellIs" dxfId="1" priority="3721" operator="equal">
      <formula>0</formula>
    </cfRule>
  </conditionalFormatting>
  <conditionalFormatting sqref="C1733">
    <cfRule type="cellIs" dxfId="1" priority="3726" operator="equal">
      <formula>0</formula>
    </cfRule>
  </conditionalFormatting>
  <conditionalFormatting sqref="C1734">
    <cfRule type="cellIs" dxfId="1" priority="3731" operator="equal">
      <formula>0</formula>
    </cfRule>
  </conditionalFormatting>
  <conditionalFormatting sqref="C1736">
    <cfRule type="expression" dxfId="0" priority="3736">
      <formula>C1737=0</formula>
    </cfRule>
  </conditionalFormatting>
  <conditionalFormatting sqref="C1737">
    <cfRule type="cellIs" dxfId="1" priority="3737" operator="equal">
      <formula>0</formula>
    </cfRule>
  </conditionalFormatting>
  <conditionalFormatting sqref="C1738">
    <cfRule type="cellIs" dxfId="1" priority="3738" operator="equal">
      <formula>0</formula>
    </cfRule>
  </conditionalFormatting>
  <conditionalFormatting sqref="C1739">
    <cfRule type="cellIs" dxfId="1" priority="3739" operator="equal">
      <formula>0</formula>
    </cfRule>
  </conditionalFormatting>
  <conditionalFormatting sqref="C174">
    <cfRule type="cellIs" dxfId="1" priority="426" operator="equal">
      <formula>0</formula>
    </cfRule>
  </conditionalFormatting>
  <conditionalFormatting sqref="C1741">
    <cfRule type="expression" dxfId="0" priority="3740">
      <formula>C1742=0</formula>
    </cfRule>
  </conditionalFormatting>
  <conditionalFormatting sqref="C1742">
    <cfRule type="cellIs" dxfId="1" priority="3741" operator="equal">
      <formula>0</formula>
    </cfRule>
  </conditionalFormatting>
  <conditionalFormatting sqref="C1743">
    <cfRule type="cellIs" dxfId="1" priority="3742" operator="equal">
      <formula>0</formula>
    </cfRule>
  </conditionalFormatting>
  <conditionalFormatting sqref="C1744">
    <cfRule type="cellIs" dxfId="1" priority="3743" operator="equal">
      <formula>0</formula>
    </cfRule>
  </conditionalFormatting>
  <conditionalFormatting sqref="C175">
    <cfRule type="cellIs" dxfId="1" priority="428" operator="equal">
      <formula>0</formula>
    </cfRule>
  </conditionalFormatting>
  <conditionalFormatting sqref="C1752">
    <cfRule type="expression" dxfId="0" priority="3744">
      <formula>C1753=0</formula>
    </cfRule>
  </conditionalFormatting>
  <conditionalFormatting sqref="C1753">
    <cfRule type="cellIs" dxfId="1" priority="3750" operator="equal">
      <formula>0</formula>
    </cfRule>
  </conditionalFormatting>
  <conditionalFormatting sqref="C1754">
    <cfRule type="cellIs" dxfId="1" priority="3756" operator="equal">
      <formula>0</formula>
    </cfRule>
  </conditionalFormatting>
  <conditionalFormatting sqref="C1755">
    <cfRule type="cellIs" dxfId="1" priority="3761" operator="equal">
      <formula>0</formula>
    </cfRule>
  </conditionalFormatting>
  <conditionalFormatting sqref="C1756">
    <cfRule type="cellIs" dxfId="1" priority="3766" operator="equal">
      <formula>0</formula>
    </cfRule>
  </conditionalFormatting>
  <conditionalFormatting sqref="C1757">
    <cfRule type="cellIs" dxfId="1" priority="3770" operator="equal">
      <formula>0</formula>
    </cfRule>
  </conditionalFormatting>
  <conditionalFormatting sqref="C1758">
    <cfRule type="cellIs" dxfId="1" priority="3774" operator="equal">
      <formula>0</formula>
    </cfRule>
  </conditionalFormatting>
  <conditionalFormatting sqref="C176">
    <cfRule type="cellIs" dxfId="1" priority="429" operator="equal">
      <formula>0</formula>
    </cfRule>
  </conditionalFormatting>
  <conditionalFormatting sqref="C1760">
    <cfRule type="expression" dxfId="0" priority="3778">
      <formula>C1761=0</formula>
    </cfRule>
  </conditionalFormatting>
  <conditionalFormatting sqref="C1761">
    <cfRule type="cellIs" dxfId="1" priority="3780" operator="equal">
      <formula>0</formula>
    </cfRule>
  </conditionalFormatting>
  <conditionalFormatting sqref="C1762">
    <cfRule type="cellIs" dxfId="1" priority="3782" operator="equal">
      <formula>0</formula>
    </cfRule>
  </conditionalFormatting>
  <conditionalFormatting sqref="C1763">
    <cfRule type="cellIs" dxfId="1" priority="3784" operator="equal">
      <formula>0</formula>
    </cfRule>
  </conditionalFormatting>
  <conditionalFormatting sqref="C1764">
    <cfRule type="cellIs" dxfId="1" priority="3785" operator="equal">
      <formula>0</formula>
    </cfRule>
  </conditionalFormatting>
  <conditionalFormatting sqref="C1765">
    <cfRule type="cellIs" dxfId="1" priority="3786" operator="equal">
      <formula>0</formula>
    </cfRule>
  </conditionalFormatting>
  <conditionalFormatting sqref="C1766">
    <cfRule type="cellIs" dxfId="1" priority="3788" operator="equal">
      <formula>0</formula>
    </cfRule>
  </conditionalFormatting>
  <conditionalFormatting sqref="C1768">
    <cfRule type="expression" dxfId="0" priority="3790">
      <formula>C1769=0</formula>
    </cfRule>
  </conditionalFormatting>
  <conditionalFormatting sqref="C1769">
    <cfRule type="cellIs" dxfId="1" priority="3791" operator="equal">
      <formula>0</formula>
    </cfRule>
  </conditionalFormatting>
  <conditionalFormatting sqref="C177">
    <cfRule type="cellIs" dxfId="1" priority="430" operator="equal">
      <formula>0</formula>
    </cfRule>
  </conditionalFormatting>
  <conditionalFormatting sqref="C1770">
    <cfRule type="cellIs" dxfId="1" priority="3792" operator="equal">
      <formula>0</formula>
    </cfRule>
  </conditionalFormatting>
  <conditionalFormatting sqref="C1771">
    <cfRule type="cellIs" dxfId="1" priority="3793" operator="equal">
      <formula>0</formula>
    </cfRule>
  </conditionalFormatting>
  <conditionalFormatting sqref="C1772">
    <cfRule type="cellIs" dxfId="1" priority="3794" operator="equal">
      <formula>0</formula>
    </cfRule>
  </conditionalFormatting>
  <conditionalFormatting sqref="C1773">
    <cfRule type="cellIs" dxfId="1" priority="3795" operator="equal">
      <formula>0</formula>
    </cfRule>
  </conditionalFormatting>
  <conditionalFormatting sqref="C1774">
    <cfRule type="cellIs" dxfId="1" priority="3796" operator="equal">
      <formula>0</formula>
    </cfRule>
  </conditionalFormatting>
  <conditionalFormatting sqref="C178">
    <cfRule type="cellIs" dxfId="1" priority="432" operator="equal">
      <formula>0</formula>
    </cfRule>
  </conditionalFormatting>
  <conditionalFormatting sqref="C1782">
    <cfRule type="expression" dxfId="0" priority="3797">
      <formula>C1783=0</formula>
    </cfRule>
  </conditionalFormatting>
  <conditionalFormatting sqref="C1783">
    <cfRule type="cellIs" dxfId="1" priority="3805" operator="equal">
      <formula>0</formula>
    </cfRule>
  </conditionalFormatting>
  <conditionalFormatting sqref="C1784">
    <cfRule type="cellIs" dxfId="1" priority="3813" operator="equal">
      <formula>0</formula>
    </cfRule>
  </conditionalFormatting>
  <conditionalFormatting sqref="C1785">
    <cfRule type="cellIs" dxfId="1" priority="3817" operator="equal">
      <formula>0</formula>
    </cfRule>
  </conditionalFormatting>
  <conditionalFormatting sqref="C1786">
    <cfRule type="cellIs" dxfId="1" priority="3822" operator="equal">
      <formula>0</formula>
    </cfRule>
  </conditionalFormatting>
  <conditionalFormatting sqref="C1787">
    <cfRule type="cellIs" dxfId="1" priority="3826" operator="equal">
      <formula>0</formula>
    </cfRule>
  </conditionalFormatting>
  <conditionalFormatting sqref="C1788">
    <cfRule type="cellIs" dxfId="1" priority="3830" operator="equal">
      <formula>0</formula>
    </cfRule>
  </conditionalFormatting>
  <conditionalFormatting sqref="C1789">
    <cfRule type="cellIs" dxfId="1" priority="3834" operator="equal">
      <formula>0</formula>
    </cfRule>
  </conditionalFormatting>
  <conditionalFormatting sqref="C179">
    <cfRule type="cellIs" dxfId="1" priority="433" operator="equal">
      <formula>0</formula>
    </cfRule>
  </conditionalFormatting>
  <conditionalFormatting sqref="C1790">
    <cfRule type="cellIs" dxfId="1" priority="3838" operator="equal">
      <formula>0</formula>
    </cfRule>
  </conditionalFormatting>
  <conditionalFormatting sqref="C1791">
    <cfRule type="cellIs" dxfId="1" priority="3842" operator="equal">
      <formula>0</formula>
    </cfRule>
  </conditionalFormatting>
  <conditionalFormatting sqref="C1792">
    <cfRule type="cellIs" dxfId="1" priority="3846" operator="equal">
      <formula>0</formula>
    </cfRule>
  </conditionalFormatting>
  <conditionalFormatting sqref="C1793">
    <cfRule type="cellIs" dxfId="1" priority="3851" operator="equal">
      <formula>0</formula>
    </cfRule>
  </conditionalFormatting>
  <conditionalFormatting sqref="C1794">
    <cfRule type="cellIs" dxfId="1" priority="3855" operator="equal">
      <formula>0</formula>
    </cfRule>
  </conditionalFormatting>
  <conditionalFormatting sqref="C1795">
    <cfRule type="cellIs" dxfId="1" priority="3859" operator="equal">
      <formula>0</formula>
    </cfRule>
  </conditionalFormatting>
  <conditionalFormatting sqref="C1796">
    <cfRule type="cellIs" dxfId="1" priority="3863" operator="equal">
      <formula>0</formula>
    </cfRule>
  </conditionalFormatting>
  <conditionalFormatting sqref="C1797">
    <cfRule type="cellIs" dxfId="1" priority="3868" operator="equal">
      <formula>0</formula>
    </cfRule>
  </conditionalFormatting>
  <conditionalFormatting sqref="C1798">
    <cfRule type="cellIs" dxfId="1" priority="3872" operator="equal">
      <formula>0</formula>
    </cfRule>
  </conditionalFormatting>
  <conditionalFormatting sqref="C1799">
    <cfRule type="cellIs" dxfId="1" priority="3876" operator="equal">
      <formula>0</formula>
    </cfRule>
  </conditionalFormatting>
  <conditionalFormatting sqref="C180">
    <cfRule type="cellIs" dxfId="1" priority="434" operator="equal">
      <formula>0</formula>
    </cfRule>
  </conditionalFormatting>
  <conditionalFormatting sqref="C1801">
    <cfRule type="expression" dxfId="0" priority="3880">
      <formula>C1802=0</formula>
    </cfRule>
  </conditionalFormatting>
  <conditionalFormatting sqref="C1802">
    <cfRule type="cellIs" dxfId="1" priority="3885" operator="equal">
      <formula>0</formula>
    </cfRule>
  </conditionalFormatting>
  <conditionalFormatting sqref="C1803">
    <cfRule type="cellIs" dxfId="1" priority="3890" operator="equal">
      <formula>0</formula>
    </cfRule>
  </conditionalFormatting>
  <conditionalFormatting sqref="C1806">
    <cfRule type="cellIs" dxfId="1" priority="3896" operator="equal">
      <formula>0</formula>
    </cfRule>
  </conditionalFormatting>
  <conditionalFormatting sqref="C1807">
    <cfRule type="cellIs" dxfId="1" priority="3898" operator="equal">
      <formula>0</formula>
    </cfRule>
  </conditionalFormatting>
  <conditionalFormatting sqref="C1808">
    <cfRule type="cellIs" dxfId="1" priority="3900" operator="equal">
      <formula>0</formula>
    </cfRule>
  </conditionalFormatting>
  <conditionalFormatting sqref="C1809">
    <cfRule type="cellIs" dxfId="1" priority="3902" operator="equal">
      <formula>0</formula>
    </cfRule>
  </conditionalFormatting>
  <conditionalFormatting sqref="C181">
    <cfRule type="cellIs" dxfId="1" priority="435" operator="equal">
      <formula>0</formula>
    </cfRule>
  </conditionalFormatting>
  <conditionalFormatting sqref="C1812">
    <cfRule type="cellIs" dxfId="1" priority="3907" operator="equal">
      <formula>0</formula>
    </cfRule>
  </conditionalFormatting>
  <conditionalFormatting sqref="C1813">
    <cfRule type="cellIs" dxfId="1" priority="3909" operator="equal">
      <formula>0</formula>
    </cfRule>
  </conditionalFormatting>
  <conditionalFormatting sqref="C1815">
    <cfRule type="cellIs" dxfId="1" priority="3913" operator="equal">
      <formula>0</formula>
    </cfRule>
  </conditionalFormatting>
  <conditionalFormatting sqref="C1816">
    <cfRule type="cellIs" dxfId="1" priority="3915" operator="equal">
      <formula>0</formula>
    </cfRule>
  </conditionalFormatting>
  <conditionalFormatting sqref="C1817">
    <cfRule type="cellIs" dxfId="1" priority="3917" operator="equal">
      <formula>0</formula>
    </cfRule>
  </conditionalFormatting>
  <conditionalFormatting sqref="C1818">
    <cfRule type="cellIs" dxfId="1" priority="3919" operator="equal">
      <formula>0</formula>
    </cfRule>
  </conditionalFormatting>
  <conditionalFormatting sqref="C182">
    <cfRule type="cellIs" dxfId="1" priority="436" operator="equal">
      <formula>0</formula>
    </cfRule>
  </conditionalFormatting>
  <conditionalFormatting sqref="C1820">
    <cfRule type="expression" dxfId="0" priority="3921">
      <formula>C1821=0</formula>
    </cfRule>
  </conditionalFormatting>
  <conditionalFormatting sqref="C1821">
    <cfRule type="cellIs" dxfId="1" priority="3924" operator="equal">
      <formula>0</formula>
    </cfRule>
  </conditionalFormatting>
  <conditionalFormatting sqref="C1822">
    <cfRule type="cellIs" dxfId="1" priority="3927" operator="equal">
      <formula>0</formula>
    </cfRule>
  </conditionalFormatting>
  <conditionalFormatting sqref="C1825">
    <cfRule type="cellIs" dxfId="1" priority="3932" operator="equal">
      <formula>0</formula>
    </cfRule>
  </conditionalFormatting>
  <conditionalFormatting sqref="C1826">
    <cfRule type="cellIs" dxfId="1" priority="3934" operator="equal">
      <formula>0</formula>
    </cfRule>
  </conditionalFormatting>
  <conditionalFormatting sqref="C1827">
    <cfRule type="cellIs" dxfId="1" priority="3936" operator="equal">
      <formula>0</formula>
    </cfRule>
  </conditionalFormatting>
  <conditionalFormatting sqref="C1828">
    <cfRule type="cellIs" dxfId="1" priority="3937" operator="equal">
      <formula>0</formula>
    </cfRule>
  </conditionalFormatting>
  <conditionalFormatting sqref="C183">
    <cfRule type="cellIs" dxfId="1" priority="437" operator="equal">
      <formula>0</formula>
    </cfRule>
  </conditionalFormatting>
  <conditionalFormatting sqref="C1831">
    <cfRule type="cellIs" dxfId="1" priority="3941" operator="equal">
      <formula>0</formula>
    </cfRule>
  </conditionalFormatting>
  <conditionalFormatting sqref="C1832">
    <cfRule type="cellIs" dxfId="1" priority="3943" operator="equal">
      <formula>0</formula>
    </cfRule>
  </conditionalFormatting>
  <conditionalFormatting sqref="C1834">
    <cfRule type="cellIs" dxfId="1" priority="3945" operator="equal">
      <formula>0</formula>
    </cfRule>
  </conditionalFormatting>
  <conditionalFormatting sqref="C1835">
    <cfRule type="cellIs" dxfId="1" priority="3947" operator="equal">
      <formula>0</formula>
    </cfRule>
  </conditionalFormatting>
  <conditionalFormatting sqref="C1836">
    <cfRule type="cellIs" dxfId="1" priority="3949" operator="equal">
      <formula>0</formula>
    </cfRule>
  </conditionalFormatting>
  <conditionalFormatting sqref="C184">
    <cfRule type="cellIs" dxfId="1" priority="438" operator="equal">
      <formula>0</formula>
    </cfRule>
  </conditionalFormatting>
  <conditionalFormatting sqref="C1845">
    <cfRule type="expression" dxfId="0" priority="3952">
      <formula>C1846=0</formula>
    </cfRule>
  </conditionalFormatting>
  <conditionalFormatting sqref="C1846">
    <cfRule type="cellIs" dxfId="1" priority="3958" operator="equal">
      <formula>0</formula>
    </cfRule>
  </conditionalFormatting>
  <conditionalFormatting sqref="C1847">
    <cfRule type="cellIs" dxfId="1" priority="3964" operator="equal">
      <formula>0</formula>
    </cfRule>
  </conditionalFormatting>
  <conditionalFormatting sqref="C1848">
    <cfRule type="cellIs" dxfId="1" priority="3968" operator="equal">
      <formula>0</formula>
    </cfRule>
  </conditionalFormatting>
  <conditionalFormatting sqref="C1849">
    <cfRule type="cellIs" dxfId="1" priority="3973" operator="equal">
      <formula>0</formula>
    </cfRule>
  </conditionalFormatting>
  <conditionalFormatting sqref="C185">
    <cfRule type="cellIs" dxfId="1" priority="439" operator="equal">
      <formula>0</formula>
    </cfRule>
  </conditionalFormatting>
  <conditionalFormatting sqref="C1850">
    <cfRule type="cellIs" dxfId="1" priority="3978" operator="equal">
      <formula>0</formula>
    </cfRule>
  </conditionalFormatting>
  <conditionalFormatting sqref="C1852">
    <cfRule type="expression" dxfId="0" priority="3982">
      <formula>C1853=0</formula>
    </cfRule>
  </conditionalFormatting>
  <conditionalFormatting sqref="C1853">
    <cfRule type="cellIs" dxfId="1" priority="3987" operator="equal">
      <formula>0</formula>
    </cfRule>
  </conditionalFormatting>
  <conditionalFormatting sqref="C1854">
    <cfRule type="cellIs" dxfId="1" priority="3992" operator="equal">
      <formula>0</formula>
    </cfRule>
  </conditionalFormatting>
  <conditionalFormatting sqref="C1855">
    <cfRule type="cellIs" dxfId="1" priority="3994" operator="equal">
      <formula>0</formula>
    </cfRule>
  </conditionalFormatting>
  <conditionalFormatting sqref="C1856">
    <cfRule type="cellIs" dxfId="1" priority="3996" operator="equal">
      <formula>0</formula>
    </cfRule>
  </conditionalFormatting>
  <conditionalFormatting sqref="C1859">
    <cfRule type="expression" dxfId="0" priority="4000">
      <formula>C1860=0</formula>
    </cfRule>
  </conditionalFormatting>
  <conditionalFormatting sqref="C186">
    <cfRule type="cellIs" dxfId="1" priority="440" operator="equal">
      <formula>0</formula>
    </cfRule>
  </conditionalFormatting>
  <conditionalFormatting sqref="C1860">
    <cfRule type="cellIs" dxfId="1" priority="4002" operator="equal">
      <formula>0</formula>
    </cfRule>
  </conditionalFormatting>
  <conditionalFormatting sqref="C1861">
    <cfRule type="cellIs" dxfId="1" priority="4004" operator="equal">
      <formula>0</formula>
    </cfRule>
  </conditionalFormatting>
  <conditionalFormatting sqref="C1862">
    <cfRule type="cellIs" dxfId="1" priority="4005" operator="equal">
      <formula>0</formula>
    </cfRule>
  </conditionalFormatting>
  <conditionalFormatting sqref="C1863">
    <cfRule type="cellIs" dxfId="1" priority="4006" operator="equal">
      <formula>0</formula>
    </cfRule>
  </conditionalFormatting>
  <conditionalFormatting sqref="C1864">
    <cfRule type="cellIs" dxfId="1" priority="4007" operator="equal">
      <formula>0</formula>
    </cfRule>
  </conditionalFormatting>
  <conditionalFormatting sqref="C187">
    <cfRule type="cellIs" dxfId="1" priority="441" operator="equal">
      <formula>0</formula>
    </cfRule>
  </conditionalFormatting>
  <conditionalFormatting sqref="C1872">
    <cfRule type="expression" dxfId="0" priority="4009">
      <formula>C1873=0</formula>
    </cfRule>
  </conditionalFormatting>
  <conditionalFormatting sqref="C1873">
    <cfRule type="cellIs" dxfId="1" priority="4013" operator="equal">
      <formula>0</formula>
    </cfRule>
  </conditionalFormatting>
  <conditionalFormatting sqref="C1874">
    <cfRule type="cellIs" dxfId="1" priority="4017" operator="equal">
      <formula>0</formula>
    </cfRule>
  </conditionalFormatting>
  <conditionalFormatting sqref="C1876">
    <cfRule type="expression" dxfId="0" priority="4021">
      <formula>C1877=0</formula>
    </cfRule>
  </conditionalFormatting>
  <conditionalFormatting sqref="C1877">
    <cfRule type="cellIs" dxfId="1" priority="4022" operator="equal">
      <formula>0</formula>
    </cfRule>
  </conditionalFormatting>
  <conditionalFormatting sqref="C1878">
    <cfRule type="cellIs" dxfId="1" priority="4023" operator="equal">
      <formula>0</formula>
    </cfRule>
  </conditionalFormatting>
  <conditionalFormatting sqref="C188">
    <cfRule type="cellIs" dxfId="1" priority="442" operator="equal">
      <formula>0</formula>
    </cfRule>
  </conditionalFormatting>
  <conditionalFormatting sqref="C1880">
    <cfRule type="expression" dxfId="0" priority="4024">
      <formula>C1881=0</formula>
    </cfRule>
  </conditionalFormatting>
  <conditionalFormatting sqref="C1881">
    <cfRule type="cellIs" dxfId="1" priority="4025" operator="equal">
      <formula>0</formula>
    </cfRule>
  </conditionalFormatting>
  <conditionalFormatting sqref="C1882">
    <cfRule type="cellIs" dxfId="1" priority="4026" operator="equal">
      <formula>0</formula>
    </cfRule>
  </conditionalFormatting>
  <conditionalFormatting sqref="C1890">
    <cfRule type="expression" dxfId="0" priority="4027">
      <formula>C1891=0</formula>
    </cfRule>
  </conditionalFormatting>
  <conditionalFormatting sqref="C1891">
    <cfRule type="cellIs" dxfId="1" priority="4034" operator="equal">
      <formula>0</formula>
    </cfRule>
  </conditionalFormatting>
  <conditionalFormatting sqref="C1892">
    <cfRule type="cellIs" dxfId="1" priority="4041" operator="equal">
      <formula>0</formula>
    </cfRule>
  </conditionalFormatting>
  <conditionalFormatting sqref="C1893">
    <cfRule type="cellIs" dxfId="1" priority="4045" operator="equal">
      <formula>0</formula>
    </cfRule>
  </conditionalFormatting>
  <conditionalFormatting sqref="C1894">
    <cfRule type="cellIs" dxfId="1" priority="4048" operator="equal">
      <formula>0</formula>
    </cfRule>
  </conditionalFormatting>
  <conditionalFormatting sqref="C1895">
    <cfRule type="cellIs" dxfId="1" priority="4052" operator="equal">
      <formula>0</formula>
    </cfRule>
  </conditionalFormatting>
  <conditionalFormatting sqref="C1896">
    <cfRule type="cellIs" dxfId="1" priority="4056" operator="equal">
      <formula>0</formula>
    </cfRule>
  </conditionalFormatting>
  <conditionalFormatting sqref="C1897">
    <cfRule type="cellIs" dxfId="1" priority="4060" operator="equal">
      <formula>0</formula>
    </cfRule>
  </conditionalFormatting>
  <conditionalFormatting sqref="C1898">
    <cfRule type="cellIs" dxfId="1" priority="4065" operator="equal">
      <formula>0</formula>
    </cfRule>
  </conditionalFormatting>
  <conditionalFormatting sqref="C190">
    <cfRule type="cellIs" dxfId="1" priority="444" operator="equal">
      <formula>0</formula>
    </cfRule>
  </conditionalFormatting>
  <conditionalFormatting sqref="C1900">
    <cfRule type="expression" dxfId="0" priority="4070">
      <formula>C1901=0</formula>
    </cfRule>
  </conditionalFormatting>
  <conditionalFormatting sqref="C1901">
    <cfRule type="cellIs" dxfId="1" priority="4072" operator="equal">
      <formula>0</formula>
    </cfRule>
  </conditionalFormatting>
  <conditionalFormatting sqref="C1902">
    <cfRule type="cellIs" dxfId="1" priority="4074" operator="equal">
      <formula>0</formula>
    </cfRule>
  </conditionalFormatting>
  <conditionalFormatting sqref="C1903">
    <cfRule type="cellIs" dxfId="1" priority="4076" operator="equal">
      <formula>0</formula>
    </cfRule>
  </conditionalFormatting>
  <conditionalFormatting sqref="C1904">
    <cfRule type="cellIs" dxfId="1" priority="4077" operator="equal">
      <formula>0</formula>
    </cfRule>
  </conditionalFormatting>
  <conditionalFormatting sqref="C1905">
    <cfRule type="cellIs" dxfId="1" priority="4079" operator="equal">
      <formula>0</formula>
    </cfRule>
  </conditionalFormatting>
  <conditionalFormatting sqref="C1906">
    <cfRule type="cellIs" dxfId="1" priority="4080" operator="equal">
      <formula>0</formula>
    </cfRule>
  </conditionalFormatting>
  <conditionalFormatting sqref="C1907">
    <cfRule type="cellIs" dxfId="1" priority="4081" operator="equal">
      <formula>0</formula>
    </cfRule>
  </conditionalFormatting>
  <conditionalFormatting sqref="C1908">
    <cfRule type="cellIs" dxfId="1" priority="4083" operator="equal">
      <formula>0</formula>
    </cfRule>
  </conditionalFormatting>
  <conditionalFormatting sqref="C191">
    <cfRule type="cellIs" dxfId="1" priority="445" operator="equal">
      <formula>0</formula>
    </cfRule>
  </conditionalFormatting>
  <conditionalFormatting sqref="C1910">
    <cfRule type="expression" dxfId="0" priority="4085">
      <formula>C1911=0</formula>
    </cfRule>
  </conditionalFormatting>
  <conditionalFormatting sqref="C1911">
    <cfRule type="cellIs" dxfId="1" priority="4086" operator="equal">
      <formula>0</formula>
    </cfRule>
  </conditionalFormatting>
  <conditionalFormatting sqref="C1912">
    <cfRule type="cellIs" dxfId="1" priority="4087" operator="equal">
      <formula>0</formula>
    </cfRule>
  </conditionalFormatting>
  <conditionalFormatting sqref="C1913">
    <cfRule type="cellIs" dxfId="1" priority="4088" operator="equal">
      <formula>0</formula>
    </cfRule>
  </conditionalFormatting>
  <conditionalFormatting sqref="C1914">
    <cfRule type="cellIs" dxfId="1" priority="4089" operator="equal">
      <formula>0</formula>
    </cfRule>
  </conditionalFormatting>
  <conditionalFormatting sqref="C1915">
    <cfRule type="cellIs" dxfId="1" priority="4090" operator="equal">
      <formula>0</formula>
    </cfRule>
  </conditionalFormatting>
  <conditionalFormatting sqref="C1916">
    <cfRule type="cellIs" dxfId="1" priority="4091" operator="equal">
      <formula>0</formula>
    </cfRule>
  </conditionalFormatting>
  <conditionalFormatting sqref="C1917">
    <cfRule type="cellIs" dxfId="1" priority="4092" operator="equal">
      <formula>0</formula>
    </cfRule>
  </conditionalFormatting>
  <conditionalFormatting sqref="C1918">
    <cfRule type="cellIs" dxfId="1" priority="4093" operator="equal">
      <formula>0</formula>
    </cfRule>
  </conditionalFormatting>
  <conditionalFormatting sqref="C192">
    <cfRule type="cellIs" dxfId="1" priority="446" operator="equal">
      <formula>0</formula>
    </cfRule>
  </conditionalFormatting>
  <conditionalFormatting sqref="C1926">
    <cfRule type="expression" dxfId="0" priority="4094">
      <formula>C1927=0</formula>
    </cfRule>
  </conditionalFormatting>
  <conditionalFormatting sqref="C1927">
    <cfRule type="cellIs" dxfId="1" priority="4100" operator="equal">
      <formula>0</formula>
    </cfRule>
  </conditionalFormatting>
  <conditionalFormatting sqref="C1928">
    <cfRule type="cellIs" dxfId="1" priority="4106" operator="equal">
      <formula>0</formula>
    </cfRule>
  </conditionalFormatting>
  <conditionalFormatting sqref="C1929">
    <cfRule type="cellIs" dxfId="1" priority="4110" operator="equal">
      <formula>0</formula>
    </cfRule>
  </conditionalFormatting>
  <conditionalFormatting sqref="C193">
    <cfRule type="cellIs" dxfId="1" priority="447" operator="equal">
      <formula>0</formula>
    </cfRule>
  </conditionalFormatting>
  <conditionalFormatting sqref="C1930">
    <cfRule type="cellIs" dxfId="1" priority="4116" operator="equal">
      <formula>0</formula>
    </cfRule>
  </conditionalFormatting>
  <conditionalFormatting sqref="C1931">
    <cfRule type="cellIs" dxfId="1" priority="4119" operator="equal">
      <formula>0</formula>
    </cfRule>
  </conditionalFormatting>
  <conditionalFormatting sqref="C1932">
    <cfRule type="cellIs" dxfId="1" priority="4123" operator="equal">
      <formula>0</formula>
    </cfRule>
  </conditionalFormatting>
  <conditionalFormatting sqref="C1933">
    <cfRule type="cellIs" dxfId="1" priority="4127" operator="equal">
      <formula>0</formula>
    </cfRule>
  </conditionalFormatting>
  <conditionalFormatting sqref="C1935">
    <cfRule type="expression" dxfId="0" priority="4131">
      <formula>C1936=0</formula>
    </cfRule>
  </conditionalFormatting>
  <conditionalFormatting sqref="C1936">
    <cfRule type="cellIs" dxfId="1" priority="4133" operator="equal">
      <formula>0</formula>
    </cfRule>
  </conditionalFormatting>
  <conditionalFormatting sqref="C1937">
    <cfRule type="cellIs" dxfId="1" priority="4135" operator="equal">
      <formula>0</formula>
    </cfRule>
  </conditionalFormatting>
  <conditionalFormatting sqref="C1938">
    <cfRule type="cellIs" dxfId="1" priority="4137" operator="equal">
      <formula>0</formula>
    </cfRule>
  </conditionalFormatting>
  <conditionalFormatting sqref="C1939">
    <cfRule type="cellIs" dxfId="1" priority="4139" operator="equal">
      <formula>0</formula>
    </cfRule>
  </conditionalFormatting>
  <conditionalFormatting sqref="C194">
    <cfRule type="cellIs" dxfId="1" priority="448" operator="equal">
      <formula>0</formula>
    </cfRule>
  </conditionalFormatting>
  <conditionalFormatting sqref="C1941">
    <cfRule type="cellIs" dxfId="1" priority="4141" operator="equal">
      <formula>0</formula>
    </cfRule>
  </conditionalFormatting>
  <conditionalFormatting sqref="C1942">
    <cfRule type="cellIs" dxfId="1" priority="4143" operator="equal">
      <formula>0</formula>
    </cfRule>
  </conditionalFormatting>
  <conditionalFormatting sqref="C1944">
    <cfRule type="expression" dxfId="0" priority="4145">
      <formula>C1945=0</formula>
    </cfRule>
  </conditionalFormatting>
  <conditionalFormatting sqref="C1945">
    <cfRule type="cellIs" dxfId="1" priority="4146" operator="equal">
      <formula>0</formula>
    </cfRule>
  </conditionalFormatting>
  <conditionalFormatting sqref="C1946">
    <cfRule type="cellIs" dxfId="1" priority="4147" operator="equal">
      <formula>0</formula>
    </cfRule>
  </conditionalFormatting>
  <conditionalFormatting sqref="C1947">
    <cfRule type="cellIs" dxfId="1" priority="4148" operator="equal">
      <formula>0</formula>
    </cfRule>
  </conditionalFormatting>
  <conditionalFormatting sqref="C1948">
    <cfRule type="cellIs" dxfId="1" priority="4149" operator="equal">
      <formula>0</formula>
    </cfRule>
  </conditionalFormatting>
  <conditionalFormatting sqref="C1949">
    <cfRule type="cellIs" dxfId="1" priority="4150" operator="equal">
      <formula>0</formula>
    </cfRule>
  </conditionalFormatting>
  <conditionalFormatting sqref="C195">
    <cfRule type="cellIs" dxfId="1" priority="449" operator="equal">
      <formula>0</formula>
    </cfRule>
  </conditionalFormatting>
  <conditionalFormatting sqref="C1950">
    <cfRule type="cellIs" dxfId="1" priority="4151" operator="equal">
      <formula>0</formula>
    </cfRule>
  </conditionalFormatting>
  <conditionalFormatting sqref="C1951">
    <cfRule type="cellIs" dxfId="1" priority="4152" operator="equal">
      <formula>0</formula>
    </cfRule>
  </conditionalFormatting>
  <conditionalFormatting sqref="C1959">
    <cfRule type="expression" dxfId="0" priority="4153">
      <formula>C1960=0</formula>
    </cfRule>
  </conditionalFormatting>
  <conditionalFormatting sqref="C196">
    <cfRule type="cellIs" dxfId="1" priority="451" operator="equal">
      <formula>0</formula>
    </cfRule>
  </conditionalFormatting>
  <conditionalFormatting sqref="C1960">
    <cfRule type="cellIs" dxfId="1" priority="4160" operator="equal">
      <formula>0</formula>
    </cfRule>
  </conditionalFormatting>
  <conditionalFormatting sqref="C1961">
    <cfRule type="cellIs" dxfId="1" priority="4167" operator="equal">
      <formula>0</formula>
    </cfRule>
  </conditionalFormatting>
  <conditionalFormatting sqref="C1962">
    <cfRule type="cellIs" dxfId="1" priority="4171" operator="equal">
      <formula>0</formula>
    </cfRule>
  </conditionalFormatting>
  <conditionalFormatting sqref="C1963">
    <cfRule type="cellIs" dxfId="1" priority="4176" operator="equal">
      <formula>0</formula>
    </cfRule>
  </conditionalFormatting>
  <conditionalFormatting sqref="C1964">
    <cfRule type="cellIs" dxfId="1" priority="4180" operator="equal">
      <formula>0</formula>
    </cfRule>
  </conditionalFormatting>
  <conditionalFormatting sqref="C1965">
    <cfRule type="cellIs" dxfId="1" priority="4183" operator="equal">
      <formula>0</formula>
    </cfRule>
  </conditionalFormatting>
  <conditionalFormatting sqref="C1966">
    <cfRule type="cellIs" dxfId="1" priority="4188" operator="equal">
      <formula>0</formula>
    </cfRule>
  </conditionalFormatting>
  <conditionalFormatting sqref="C1967">
    <cfRule type="cellIs" dxfId="1" priority="4192" operator="equal">
      <formula>0</formula>
    </cfRule>
  </conditionalFormatting>
  <conditionalFormatting sqref="C1969">
    <cfRule type="expression" dxfId="0" priority="4196">
      <formula>C1970=0</formula>
    </cfRule>
  </conditionalFormatting>
  <conditionalFormatting sqref="C1970">
    <cfRule type="cellIs" dxfId="1" priority="4198" operator="equal">
      <formula>0</formula>
    </cfRule>
  </conditionalFormatting>
  <conditionalFormatting sqref="C1971">
    <cfRule type="cellIs" dxfId="1" priority="4200" operator="equal">
      <formula>0</formula>
    </cfRule>
  </conditionalFormatting>
  <conditionalFormatting sqref="C1972">
    <cfRule type="cellIs" dxfId="1" priority="4202" operator="equal">
      <formula>0</formula>
    </cfRule>
  </conditionalFormatting>
  <conditionalFormatting sqref="C1973">
    <cfRule type="cellIs" dxfId="1" priority="4203" operator="equal">
      <formula>0</formula>
    </cfRule>
  </conditionalFormatting>
  <conditionalFormatting sqref="C1974">
    <cfRule type="cellIs" dxfId="1" priority="4205" operator="equal">
      <formula>0</formula>
    </cfRule>
  </conditionalFormatting>
  <conditionalFormatting sqref="C1975">
    <cfRule type="cellIs" dxfId="1" priority="4206" operator="equal">
      <formula>0</formula>
    </cfRule>
  </conditionalFormatting>
  <conditionalFormatting sqref="C1976">
    <cfRule type="cellIs" dxfId="1" priority="4207" operator="equal">
      <formula>0</formula>
    </cfRule>
  </conditionalFormatting>
  <conditionalFormatting sqref="C1977">
    <cfRule type="cellIs" dxfId="1" priority="4209" operator="equal">
      <formula>0</formula>
    </cfRule>
  </conditionalFormatting>
  <conditionalFormatting sqref="C1979">
    <cfRule type="expression" dxfId="0" priority="4211">
      <formula>C1980=0</formula>
    </cfRule>
  </conditionalFormatting>
  <conditionalFormatting sqref="C1980">
    <cfRule type="cellIs" dxfId="1" priority="4212" operator="equal">
      <formula>0</formula>
    </cfRule>
  </conditionalFormatting>
  <conditionalFormatting sqref="C1981">
    <cfRule type="cellIs" dxfId="1" priority="4213" operator="equal">
      <formula>0</formula>
    </cfRule>
  </conditionalFormatting>
  <conditionalFormatting sqref="C1982">
    <cfRule type="cellIs" dxfId="1" priority="4214" operator="equal">
      <formula>0</formula>
    </cfRule>
  </conditionalFormatting>
  <conditionalFormatting sqref="C1983">
    <cfRule type="cellIs" dxfId="1" priority="4215" operator="equal">
      <formula>0</formula>
    </cfRule>
  </conditionalFormatting>
  <conditionalFormatting sqref="C1984">
    <cfRule type="cellIs" dxfId="1" priority="4216" operator="equal">
      <formula>0</formula>
    </cfRule>
  </conditionalFormatting>
  <conditionalFormatting sqref="C1985">
    <cfRule type="cellIs" dxfId="1" priority="4217" operator="equal">
      <formula>0</formula>
    </cfRule>
  </conditionalFormatting>
  <conditionalFormatting sqref="C1986">
    <cfRule type="cellIs" dxfId="1" priority="4218" operator="equal">
      <formula>0</formula>
    </cfRule>
  </conditionalFormatting>
  <conditionalFormatting sqref="C1987">
    <cfRule type="cellIs" dxfId="1" priority="4219" operator="equal">
      <formula>0</formula>
    </cfRule>
  </conditionalFormatting>
  <conditionalFormatting sqref="C1995">
    <cfRule type="expression" dxfId="0" priority="4220">
      <formula>C1996=0</formula>
    </cfRule>
  </conditionalFormatting>
  <conditionalFormatting sqref="C1996">
    <cfRule type="cellIs" dxfId="1" priority="4229" operator="equal">
      <formula>0</formula>
    </cfRule>
  </conditionalFormatting>
  <conditionalFormatting sqref="C1997">
    <cfRule type="cellIs" dxfId="1" priority="4238" operator="equal">
      <formula>0</formula>
    </cfRule>
  </conditionalFormatting>
  <conditionalFormatting sqref="C1998">
    <cfRule type="cellIs" dxfId="1" priority="4243" operator="equal">
      <formula>0</formula>
    </cfRule>
  </conditionalFormatting>
  <conditionalFormatting sqref="C1999">
    <cfRule type="cellIs" dxfId="1" priority="4249" operator="equal">
      <formula>0</formula>
    </cfRule>
  </conditionalFormatting>
  <conditionalFormatting sqref="C2000">
    <cfRule type="cellIs" dxfId="1" priority="4252" operator="equal">
      <formula>0</formula>
    </cfRule>
  </conditionalFormatting>
  <conditionalFormatting sqref="C2002">
    <cfRule type="expression" dxfId="0" priority="4258">
      <formula>C2003=0</formula>
    </cfRule>
  </conditionalFormatting>
  <conditionalFormatting sqref="C2003">
    <cfRule type="cellIs" dxfId="1" priority="4261" operator="equal">
      <formula>0</formula>
    </cfRule>
  </conditionalFormatting>
  <conditionalFormatting sqref="C2004">
    <cfRule type="cellIs" dxfId="1" priority="4264" operator="equal">
      <formula>0</formula>
    </cfRule>
  </conditionalFormatting>
  <conditionalFormatting sqref="C2009">
    <cfRule type="expression" dxfId="0" priority="4270">
      <formula>C2010=0</formula>
    </cfRule>
  </conditionalFormatting>
  <conditionalFormatting sqref="C2010">
    <cfRule type="cellIs" dxfId="1" priority="4271" operator="equal">
      <formula>0</formula>
    </cfRule>
  </conditionalFormatting>
  <conditionalFormatting sqref="C2011">
    <cfRule type="cellIs" dxfId="1" priority="4272" operator="equal">
      <formula>0</formula>
    </cfRule>
  </conditionalFormatting>
  <conditionalFormatting sqref="C2012">
    <cfRule type="cellIs" dxfId="1" priority="4273" operator="equal">
      <formula>0</formula>
    </cfRule>
  </conditionalFormatting>
  <conditionalFormatting sqref="C2013">
    <cfRule type="cellIs" dxfId="1" priority="4274" operator="equal">
      <formula>0</formula>
    </cfRule>
  </conditionalFormatting>
  <conditionalFormatting sqref="C2014">
    <cfRule type="cellIs" dxfId="1" priority="4275" operator="equal">
      <formula>0</formula>
    </cfRule>
  </conditionalFormatting>
  <conditionalFormatting sqref="C2022">
    <cfRule type="expression" dxfId="0" priority="4276">
      <formula>C2023=0</formula>
    </cfRule>
  </conditionalFormatting>
  <conditionalFormatting sqref="C2023">
    <cfRule type="cellIs" dxfId="1" priority="4283" operator="equal">
      <formula>0</formula>
    </cfRule>
  </conditionalFormatting>
  <conditionalFormatting sqref="C2024">
    <cfRule type="cellIs" dxfId="1" priority="4290" operator="equal">
      <formula>0</formula>
    </cfRule>
  </conditionalFormatting>
  <conditionalFormatting sqref="C2025">
    <cfRule type="cellIs" dxfId="1" priority="4294" operator="equal">
      <formula>0</formula>
    </cfRule>
  </conditionalFormatting>
  <conditionalFormatting sqref="C2026">
    <cfRule type="cellIs" dxfId="1" priority="4298" operator="equal">
      <formula>0</formula>
    </cfRule>
  </conditionalFormatting>
  <conditionalFormatting sqref="C2027">
    <cfRule type="cellIs" dxfId="1" priority="4302" operator="equal">
      <formula>0</formula>
    </cfRule>
  </conditionalFormatting>
  <conditionalFormatting sqref="C2028">
    <cfRule type="cellIs" dxfId="1" priority="4305" operator="equal">
      <formula>0</formula>
    </cfRule>
  </conditionalFormatting>
  <conditionalFormatting sqref="C2029">
    <cfRule type="cellIs" dxfId="1" priority="4309" operator="equal">
      <formula>0</formula>
    </cfRule>
  </conditionalFormatting>
  <conditionalFormatting sqref="C2030">
    <cfRule type="cellIs" dxfId="1" priority="4313" operator="equal">
      <formula>0</formula>
    </cfRule>
  </conditionalFormatting>
  <conditionalFormatting sqref="C2031">
    <cfRule type="cellIs" dxfId="1" priority="4317" operator="equal">
      <formula>0</formula>
    </cfRule>
  </conditionalFormatting>
  <conditionalFormatting sqref="C2032">
    <cfRule type="cellIs" dxfId="1" priority="4320" operator="equal">
      <formula>0</formula>
    </cfRule>
  </conditionalFormatting>
  <conditionalFormatting sqref="C2033">
    <cfRule type="cellIs" dxfId="1" priority="4325" operator="equal">
      <formula>0</formula>
    </cfRule>
  </conditionalFormatting>
  <conditionalFormatting sqref="C2034">
    <cfRule type="cellIs" dxfId="1" priority="4330" operator="equal">
      <formula>0</formula>
    </cfRule>
  </conditionalFormatting>
  <conditionalFormatting sqref="C2035">
    <cfRule type="cellIs" dxfId="1" priority="4334" operator="equal">
      <formula>0</formula>
    </cfRule>
  </conditionalFormatting>
  <conditionalFormatting sqref="C2036">
    <cfRule type="cellIs" dxfId="1" priority="4338" operator="equal">
      <formula>0</formula>
    </cfRule>
  </conditionalFormatting>
  <conditionalFormatting sqref="C2037">
    <cfRule type="cellIs" dxfId="1" priority="4342" operator="equal">
      <formula>0</formula>
    </cfRule>
  </conditionalFormatting>
  <conditionalFormatting sqref="C2038">
    <cfRule type="cellIs" dxfId="1" priority="4346" operator="equal">
      <formula>0</formula>
    </cfRule>
  </conditionalFormatting>
  <conditionalFormatting sqref="C2039">
    <cfRule type="cellIs" dxfId="1" priority="4351" operator="equal">
      <formula>0</formula>
    </cfRule>
  </conditionalFormatting>
  <conditionalFormatting sqref="C204">
    <cfRule type="expression" dxfId="0" priority="453">
      <formula>C205=0</formula>
    </cfRule>
  </conditionalFormatting>
  <conditionalFormatting sqref="C2041">
    <cfRule type="expression" dxfId="0" priority="4356">
      <formula>C2042=0</formula>
    </cfRule>
  </conditionalFormatting>
  <conditionalFormatting sqref="C2042">
    <cfRule type="cellIs" dxfId="1" priority="4365" operator="equal">
      <formula>0</formula>
    </cfRule>
  </conditionalFormatting>
  <conditionalFormatting sqref="C2043">
    <cfRule type="cellIs" dxfId="1" priority="4374" operator="equal">
      <formula>0</formula>
    </cfRule>
  </conditionalFormatting>
  <conditionalFormatting sqref="C205">
    <cfRule type="cellIs" dxfId="1" priority="465" operator="equal">
      <formula>0</formula>
    </cfRule>
  </conditionalFormatting>
  <conditionalFormatting sqref="C2053">
    <cfRule type="cellIs" dxfId="1" priority="4393" operator="equal">
      <formula>0</formula>
    </cfRule>
  </conditionalFormatting>
  <conditionalFormatting sqref="C206">
    <cfRule type="cellIs" dxfId="1" priority="477" operator="equal">
      <formula>0</formula>
    </cfRule>
  </conditionalFormatting>
  <conditionalFormatting sqref="C2060">
    <cfRule type="expression" dxfId="0" priority="4405">
      <formula>C2061=0</formula>
    </cfRule>
  </conditionalFormatting>
  <conditionalFormatting sqref="C2061">
    <cfRule type="cellIs" dxfId="1" priority="4408" operator="equal">
      <formula>0</formula>
    </cfRule>
  </conditionalFormatting>
  <conditionalFormatting sqref="C2062">
    <cfRule type="cellIs" dxfId="1" priority="4411" operator="equal">
      <formula>0</formula>
    </cfRule>
  </conditionalFormatting>
  <conditionalFormatting sqref="C2064">
    <cfRule type="cellIs" dxfId="1" priority="4413" operator="equal">
      <formula>0</formula>
    </cfRule>
  </conditionalFormatting>
  <conditionalFormatting sqref="C2065">
    <cfRule type="cellIs" dxfId="1" priority="4414" operator="equal">
      <formula>0</formula>
    </cfRule>
  </conditionalFormatting>
  <conditionalFormatting sqref="C2066">
    <cfRule type="cellIs" dxfId="1" priority="4415" operator="equal">
      <formula>0</formula>
    </cfRule>
  </conditionalFormatting>
  <conditionalFormatting sqref="C2067">
    <cfRule type="cellIs" dxfId="1" priority="4416" operator="equal">
      <formula>0</formula>
    </cfRule>
  </conditionalFormatting>
  <conditionalFormatting sqref="C2068">
    <cfRule type="cellIs" dxfId="1" priority="4417" operator="equal">
      <formula>0</formula>
    </cfRule>
  </conditionalFormatting>
  <conditionalFormatting sqref="C2069">
    <cfRule type="cellIs" dxfId="1" priority="4418" operator="equal">
      <formula>0</formula>
    </cfRule>
  </conditionalFormatting>
  <conditionalFormatting sqref="C207">
    <cfRule type="cellIs" dxfId="1" priority="482" operator="equal">
      <formula>0</formula>
    </cfRule>
  </conditionalFormatting>
  <conditionalFormatting sqref="C2070">
    <cfRule type="cellIs" dxfId="1" priority="4419" operator="equal">
      <formula>0</formula>
    </cfRule>
  </conditionalFormatting>
  <conditionalFormatting sqref="C2071">
    <cfRule type="cellIs" dxfId="1" priority="4420" operator="equal">
      <formula>0</formula>
    </cfRule>
  </conditionalFormatting>
  <conditionalFormatting sqref="C2072">
    <cfRule type="cellIs" dxfId="1" priority="4421" operator="equal">
      <formula>0</formula>
    </cfRule>
  </conditionalFormatting>
  <conditionalFormatting sqref="C2073">
    <cfRule type="cellIs" dxfId="1" priority="4422" operator="equal">
      <formula>0</formula>
    </cfRule>
  </conditionalFormatting>
  <conditionalFormatting sqref="C2074">
    <cfRule type="cellIs" dxfId="1" priority="4424" operator="equal">
      <formula>0</formula>
    </cfRule>
  </conditionalFormatting>
  <conditionalFormatting sqref="C2075">
    <cfRule type="cellIs" dxfId="1" priority="4426" operator="equal">
      <formula>0</formula>
    </cfRule>
  </conditionalFormatting>
  <conditionalFormatting sqref="C2077">
    <cfRule type="cellIs" dxfId="1" priority="4428" operator="equal">
      <formula>0</formula>
    </cfRule>
  </conditionalFormatting>
  <conditionalFormatting sqref="C208">
    <cfRule type="cellIs" dxfId="1" priority="486" operator="equal">
      <formula>0</formula>
    </cfRule>
  </conditionalFormatting>
  <conditionalFormatting sqref="C2085">
    <cfRule type="expression" dxfId="0" priority="4429">
      <formula>C2086=0</formula>
    </cfRule>
  </conditionalFormatting>
  <conditionalFormatting sqref="C2086">
    <cfRule type="cellIs" dxfId="1" priority="4438" operator="equal">
      <formula>0</formula>
    </cfRule>
  </conditionalFormatting>
  <conditionalFormatting sqref="C2087">
    <cfRule type="cellIs" dxfId="1" priority="4447" operator="equal">
      <formula>0</formula>
    </cfRule>
  </conditionalFormatting>
  <conditionalFormatting sqref="C2088">
    <cfRule type="cellIs" dxfId="1" priority="4452" operator="equal">
      <formula>0</formula>
    </cfRule>
  </conditionalFormatting>
  <conditionalFormatting sqref="C2089">
    <cfRule type="cellIs" dxfId="1" priority="4456" operator="equal">
      <formula>0</formula>
    </cfRule>
  </conditionalFormatting>
  <conditionalFormatting sqref="C209">
    <cfRule type="cellIs" dxfId="1" priority="490" operator="equal">
      <formula>0</formula>
    </cfRule>
  </conditionalFormatting>
  <conditionalFormatting sqref="C2090">
    <cfRule type="cellIs" dxfId="1" priority="4461" operator="equal">
      <formula>0</formula>
    </cfRule>
  </conditionalFormatting>
  <conditionalFormatting sqref="C2091">
    <cfRule type="cellIs" dxfId="1" priority="4466" operator="equal">
      <formula>0</formula>
    </cfRule>
  </conditionalFormatting>
  <conditionalFormatting sqref="C2093">
    <cfRule type="expression" dxfId="0" priority="4471">
      <formula>C2094=0</formula>
    </cfRule>
  </conditionalFormatting>
  <conditionalFormatting sqref="C2094">
    <cfRule type="cellIs" dxfId="1" priority="4476" operator="equal">
      <formula>0</formula>
    </cfRule>
  </conditionalFormatting>
  <conditionalFormatting sqref="C2095">
    <cfRule type="cellIs" dxfId="1" priority="4481" operator="equal">
      <formula>0</formula>
    </cfRule>
  </conditionalFormatting>
  <conditionalFormatting sqref="C2098">
    <cfRule type="cellIs" dxfId="1" priority="4486" operator="equal">
      <formula>0</formula>
    </cfRule>
  </conditionalFormatting>
  <conditionalFormatting sqref="C210">
    <cfRule type="cellIs" dxfId="1" priority="495" operator="equal">
      <formula>0</formula>
    </cfRule>
  </conditionalFormatting>
  <conditionalFormatting sqref="C2101">
    <cfRule type="expression" dxfId="0" priority="4489">
      <formula>C2102=0</formula>
    </cfRule>
  </conditionalFormatting>
  <conditionalFormatting sqref="C2102">
    <cfRule type="cellIs" dxfId="1" priority="4490" operator="equal">
      <formula>0</formula>
    </cfRule>
  </conditionalFormatting>
  <conditionalFormatting sqref="C2103">
    <cfRule type="cellIs" dxfId="1" priority="4491" operator="equal">
      <formula>0</formula>
    </cfRule>
  </conditionalFormatting>
  <conditionalFormatting sqref="C2104">
    <cfRule type="cellIs" dxfId="1" priority="4492" operator="equal">
      <formula>0</formula>
    </cfRule>
  </conditionalFormatting>
  <conditionalFormatting sqref="C2105">
    <cfRule type="cellIs" dxfId="1" priority="4493" operator="equal">
      <formula>0</formula>
    </cfRule>
  </conditionalFormatting>
  <conditionalFormatting sqref="C2106">
    <cfRule type="cellIs" dxfId="1" priority="4494" operator="equal">
      <formula>0</formula>
    </cfRule>
  </conditionalFormatting>
  <conditionalFormatting sqref="C2107">
    <cfRule type="cellIs" dxfId="1" priority="4495" operator="equal">
      <formula>0</formula>
    </cfRule>
  </conditionalFormatting>
  <conditionalFormatting sqref="C211">
    <cfRule type="cellIs" dxfId="1" priority="499" operator="equal">
      <formula>0</formula>
    </cfRule>
  </conditionalFormatting>
  <conditionalFormatting sqref="C2115">
    <cfRule type="expression" dxfId="0" priority="4496">
      <formula>C2116=0</formula>
    </cfRule>
  </conditionalFormatting>
  <conditionalFormatting sqref="C2116">
    <cfRule type="cellIs" dxfId="1" priority="4503" operator="equal">
      <formula>0</formula>
    </cfRule>
  </conditionalFormatting>
  <conditionalFormatting sqref="C2117">
    <cfRule type="cellIs" dxfId="1" priority="4510" operator="equal">
      <formula>0</formula>
    </cfRule>
  </conditionalFormatting>
  <conditionalFormatting sqref="C2118">
    <cfRule type="cellIs" dxfId="1" priority="4515" operator="equal">
      <formula>0</formula>
    </cfRule>
  </conditionalFormatting>
  <conditionalFormatting sqref="C212">
    <cfRule type="cellIs" dxfId="1" priority="503" operator="equal">
      <formula>0</formula>
    </cfRule>
  </conditionalFormatting>
  <conditionalFormatting sqref="C2120">
    <cfRule type="expression" dxfId="0" priority="4518">
      <formula>C2121=0</formula>
    </cfRule>
  </conditionalFormatting>
  <conditionalFormatting sqref="C2121">
    <cfRule type="cellIs" dxfId="1" priority="4519" operator="equal">
      <formula>0</formula>
    </cfRule>
  </conditionalFormatting>
  <conditionalFormatting sqref="C2122">
    <cfRule type="cellIs" dxfId="1" priority="4520" operator="equal">
      <formula>0</formula>
    </cfRule>
  </conditionalFormatting>
  <conditionalFormatting sqref="C2123">
    <cfRule type="cellIs" dxfId="1" priority="4521" operator="equal">
      <formula>0</formula>
    </cfRule>
  </conditionalFormatting>
  <conditionalFormatting sqref="C2125">
    <cfRule type="expression" dxfId="0" priority="4522">
      <formula>C2126=0</formula>
    </cfRule>
  </conditionalFormatting>
  <conditionalFormatting sqref="C2126">
    <cfRule type="cellIs" dxfId="1" priority="4523" operator="equal">
      <formula>0</formula>
    </cfRule>
  </conditionalFormatting>
  <conditionalFormatting sqref="C2127">
    <cfRule type="cellIs" dxfId="1" priority="4524" operator="equal">
      <formula>0</formula>
    </cfRule>
  </conditionalFormatting>
  <conditionalFormatting sqref="C2128">
    <cfRule type="cellIs" dxfId="1" priority="4525" operator="equal">
      <formula>0</formula>
    </cfRule>
  </conditionalFormatting>
  <conditionalFormatting sqref="C213">
    <cfRule type="cellIs" dxfId="1" priority="506" operator="equal">
      <formula>0</formula>
    </cfRule>
  </conditionalFormatting>
  <conditionalFormatting sqref="C2136">
    <cfRule type="expression" dxfId="0" priority="4526">
      <formula>C2137=0</formula>
    </cfRule>
  </conditionalFormatting>
  <conditionalFormatting sqref="C2137">
    <cfRule type="cellIs" dxfId="1" priority="4531" operator="equal">
      <formula>0</formula>
    </cfRule>
  </conditionalFormatting>
  <conditionalFormatting sqref="C2138">
    <cfRule type="cellIs" dxfId="1" priority="4536" operator="equal">
      <formula>0</formula>
    </cfRule>
  </conditionalFormatting>
  <conditionalFormatting sqref="C2139">
    <cfRule type="cellIs" dxfId="1" priority="4540" operator="equal">
      <formula>0</formula>
    </cfRule>
  </conditionalFormatting>
  <conditionalFormatting sqref="C214">
    <cfRule type="cellIs" dxfId="1" priority="511" operator="equal">
      <formula>0</formula>
    </cfRule>
  </conditionalFormatting>
  <conditionalFormatting sqref="C2140">
    <cfRule type="cellIs" dxfId="1" priority="4544" operator="equal">
      <formula>0</formula>
    </cfRule>
  </conditionalFormatting>
  <conditionalFormatting sqref="C2141">
    <cfRule type="cellIs" dxfId="1" priority="4548" operator="equal">
      <formula>0</formula>
    </cfRule>
  </conditionalFormatting>
  <conditionalFormatting sqref="C2142">
    <cfRule type="cellIs" dxfId="1" priority="4552" operator="equal">
      <formula>0</formula>
    </cfRule>
  </conditionalFormatting>
  <conditionalFormatting sqref="C2143">
    <cfRule type="cellIs" dxfId="1" priority="4556" operator="equal">
      <formula>0</formula>
    </cfRule>
  </conditionalFormatting>
  <conditionalFormatting sqref="C2144">
    <cfRule type="cellIs" dxfId="1" priority="4560" operator="equal">
      <formula>0</formula>
    </cfRule>
  </conditionalFormatting>
  <conditionalFormatting sqref="C2145">
    <cfRule type="cellIs" dxfId="1" priority="4564" operator="equal">
      <formula>0</formula>
    </cfRule>
  </conditionalFormatting>
  <conditionalFormatting sqref="C2146">
    <cfRule type="cellIs" dxfId="1" priority="4568" operator="equal">
      <formula>0</formula>
    </cfRule>
  </conditionalFormatting>
  <conditionalFormatting sqref="C2147">
    <cfRule type="cellIs" dxfId="1" priority="4571" operator="equal">
      <formula>0</formula>
    </cfRule>
  </conditionalFormatting>
  <conditionalFormatting sqref="C2148">
    <cfRule type="cellIs" dxfId="1" priority="4574" operator="equal">
      <formula>0</formula>
    </cfRule>
  </conditionalFormatting>
  <conditionalFormatting sqref="C2149">
    <cfRule type="cellIs" dxfId="1" priority="4578" operator="equal">
      <formula>0</formula>
    </cfRule>
  </conditionalFormatting>
  <conditionalFormatting sqref="C215">
    <cfRule type="cellIs" dxfId="1" priority="515" operator="equal">
      <formula>0</formula>
    </cfRule>
  </conditionalFormatting>
  <conditionalFormatting sqref="C2151">
    <cfRule type="expression" dxfId="0" priority="4582">
      <formula>C2152=0</formula>
    </cfRule>
  </conditionalFormatting>
  <conditionalFormatting sqref="C2152">
    <cfRule type="cellIs" dxfId="1" priority="4584" operator="equal">
      <formula>0</formula>
    </cfRule>
  </conditionalFormatting>
  <conditionalFormatting sqref="C2153">
    <cfRule type="cellIs" dxfId="1" priority="4586" operator="equal">
      <formula>0</formula>
    </cfRule>
  </conditionalFormatting>
  <conditionalFormatting sqref="C2154">
    <cfRule type="cellIs" dxfId="1" priority="4588" operator="equal">
      <formula>0</formula>
    </cfRule>
  </conditionalFormatting>
  <conditionalFormatting sqref="C2155">
    <cfRule type="cellIs" dxfId="1" priority="4590" operator="equal">
      <formula>0</formula>
    </cfRule>
  </conditionalFormatting>
  <conditionalFormatting sqref="C2156">
    <cfRule type="cellIs" dxfId="1" priority="4592" operator="equal">
      <formula>0</formula>
    </cfRule>
  </conditionalFormatting>
  <conditionalFormatting sqref="C2157">
    <cfRule type="cellIs" dxfId="1" priority="4594" operator="equal">
      <formula>0</formula>
    </cfRule>
  </conditionalFormatting>
  <conditionalFormatting sqref="C2158">
    <cfRule type="cellIs" dxfId="1" priority="4596" operator="equal">
      <formula>0</formula>
    </cfRule>
  </conditionalFormatting>
  <conditionalFormatting sqref="C2159">
    <cfRule type="cellIs" dxfId="1" priority="4598" operator="equal">
      <formula>0</formula>
    </cfRule>
  </conditionalFormatting>
  <conditionalFormatting sqref="C216">
    <cfRule type="cellIs" dxfId="1" priority="519" operator="equal">
      <formula>0</formula>
    </cfRule>
  </conditionalFormatting>
  <conditionalFormatting sqref="C2160">
    <cfRule type="cellIs" dxfId="1" priority="4600" operator="equal">
      <formula>0</formula>
    </cfRule>
  </conditionalFormatting>
  <conditionalFormatting sqref="C2162">
    <cfRule type="cellIs" dxfId="1" priority="4603" operator="equal">
      <formula>0</formula>
    </cfRule>
  </conditionalFormatting>
  <conditionalFormatting sqref="C2163">
    <cfRule type="cellIs" dxfId="1" priority="4605" operator="equal">
      <formula>0</formula>
    </cfRule>
  </conditionalFormatting>
  <conditionalFormatting sqref="C2166">
    <cfRule type="expression" dxfId="0" priority="4608">
      <formula>C2167=0</formula>
    </cfRule>
  </conditionalFormatting>
  <conditionalFormatting sqref="C2167">
    <cfRule type="cellIs" dxfId="1" priority="4611" operator="equal">
      <formula>0</formula>
    </cfRule>
  </conditionalFormatting>
  <conditionalFormatting sqref="C2168">
    <cfRule type="cellIs" dxfId="1" priority="4614" operator="equal">
      <formula>0</formula>
    </cfRule>
  </conditionalFormatting>
  <conditionalFormatting sqref="C2169">
    <cfRule type="cellIs" dxfId="1" priority="4616" operator="equal">
      <formula>0</formula>
    </cfRule>
  </conditionalFormatting>
  <conditionalFormatting sqref="C217">
    <cfRule type="cellIs" dxfId="1" priority="524" operator="equal">
      <formula>0</formula>
    </cfRule>
  </conditionalFormatting>
  <conditionalFormatting sqref="C2170">
    <cfRule type="cellIs" dxfId="1" priority="4618" operator="equal">
      <formula>0</formula>
    </cfRule>
  </conditionalFormatting>
  <conditionalFormatting sqref="C2172">
    <cfRule type="cellIs" dxfId="1" priority="4622" operator="equal">
      <formula>0</formula>
    </cfRule>
  </conditionalFormatting>
  <conditionalFormatting sqref="C2173">
    <cfRule type="cellIs" dxfId="1" priority="4624" operator="equal">
      <formula>0</formula>
    </cfRule>
  </conditionalFormatting>
  <conditionalFormatting sqref="C2174">
    <cfRule type="cellIs" dxfId="1" priority="4626" operator="equal">
      <formula>0</formula>
    </cfRule>
  </conditionalFormatting>
  <conditionalFormatting sqref="C2175">
    <cfRule type="cellIs" dxfId="1" priority="4628" operator="equal">
      <formula>0</formula>
    </cfRule>
  </conditionalFormatting>
  <conditionalFormatting sqref="C2176">
    <cfRule type="cellIs" dxfId="1" priority="4629" operator="equal">
      <formula>0</formula>
    </cfRule>
  </conditionalFormatting>
  <conditionalFormatting sqref="C2177">
    <cfRule type="cellIs" dxfId="1" priority="4631" operator="equal">
      <formula>0</formula>
    </cfRule>
  </conditionalFormatting>
  <conditionalFormatting sqref="C2178">
    <cfRule type="cellIs" dxfId="1" priority="4633" operator="equal">
      <formula>0</formula>
    </cfRule>
  </conditionalFormatting>
  <conditionalFormatting sqref="C2179">
    <cfRule type="cellIs" dxfId="1" priority="4634" operator="equal">
      <formula>0</formula>
    </cfRule>
  </conditionalFormatting>
  <conditionalFormatting sqref="C218">
    <cfRule type="cellIs" dxfId="1" priority="529" operator="equal">
      <formula>0</formula>
    </cfRule>
  </conditionalFormatting>
  <conditionalFormatting sqref="C2187">
    <cfRule type="expression" dxfId="0" priority="4636">
      <formula>C2188=0</formula>
    </cfRule>
  </conditionalFormatting>
  <conditionalFormatting sqref="C2188">
    <cfRule type="cellIs" dxfId="1" priority="4640" operator="equal">
      <formula>0</formula>
    </cfRule>
  </conditionalFormatting>
  <conditionalFormatting sqref="C2189">
    <cfRule type="cellIs" dxfId="1" priority="4644" operator="equal">
      <formula>0</formula>
    </cfRule>
  </conditionalFormatting>
  <conditionalFormatting sqref="C219">
    <cfRule type="cellIs" dxfId="1" priority="535" operator="equal">
      <formula>0</formula>
    </cfRule>
  </conditionalFormatting>
  <conditionalFormatting sqref="C2191">
    <cfRule type="expression" dxfId="0" priority="4648">
      <formula>C2192=0</formula>
    </cfRule>
  </conditionalFormatting>
  <conditionalFormatting sqref="C2192">
    <cfRule type="cellIs" dxfId="1" priority="4650" operator="equal">
      <formula>0</formula>
    </cfRule>
  </conditionalFormatting>
  <conditionalFormatting sqref="C2193">
    <cfRule type="cellIs" dxfId="1" priority="4652" operator="equal">
      <formula>0</formula>
    </cfRule>
  </conditionalFormatting>
  <conditionalFormatting sqref="C2195">
    <cfRule type="expression" dxfId="0" priority="4654">
      <formula>C2196=0</formula>
    </cfRule>
  </conditionalFormatting>
  <conditionalFormatting sqref="C2196">
    <cfRule type="cellIs" dxfId="1" priority="4655" operator="equal">
      <formula>0</formula>
    </cfRule>
  </conditionalFormatting>
  <conditionalFormatting sqref="C2197">
    <cfRule type="cellIs" dxfId="1" priority="4656" operator="equal">
      <formula>0</formula>
    </cfRule>
  </conditionalFormatting>
  <conditionalFormatting sqref="C220">
    <cfRule type="cellIs" dxfId="1" priority="538" operator="equal">
      <formula>0</formula>
    </cfRule>
  </conditionalFormatting>
  <conditionalFormatting sqref="C2205">
    <cfRule type="expression" dxfId="0" priority="4657">
      <formula>C2206=0</formula>
    </cfRule>
  </conditionalFormatting>
  <conditionalFormatting sqref="C2206">
    <cfRule type="cellIs" dxfId="1" priority="4661" operator="equal">
      <formula>0</formula>
    </cfRule>
  </conditionalFormatting>
  <conditionalFormatting sqref="C2207">
    <cfRule type="cellIs" dxfId="1" priority="4665" operator="equal">
      <formula>0</formula>
    </cfRule>
  </conditionalFormatting>
  <conditionalFormatting sqref="C2209">
    <cfRule type="expression" dxfId="0" priority="4669">
      <formula>C2210=0</formula>
    </cfRule>
  </conditionalFormatting>
  <conditionalFormatting sqref="C221">
    <cfRule type="cellIs" dxfId="1" priority="543" operator="equal">
      <formula>0</formula>
    </cfRule>
  </conditionalFormatting>
  <conditionalFormatting sqref="C2210">
    <cfRule type="cellIs" dxfId="1" priority="4671" operator="equal">
      <formula>0</formula>
    </cfRule>
  </conditionalFormatting>
  <conditionalFormatting sqref="C2211">
    <cfRule type="cellIs" dxfId="1" priority="4673" operator="equal">
      <formula>0</formula>
    </cfRule>
  </conditionalFormatting>
  <conditionalFormatting sqref="C2213">
    <cfRule type="expression" dxfId="0" priority="4675">
      <formula>C2214=0</formula>
    </cfRule>
  </conditionalFormatting>
  <conditionalFormatting sqref="C2214">
    <cfRule type="cellIs" dxfId="1" priority="4677" operator="equal">
      <formula>0</formula>
    </cfRule>
  </conditionalFormatting>
  <conditionalFormatting sqref="C2215">
    <cfRule type="cellIs" dxfId="1" priority="4679" operator="equal">
      <formula>0</formula>
    </cfRule>
  </conditionalFormatting>
  <conditionalFormatting sqref="C2223">
    <cfRule type="expression" dxfId="0" priority="4681">
      <formula>C2224=0</formula>
    </cfRule>
  </conditionalFormatting>
  <conditionalFormatting sqref="C2224">
    <cfRule type="cellIs" dxfId="1" priority="4685" operator="equal">
      <formula>0</formula>
    </cfRule>
  </conditionalFormatting>
  <conditionalFormatting sqref="C2225">
    <cfRule type="cellIs" dxfId="1" priority="4689" operator="equal">
      <formula>0</formula>
    </cfRule>
  </conditionalFormatting>
  <conditionalFormatting sqref="C2226">
    <cfRule type="cellIs" dxfId="1" priority="4693" operator="equal">
      <formula>0</formula>
    </cfRule>
  </conditionalFormatting>
  <conditionalFormatting sqref="C2227">
    <cfRule type="cellIs" dxfId="1" priority="4697" operator="equal">
      <formula>0</formula>
    </cfRule>
  </conditionalFormatting>
  <conditionalFormatting sqref="C2228">
    <cfRule type="cellIs" dxfId="1" priority="4701" operator="equal">
      <formula>0</formula>
    </cfRule>
  </conditionalFormatting>
  <conditionalFormatting sqref="C223">
    <cfRule type="expression" dxfId="0" priority="549">
      <formula>C224=0</formula>
    </cfRule>
  </conditionalFormatting>
  <conditionalFormatting sqref="C2230">
    <cfRule type="expression" dxfId="0" priority="4705">
      <formula>C2231=0</formula>
    </cfRule>
  </conditionalFormatting>
  <conditionalFormatting sqref="C2231">
    <cfRule type="cellIs" dxfId="1" priority="4710" operator="equal">
      <formula>0</formula>
    </cfRule>
  </conditionalFormatting>
  <conditionalFormatting sqref="C2232">
    <cfRule type="cellIs" dxfId="1" priority="4715" operator="equal">
      <formula>0</formula>
    </cfRule>
  </conditionalFormatting>
  <conditionalFormatting sqref="C2237">
    <cfRule type="expression" dxfId="0" priority="4722">
      <formula>C2238=0</formula>
    </cfRule>
  </conditionalFormatting>
  <conditionalFormatting sqref="C2238">
    <cfRule type="cellIs" dxfId="1" priority="4723" operator="equal">
      <formula>0</formula>
    </cfRule>
  </conditionalFormatting>
  <conditionalFormatting sqref="C2239">
    <cfRule type="cellIs" dxfId="1" priority="4724" operator="equal">
      <formula>0</formula>
    </cfRule>
  </conditionalFormatting>
  <conditionalFormatting sqref="C224">
    <cfRule type="cellIs" dxfId="1" priority="555" operator="equal">
      <formula>0</formula>
    </cfRule>
  </conditionalFormatting>
  <conditionalFormatting sqref="C2240">
    <cfRule type="cellIs" dxfId="1" priority="4725" operator="equal">
      <formula>0</formula>
    </cfRule>
  </conditionalFormatting>
  <conditionalFormatting sqref="C2241">
    <cfRule type="cellIs" dxfId="1" priority="4726" operator="equal">
      <formula>0</formula>
    </cfRule>
  </conditionalFormatting>
  <conditionalFormatting sqref="C2242">
    <cfRule type="cellIs" dxfId="1" priority="4727" operator="equal">
      <formula>0</formula>
    </cfRule>
  </conditionalFormatting>
  <conditionalFormatting sqref="C225">
    <cfRule type="cellIs" dxfId="1" priority="561" operator="equal">
      <formula>0</formula>
    </cfRule>
  </conditionalFormatting>
  <conditionalFormatting sqref="C2250">
    <cfRule type="expression" dxfId="0" priority="4728">
      <formula>C2251=0</formula>
    </cfRule>
  </conditionalFormatting>
  <conditionalFormatting sqref="C2251">
    <cfRule type="cellIs" dxfId="1" priority="4734" operator="equal">
      <formula>0</formula>
    </cfRule>
  </conditionalFormatting>
  <conditionalFormatting sqref="C2252">
    <cfRule type="cellIs" dxfId="1" priority="4740" operator="equal">
      <formula>0</formula>
    </cfRule>
  </conditionalFormatting>
  <conditionalFormatting sqref="C2253">
    <cfRule type="cellIs" dxfId="1" priority="4746" operator="equal">
      <formula>0</formula>
    </cfRule>
  </conditionalFormatting>
  <conditionalFormatting sqref="C2255">
    <cfRule type="expression" dxfId="0" priority="4749">
      <formula>C2256=0</formula>
    </cfRule>
  </conditionalFormatting>
  <conditionalFormatting sqref="C2256">
    <cfRule type="cellIs" dxfId="1" priority="4751" operator="equal">
      <formula>0</formula>
    </cfRule>
  </conditionalFormatting>
  <conditionalFormatting sqref="C2257">
    <cfRule type="cellIs" dxfId="1" priority="4753" operator="equal">
      <formula>0</formula>
    </cfRule>
  </conditionalFormatting>
  <conditionalFormatting sqref="C2260">
    <cfRule type="expression" dxfId="0" priority="4756">
      <formula>C2261=0</formula>
    </cfRule>
  </conditionalFormatting>
  <conditionalFormatting sqref="C2261">
    <cfRule type="cellIs" dxfId="1" priority="4757" operator="equal">
      <formula>0</formula>
    </cfRule>
  </conditionalFormatting>
  <conditionalFormatting sqref="C2262">
    <cfRule type="cellIs" dxfId="1" priority="4758" operator="equal">
      <formula>0</formula>
    </cfRule>
  </conditionalFormatting>
  <conditionalFormatting sqref="C2263">
    <cfRule type="cellIs" dxfId="1" priority="4759" operator="equal">
      <formula>0</formula>
    </cfRule>
  </conditionalFormatting>
  <conditionalFormatting sqref="C227">
    <cfRule type="cellIs" dxfId="1" priority="565" operator="equal">
      <formula>0</formula>
    </cfRule>
  </conditionalFormatting>
  <conditionalFormatting sqref="C2271">
    <cfRule type="expression" dxfId="0" priority="4760">
      <formula>C2272=0</formula>
    </cfRule>
  </conditionalFormatting>
  <conditionalFormatting sqref="C2272">
    <cfRule type="cellIs" dxfId="1" priority="4766" operator="equal">
      <formula>0</formula>
    </cfRule>
  </conditionalFormatting>
  <conditionalFormatting sqref="C2273">
    <cfRule type="cellIs" dxfId="1" priority="4772" operator="equal">
      <formula>0</formula>
    </cfRule>
  </conditionalFormatting>
  <conditionalFormatting sqref="C2274">
    <cfRule type="cellIs" dxfId="1" priority="4776" operator="equal">
      <formula>0</formula>
    </cfRule>
  </conditionalFormatting>
  <conditionalFormatting sqref="C2275">
    <cfRule type="cellIs" dxfId="1" priority="4781" operator="equal">
      <formula>0</formula>
    </cfRule>
  </conditionalFormatting>
  <conditionalFormatting sqref="C2276">
    <cfRule type="cellIs" dxfId="1" priority="4786" operator="equal">
      <formula>0</formula>
    </cfRule>
  </conditionalFormatting>
  <conditionalFormatting sqref="C2277">
    <cfRule type="cellIs" dxfId="1" priority="4790" operator="equal">
      <formula>0</formula>
    </cfRule>
  </conditionalFormatting>
  <conditionalFormatting sqref="C2278">
    <cfRule type="cellIs" dxfId="1" priority="4794" operator="equal">
      <formula>0</formula>
    </cfRule>
  </conditionalFormatting>
  <conditionalFormatting sqref="C2280">
    <cfRule type="cellIs" dxfId="1" priority="4801" operator="equal">
      <formula>0</formula>
    </cfRule>
  </conditionalFormatting>
  <conditionalFormatting sqref="C2281">
    <cfRule type="cellIs" dxfId="1" priority="4805" operator="equal">
      <formula>0</formula>
    </cfRule>
  </conditionalFormatting>
  <conditionalFormatting sqref="C2282">
    <cfRule type="cellIs" dxfId="1" priority="4809" operator="equal">
      <formula>0</formula>
    </cfRule>
  </conditionalFormatting>
  <conditionalFormatting sqref="C2283">
    <cfRule type="cellIs" dxfId="1" priority="4813" operator="equal">
      <formula>0</formula>
    </cfRule>
  </conditionalFormatting>
  <conditionalFormatting sqref="C2284">
    <cfRule type="cellIs" dxfId="1" priority="4817" operator="equal">
      <formula>0</formula>
    </cfRule>
  </conditionalFormatting>
  <conditionalFormatting sqref="C2285">
    <cfRule type="cellIs" dxfId="1" priority="4821" operator="equal">
      <formula>0</formula>
    </cfRule>
  </conditionalFormatting>
  <conditionalFormatting sqref="C2286">
    <cfRule type="cellIs" dxfId="1" priority="4825" operator="equal">
      <formula>0</formula>
    </cfRule>
  </conditionalFormatting>
  <conditionalFormatting sqref="C2287">
    <cfRule type="cellIs" dxfId="1" priority="4829" operator="equal">
      <formula>0</formula>
    </cfRule>
  </conditionalFormatting>
  <conditionalFormatting sqref="C2288">
    <cfRule type="cellIs" dxfId="1" priority="4834" operator="equal">
      <formula>0</formula>
    </cfRule>
  </conditionalFormatting>
  <conditionalFormatting sqref="C229">
    <cfRule type="cellIs" dxfId="1" priority="568" operator="equal">
      <formula>0</formula>
    </cfRule>
  </conditionalFormatting>
  <conditionalFormatting sqref="C2290">
    <cfRule type="expression" dxfId="0" priority="4839">
      <formula>C2291=0</formula>
    </cfRule>
  </conditionalFormatting>
  <conditionalFormatting sqref="C2291">
    <cfRule type="cellIs" dxfId="1" priority="4847" operator="equal">
      <formula>0</formula>
    </cfRule>
  </conditionalFormatting>
  <conditionalFormatting sqref="C2292">
    <cfRule type="cellIs" dxfId="1" priority="4855" operator="equal">
      <formula>0</formula>
    </cfRule>
  </conditionalFormatting>
  <conditionalFormatting sqref="C2293">
    <cfRule type="cellIs" dxfId="1" priority="4857" operator="equal">
      <formula>0</formula>
    </cfRule>
  </conditionalFormatting>
  <conditionalFormatting sqref="C2294">
    <cfRule type="cellIs" dxfId="1" priority="4859" operator="equal">
      <formula>0</formula>
    </cfRule>
  </conditionalFormatting>
  <conditionalFormatting sqref="C2295">
    <cfRule type="cellIs" dxfId="1" priority="4861" operator="equal">
      <formula>0</formula>
    </cfRule>
  </conditionalFormatting>
  <conditionalFormatting sqref="C2296">
    <cfRule type="cellIs" dxfId="1" priority="4863" operator="equal">
      <formula>0</formula>
    </cfRule>
  </conditionalFormatting>
  <conditionalFormatting sqref="C2297">
    <cfRule type="cellIs" dxfId="1" priority="4865" operator="equal">
      <formula>0</formula>
    </cfRule>
  </conditionalFormatting>
  <conditionalFormatting sqref="C2298">
    <cfRule type="cellIs" dxfId="1" priority="4867" operator="equal">
      <formula>0</formula>
    </cfRule>
  </conditionalFormatting>
  <conditionalFormatting sqref="C2299">
    <cfRule type="cellIs" dxfId="1" priority="4869" operator="equal">
      <formula>0</formula>
    </cfRule>
  </conditionalFormatting>
  <conditionalFormatting sqref="C2300">
    <cfRule type="cellIs" dxfId="1" priority="4871" operator="equal">
      <formula>0</formula>
    </cfRule>
  </conditionalFormatting>
  <conditionalFormatting sqref="C2301">
    <cfRule type="cellIs" dxfId="1" priority="4873" operator="equal">
      <formula>0</formula>
    </cfRule>
  </conditionalFormatting>
  <conditionalFormatting sqref="C2302">
    <cfRule type="cellIs" dxfId="1" priority="4875" operator="equal">
      <formula>0</formula>
    </cfRule>
  </conditionalFormatting>
  <conditionalFormatting sqref="C2303">
    <cfRule type="cellIs" dxfId="1" priority="4877" operator="equal">
      <formula>0</formula>
    </cfRule>
  </conditionalFormatting>
  <conditionalFormatting sqref="C2304">
    <cfRule type="cellIs" dxfId="1" priority="4879" operator="equal">
      <formula>0</formula>
    </cfRule>
  </conditionalFormatting>
  <conditionalFormatting sqref="C2305">
    <cfRule type="cellIs" dxfId="1" priority="4881" operator="equal">
      <formula>0</formula>
    </cfRule>
  </conditionalFormatting>
  <conditionalFormatting sqref="C2306">
    <cfRule type="cellIs" dxfId="1" priority="4883" operator="equal">
      <formula>0</formula>
    </cfRule>
  </conditionalFormatting>
  <conditionalFormatting sqref="C2307">
    <cfRule type="cellIs" dxfId="1" priority="4885" operator="equal">
      <formula>0</formula>
    </cfRule>
  </conditionalFormatting>
  <conditionalFormatting sqref="C2309">
    <cfRule type="expression" dxfId="0" priority="4887">
      <formula>C2310=0</formula>
    </cfRule>
  </conditionalFormatting>
  <conditionalFormatting sqref="C2310">
    <cfRule type="cellIs" dxfId="1" priority="4889" operator="equal">
      <formula>0</formula>
    </cfRule>
  </conditionalFormatting>
  <conditionalFormatting sqref="C2311">
    <cfRule type="cellIs" dxfId="1" priority="4891" operator="equal">
      <formula>0</formula>
    </cfRule>
  </conditionalFormatting>
  <conditionalFormatting sqref="C2312">
    <cfRule type="cellIs" dxfId="1" priority="4892" operator="equal">
      <formula>0</formula>
    </cfRule>
  </conditionalFormatting>
  <conditionalFormatting sqref="C2313">
    <cfRule type="cellIs" dxfId="1" priority="4893" operator="equal">
      <formula>0</formula>
    </cfRule>
  </conditionalFormatting>
  <conditionalFormatting sqref="C2314">
    <cfRule type="cellIs" dxfId="1" priority="4894" operator="equal">
      <formula>0</formula>
    </cfRule>
  </conditionalFormatting>
  <conditionalFormatting sqref="C2315">
    <cfRule type="cellIs" dxfId="1" priority="4895" operator="equal">
      <formula>0</formula>
    </cfRule>
  </conditionalFormatting>
  <conditionalFormatting sqref="C2316">
    <cfRule type="cellIs" dxfId="1" priority="4896" operator="equal">
      <formula>0</formula>
    </cfRule>
  </conditionalFormatting>
  <conditionalFormatting sqref="C2317">
    <cfRule type="cellIs" dxfId="1" priority="4897" operator="equal">
      <formula>0</formula>
    </cfRule>
  </conditionalFormatting>
  <conditionalFormatting sqref="C2318">
    <cfRule type="cellIs" dxfId="1" priority="4898" operator="equal">
      <formula>0</formula>
    </cfRule>
  </conditionalFormatting>
  <conditionalFormatting sqref="C2319">
    <cfRule type="cellIs" dxfId="1" priority="4899" operator="equal">
      <formula>0</formula>
    </cfRule>
  </conditionalFormatting>
  <conditionalFormatting sqref="C2320">
    <cfRule type="cellIs" dxfId="1" priority="4901" operator="equal">
      <formula>0</formula>
    </cfRule>
  </conditionalFormatting>
  <conditionalFormatting sqref="C2321">
    <cfRule type="cellIs" dxfId="1" priority="4902" operator="equal">
      <formula>0</formula>
    </cfRule>
  </conditionalFormatting>
  <conditionalFormatting sqref="C2322">
    <cfRule type="cellIs" dxfId="1" priority="4903" operator="equal">
      <formula>0</formula>
    </cfRule>
  </conditionalFormatting>
  <conditionalFormatting sqref="C2323">
    <cfRule type="cellIs" dxfId="1" priority="4905" operator="equal">
      <formula>0</formula>
    </cfRule>
  </conditionalFormatting>
  <conditionalFormatting sqref="C2324">
    <cfRule type="cellIs" dxfId="1" priority="4907" operator="equal">
      <formula>0</formula>
    </cfRule>
  </conditionalFormatting>
  <conditionalFormatting sqref="C2326">
    <cfRule type="cellIs" dxfId="1" priority="4909" operator="equal">
      <formula>0</formula>
    </cfRule>
  </conditionalFormatting>
  <conditionalFormatting sqref="C2334">
    <cfRule type="expression" dxfId="0" priority="4910">
      <formula>C2335=0</formula>
    </cfRule>
  </conditionalFormatting>
  <conditionalFormatting sqref="C2335">
    <cfRule type="cellIs" dxfId="1" priority="4920" operator="equal">
      <formula>0</formula>
    </cfRule>
  </conditionalFormatting>
  <conditionalFormatting sqref="C2336">
    <cfRule type="cellIs" dxfId="1" priority="4930" operator="equal">
      <formula>0</formula>
    </cfRule>
  </conditionalFormatting>
  <conditionalFormatting sqref="C2337">
    <cfRule type="cellIs" dxfId="1" priority="4934" operator="equal">
      <formula>0</formula>
    </cfRule>
  </conditionalFormatting>
  <conditionalFormatting sqref="C2338">
    <cfRule type="cellIs" dxfId="1" priority="4939" operator="equal">
      <formula>0</formula>
    </cfRule>
  </conditionalFormatting>
  <conditionalFormatting sqref="C2339">
    <cfRule type="cellIs" dxfId="1" priority="4944" operator="equal">
      <formula>0</formula>
    </cfRule>
  </conditionalFormatting>
  <conditionalFormatting sqref="C2340">
    <cfRule type="cellIs" dxfId="1" priority="4948" operator="equal">
      <formula>0</formula>
    </cfRule>
  </conditionalFormatting>
  <conditionalFormatting sqref="C2341">
    <cfRule type="cellIs" dxfId="1" priority="4951" operator="equal">
      <formula>0</formula>
    </cfRule>
  </conditionalFormatting>
  <conditionalFormatting sqref="C2342">
    <cfRule type="cellIs" dxfId="1" priority="4956" operator="equal">
      <formula>0</formula>
    </cfRule>
  </conditionalFormatting>
  <conditionalFormatting sqref="C2343">
    <cfRule type="cellIs" dxfId="1" priority="4961" operator="equal">
      <formula>0</formula>
    </cfRule>
  </conditionalFormatting>
  <conditionalFormatting sqref="C2344">
    <cfRule type="cellIs" dxfId="1" priority="4965" operator="equal">
      <formula>0</formula>
    </cfRule>
  </conditionalFormatting>
  <conditionalFormatting sqref="C2345">
    <cfRule type="cellIs" dxfId="1" priority="4970" operator="equal">
      <formula>0</formula>
    </cfRule>
  </conditionalFormatting>
  <conditionalFormatting sqref="C2346">
    <cfRule type="cellIs" dxfId="1" priority="4975" operator="equal">
      <formula>0</formula>
    </cfRule>
  </conditionalFormatting>
  <conditionalFormatting sqref="C2347">
    <cfRule type="cellIs" dxfId="1" priority="4980" operator="equal">
      <formula>0</formula>
    </cfRule>
  </conditionalFormatting>
  <conditionalFormatting sqref="C2348">
    <cfRule type="cellIs" dxfId="1" priority="4986" operator="equal">
      <formula>0</formula>
    </cfRule>
  </conditionalFormatting>
  <conditionalFormatting sqref="C2349">
    <cfRule type="cellIs" dxfId="1" priority="4990" operator="equal">
      <formula>0</formula>
    </cfRule>
  </conditionalFormatting>
  <conditionalFormatting sqref="C2351">
    <cfRule type="expression" dxfId="0" priority="4996">
      <formula>C2352=0</formula>
    </cfRule>
  </conditionalFormatting>
  <conditionalFormatting sqref="C2352">
    <cfRule type="cellIs" dxfId="1" priority="5002" operator="equal">
      <formula>0</formula>
    </cfRule>
  </conditionalFormatting>
  <conditionalFormatting sqref="C2353">
    <cfRule type="cellIs" dxfId="1" priority="5008" operator="equal">
      <formula>0</formula>
    </cfRule>
  </conditionalFormatting>
  <conditionalFormatting sqref="C2355">
    <cfRule type="cellIs" dxfId="1" priority="5012" operator="equal">
      <formula>0</formula>
    </cfRule>
  </conditionalFormatting>
  <conditionalFormatting sqref="C2358">
    <cfRule type="cellIs" dxfId="1" priority="5017" operator="equal">
      <formula>0</formula>
    </cfRule>
  </conditionalFormatting>
  <conditionalFormatting sqref="C236">
    <cfRule type="cellIs" dxfId="1" priority="578" operator="equal">
      <formula>0</formula>
    </cfRule>
  </conditionalFormatting>
  <conditionalFormatting sqref="C2368">
    <cfRule type="expression" dxfId="0" priority="5033">
      <formula>C2369=0</formula>
    </cfRule>
  </conditionalFormatting>
  <conditionalFormatting sqref="C2369">
    <cfRule type="cellIs" dxfId="1" priority="5037" operator="equal">
      <formula>0</formula>
    </cfRule>
  </conditionalFormatting>
  <conditionalFormatting sqref="C2370">
    <cfRule type="cellIs" dxfId="1" priority="5041" operator="equal">
      <formula>0</formula>
    </cfRule>
  </conditionalFormatting>
  <conditionalFormatting sqref="C2371">
    <cfRule type="cellIs" dxfId="1" priority="5042" operator="equal">
      <formula>0</formula>
    </cfRule>
  </conditionalFormatting>
  <conditionalFormatting sqref="C2373">
    <cfRule type="cellIs" dxfId="1" priority="5044" operator="equal">
      <formula>0</formula>
    </cfRule>
  </conditionalFormatting>
  <conditionalFormatting sqref="C2374">
    <cfRule type="cellIs" dxfId="1" priority="5045" operator="equal">
      <formula>0</formula>
    </cfRule>
  </conditionalFormatting>
  <conditionalFormatting sqref="C2375">
    <cfRule type="cellIs" dxfId="1" priority="5046" operator="equal">
      <formula>0</formula>
    </cfRule>
  </conditionalFormatting>
  <conditionalFormatting sqref="C2376">
    <cfRule type="cellIs" dxfId="1" priority="5047" operator="equal">
      <formula>0</formula>
    </cfRule>
  </conditionalFormatting>
  <conditionalFormatting sqref="C2377">
    <cfRule type="cellIs" dxfId="1" priority="5049" operator="equal">
      <formula>0</formula>
    </cfRule>
  </conditionalFormatting>
  <conditionalFormatting sqref="C2378">
    <cfRule type="cellIs" dxfId="1" priority="5050" operator="equal">
      <formula>0</formula>
    </cfRule>
  </conditionalFormatting>
  <conditionalFormatting sqref="C2379">
    <cfRule type="cellIs" dxfId="1" priority="5051" operator="equal">
      <formula>0</formula>
    </cfRule>
  </conditionalFormatting>
  <conditionalFormatting sqref="C2380">
    <cfRule type="cellIs" dxfId="1" priority="5053" operator="equal">
      <formula>0</formula>
    </cfRule>
  </conditionalFormatting>
  <conditionalFormatting sqref="C2381">
    <cfRule type="cellIs" dxfId="1" priority="5054" operator="equal">
      <formula>0</formula>
    </cfRule>
  </conditionalFormatting>
  <conditionalFormatting sqref="C2382">
    <cfRule type="cellIs" dxfId="1" priority="5055" operator="equal">
      <formula>0</formula>
    </cfRule>
  </conditionalFormatting>
  <conditionalFormatting sqref="C2383">
    <cfRule type="cellIs" dxfId="1" priority="5056" operator="equal">
      <formula>0</formula>
    </cfRule>
  </conditionalFormatting>
  <conditionalFormatting sqref="C2391">
    <cfRule type="expression" dxfId="0" priority="5058">
      <formula>C2392=0</formula>
    </cfRule>
  </conditionalFormatting>
  <conditionalFormatting sqref="C2392">
    <cfRule type="cellIs" dxfId="1" priority="5068" operator="equal">
      <formula>0</formula>
    </cfRule>
  </conditionalFormatting>
  <conditionalFormatting sqref="C2393">
    <cfRule type="cellIs" dxfId="1" priority="5078" operator="equal">
      <formula>0</formula>
    </cfRule>
  </conditionalFormatting>
  <conditionalFormatting sqref="C2394">
    <cfRule type="cellIs" dxfId="1" priority="5080" operator="equal">
      <formula>0</formula>
    </cfRule>
  </conditionalFormatting>
  <conditionalFormatting sqref="C2395">
    <cfRule type="cellIs" dxfId="1" priority="5084" operator="equal">
      <formula>0</formula>
    </cfRule>
  </conditionalFormatting>
  <conditionalFormatting sqref="C2396">
    <cfRule type="cellIs" dxfId="1" priority="5088" operator="equal">
      <formula>0</formula>
    </cfRule>
  </conditionalFormatting>
  <conditionalFormatting sqref="C2397">
    <cfRule type="cellIs" dxfId="1" priority="5091" operator="equal">
      <formula>0</formula>
    </cfRule>
  </conditionalFormatting>
  <conditionalFormatting sqref="C2398">
    <cfRule type="cellIs" dxfId="1" priority="5096" operator="equal">
      <formula>0</formula>
    </cfRule>
  </conditionalFormatting>
  <conditionalFormatting sqref="C2399">
    <cfRule type="cellIs" dxfId="1" priority="5100" operator="equal">
      <formula>0</formula>
    </cfRule>
  </conditionalFormatting>
  <conditionalFormatting sqref="C240">
    <cfRule type="cellIs" dxfId="1" priority="585" operator="equal">
      <formula>0</formula>
    </cfRule>
  </conditionalFormatting>
  <conditionalFormatting sqref="C2400">
    <cfRule type="cellIs" dxfId="1" priority="5105" operator="equal">
      <formula>0</formula>
    </cfRule>
  </conditionalFormatting>
  <conditionalFormatting sqref="C2401">
    <cfRule type="cellIs" dxfId="1" priority="5108" operator="equal">
      <formula>0</formula>
    </cfRule>
  </conditionalFormatting>
  <conditionalFormatting sqref="C2402">
    <cfRule type="cellIs" dxfId="1" priority="5113" operator="equal">
      <formula>0</formula>
    </cfRule>
  </conditionalFormatting>
  <conditionalFormatting sqref="C2404">
    <cfRule type="expression" dxfId="0" priority="5116">
      <formula>C2405=0</formula>
    </cfRule>
  </conditionalFormatting>
  <conditionalFormatting sqref="C2405">
    <cfRule type="cellIs" dxfId="1" priority="5122" operator="equal">
      <formula>0</formula>
    </cfRule>
  </conditionalFormatting>
  <conditionalFormatting sqref="C2407">
    <cfRule type="cellIs" dxfId="1" priority="5128" operator="equal">
      <formula>0</formula>
    </cfRule>
  </conditionalFormatting>
  <conditionalFormatting sqref="C2409">
    <cfRule type="cellIs" dxfId="1" priority="5131" operator="equal">
      <formula>0</formula>
    </cfRule>
  </conditionalFormatting>
  <conditionalFormatting sqref="C2410">
    <cfRule type="cellIs" dxfId="1" priority="5132" operator="equal">
      <formula>0</formula>
    </cfRule>
  </conditionalFormatting>
  <conditionalFormatting sqref="C2411">
    <cfRule type="cellIs" dxfId="1" priority="5134" operator="equal">
      <formula>0</formula>
    </cfRule>
  </conditionalFormatting>
  <conditionalFormatting sqref="C2412">
    <cfRule type="cellIs" dxfId="1" priority="5136" operator="equal">
      <formula>0</formula>
    </cfRule>
  </conditionalFormatting>
  <conditionalFormatting sqref="C2415">
    <cfRule type="cellIs" dxfId="1" priority="5141" operator="equal">
      <formula>0</formula>
    </cfRule>
  </conditionalFormatting>
  <conditionalFormatting sqref="C2417">
    <cfRule type="expression" dxfId="0" priority="5143">
      <formula>C2418=0</formula>
    </cfRule>
  </conditionalFormatting>
  <conditionalFormatting sqref="C2418">
    <cfRule type="cellIs" dxfId="1" priority="5146" operator="equal">
      <formula>0</formula>
    </cfRule>
  </conditionalFormatting>
  <conditionalFormatting sqref="C2419">
    <cfRule type="cellIs" dxfId="1" priority="5149" operator="equal">
      <formula>0</formula>
    </cfRule>
  </conditionalFormatting>
  <conditionalFormatting sqref="C242">
    <cfRule type="expression" dxfId="0" priority="586">
      <formula>C243=0</formula>
    </cfRule>
  </conditionalFormatting>
  <conditionalFormatting sqref="C2420">
    <cfRule type="cellIs" dxfId="1" priority="5150" operator="equal">
      <formula>0</formula>
    </cfRule>
  </conditionalFormatting>
  <conditionalFormatting sqref="C2422">
    <cfRule type="cellIs" dxfId="1" priority="5152" operator="equal">
      <formula>0</formula>
    </cfRule>
  </conditionalFormatting>
  <conditionalFormatting sqref="C2423">
    <cfRule type="cellIs" dxfId="1" priority="5154" operator="equal">
      <formula>0</formula>
    </cfRule>
  </conditionalFormatting>
  <conditionalFormatting sqref="C2425">
    <cfRule type="cellIs" dxfId="1" priority="5157" operator="equal">
      <formula>0</formula>
    </cfRule>
  </conditionalFormatting>
  <conditionalFormatting sqref="C2426">
    <cfRule type="cellIs" dxfId="1" priority="5159" operator="equal">
      <formula>0</formula>
    </cfRule>
  </conditionalFormatting>
  <conditionalFormatting sqref="C2427">
    <cfRule type="cellIs" dxfId="1" priority="5161" operator="equal">
      <formula>0</formula>
    </cfRule>
  </conditionalFormatting>
  <conditionalFormatting sqref="C2428">
    <cfRule type="cellIs" dxfId="1" priority="5163" operator="equal">
      <formula>0</formula>
    </cfRule>
  </conditionalFormatting>
  <conditionalFormatting sqref="C243">
    <cfRule type="cellIs" dxfId="1" priority="589" operator="equal">
      <formula>0</formula>
    </cfRule>
  </conditionalFormatting>
  <conditionalFormatting sqref="C2436">
    <cfRule type="expression" dxfId="0" priority="5164">
      <formula>C2437=0</formula>
    </cfRule>
  </conditionalFormatting>
  <conditionalFormatting sqref="C2437">
    <cfRule type="cellIs" dxfId="1" priority="5169" operator="equal">
      <formula>0</formula>
    </cfRule>
  </conditionalFormatting>
  <conditionalFormatting sqref="C2438">
    <cfRule type="cellIs" dxfId="1" priority="5174" operator="equal">
      <formula>0</formula>
    </cfRule>
  </conditionalFormatting>
  <conditionalFormatting sqref="C2439">
    <cfRule type="cellIs" dxfId="1" priority="5179" operator="equal">
      <formula>0</formula>
    </cfRule>
  </conditionalFormatting>
  <conditionalFormatting sqref="C244">
    <cfRule type="cellIs" dxfId="1" priority="592" operator="equal">
      <formula>0</formula>
    </cfRule>
  </conditionalFormatting>
  <conditionalFormatting sqref="C2440">
    <cfRule type="cellIs" dxfId="1" priority="5183" operator="equal">
      <formula>0</formula>
    </cfRule>
  </conditionalFormatting>
  <conditionalFormatting sqref="C2441">
    <cfRule type="cellIs" dxfId="1" priority="5188" operator="equal">
      <formula>0</formula>
    </cfRule>
  </conditionalFormatting>
  <conditionalFormatting sqref="C2443">
    <cfRule type="expression" dxfId="0" priority="5192">
      <formula>C2444=0</formula>
    </cfRule>
  </conditionalFormatting>
  <conditionalFormatting sqref="C2444">
    <cfRule type="cellIs" dxfId="1" priority="5195" operator="equal">
      <formula>0</formula>
    </cfRule>
  </conditionalFormatting>
  <conditionalFormatting sqref="C2445">
    <cfRule type="cellIs" dxfId="1" priority="5198" operator="equal">
      <formula>0</formula>
    </cfRule>
  </conditionalFormatting>
  <conditionalFormatting sqref="C245">
    <cfRule type="cellIs" dxfId="1" priority="594" operator="equal">
      <formula>0</formula>
    </cfRule>
  </conditionalFormatting>
  <conditionalFormatting sqref="C2450">
    <cfRule type="expression" dxfId="0" priority="5204">
      <formula>C2451=0</formula>
    </cfRule>
  </conditionalFormatting>
  <conditionalFormatting sqref="C2451">
    <cfRule type="cellIs" dxfId="1" priority="5207" operator="equal">
      <formula>0</formula>
    </cfRule>
  </conditionalFormatting>
  <conditionalFormatting sqref="C2452">
    <cfRule type="cellIs" dxfId="1" priority="5210" operator="equal">
      <formula>0</formula>
    </cfRule>
  </conditionalFormatting>
  <conditionalFormatting sqref="C2453">
    <cfRule type="cellIs" dxfId="1" priority="5212" operator="equal">
      <formula>0</formula>
    </cfRule>
  </conditionalFormatting>
  <conditionalFormatting sqref="C2454">
    <cfRule type="cellIs" dxfId="1" priority="5213" operator="equal">
      <formula>0</formula>
    </cfRule>
  </conditionalFormatting>
  <conditionalFormatting sqref="C2455">
    <cfRule type="cellIs" dxfId="1" priority="5214" operator="equal">
      <formula>0</formula>
    </cfRule>
  </conditionalFormatting>
  <conditionalFormatting sqref="C246">
    <cfRule type="cellIs" dxfId="1" priority="595" operator="equal">
      <formula>0</formula>
    </cfRule>
  </conditionalFormatting>
  <conditionalFormatting sqref="C2463">
    <cfRule type="expression" dxfId="0" priority="5216">
      <formula>C2464=0</formula>
    </cfRule>
  </conditionalFormatting>
  <conditionalFormatting sqref="C2464">
    <cfRule type="cellIs" dxfId="1" priority="5221" operator="equal">
      <formula>0</formula>
    </cfRule>
  </conditionalFormatting>
  <conditionalFormatting sqref="C2465">
    <cfRule type="cellIs" dxfId="1" priority="5226" operator="equal">
      <formula>0</formula>
    </cfRule>
  </conditionalFormatting>
  <conditionalFormatting sqref="C2466">
    <cfRule type="cellIs" dxfId="1" priority="5230" operator="equal">
      <formula>0</formula>
    </cfRule>
  </conditionalFormatting>
  <conditionalFormatting sqref="C2467">
    <cfRule type="cellIs" dxfId="1" priority="5234" operator="equal">
      <formula>0</formula>
    </cfRule>
  </conditionalFormatting>
  <conditionalFormatting sqref="C2468">
    <cfRule type="cellIs" dxfId="1" priority="5238" operator="equal">
      <formula>0</formula>
    </cfRule>
  </conditionalFormatting>
  <conditionalFormatting sqref="C2469">
    <cfRule type="cellIs" dxfId="1" priority="5242" operator="equal">
      <formula>0</formula>
    </cfRule>
  </conditionalFormatting>
  <conditionalFormatting sqref="C247">
    <cfRule type="cellIs" dxfId="1" priority="597" operator="equal">
      <formula>0</formula>
    </cfRule>
  </conditionalFormatting>
  <conditionalFormatting sqref="C2470">
    <cfRule type="cellIs" dxfId="1" priority="5246" operator="equal">
      <formula>0</formula>
    </cfRule>
  </conditionalFormatting>
  <conditionalFormatting sqref="C2471">
    <cfRule type="cellIs" dxfId="1" priority="5250" operator="equal">
      <formula>0</formula>
    </cfRule>
  </conditionalFormatting>
  <conditionalFormatting sqref="C2472">
    <cfRule type="cellIs" dxfId="1" priority="5254" operator="equal">
      <formula>0</formula>
    </cfRule>
  </conditionalFormatting>
  <conditionalFormatting sqref="C2473">
    <cfRule type="cellIs" dxfId="1" priority="5257" operator="equal">
      <formula>0</formula>
    </cfRule>
  </conditionalFormatting>
  <conditionalFormatting sqref="C2474">
    <cfRule type="cellIs" dxfId="1" priority="5261" operator="equal">
      <formula>0</formula>
    </cfRule>
  </conditionalFormatting>
  <conditionalFormatting sqref="C2475">
    <cfRule type="cellIs" dxfId="1" priority="5265" operator="equal">
      <formula>0</formula>
    </cfRule>
  </conditionalFormatting>
  <conditionalFormatting sqref="C2477">
    <cfRule type="expression" dxfId="0" priority="5270">
      <formula>C2478=0</formula>
    </cfRule>
  </conditionalFormatting>
  <conditionalFormatting sqref="C2478">
    <cfRule type="cellIs" dxfId="1" priority="5272" operator="equal">
      <formula>0</formula>
    </cfRule>
  </conditionalFormatting>
  <conditionalFormatting sqref="C2479">
    <cfRule type="cellIs" dxfId="1" priority="5274" operator="equal">
      <formula>0</formula>
    </cfRule>
  </conditionalFormatting>
  <conditionalFormatting sqref="C248">
    <cfRule type="cellIs" dxfId="1" priority="598" operator="equal">
      <formula>0</formula>
    </cfRule>
  </conditionalFormatting>
  <conditionalFormatting sqref="C2480">
    <cfRule type="cellIs" dxfId="1" priority="5276" operator="equal">
      <formula>0</formula>
    </cfRule>
  </conditionalFormatting>
  <conditionalFormatting sqref="C2481">
    <cfRule type="cellIs" dxfId="1" priority="5278" operator="equal">
      <formula>0</formula>
    </cfRule>
  </conditionalFormatting>
  <conditionalFormatting sqref="C2482">
    <cfRule type="cellIs" dxfId="1" priority="5280" operator="equal">
      <formula>0</formula>
    </cfRule>
  </conditionalFormatting>
  <conditionalFormatting sqref="C2483">
    <cfRule type="cellIs" dxfId="1" priority="5282" operator="equal">
      <formula>0</formula>
    </cfRule>
  </conditionalFormatting>
  <conditionalFormatting sqref="C2484">
    <cfRule type="cellIs" dxfId="1" priority="5284" operator="equal">
      <formula>0</formula>
    </cfRule>
  </conditionalFormatting>
  <conditionalFormatting sqref="C2485">
    <cfRule type="cellIs" dxfId="1" priority="5286" operator="equal">
      <formula>0</formula>
    </cfRule>
  </conditionalFormatting>
  <conditionalFormatting sqref="C2486">
    <cfRule type="cellIs" dxfId="1" priority="5288" operator="equal">
      <formula>0</formula>
    </cfRule>
  </conditionalFormatting>
  <conditionalFormatting sqref="C2487">
    <cfRule type="cellIs" dxfId="1" priority="5290" operator="equal">
      <formula>0</formula>
    </cfRule>
  </conditionalFormatting>
  <conditionalFormatting sqref="C2488">
    <cfRule type="cellIs" dxfId="1" priority="5292" operator="equal">
      <formula>0</formula>
    </cfRule>
  </conditionalFormatting>
  <conditionalFormatting sqref="C2489">
    <cfRule type="cellIs" dxfId="1" priority="5294" operator="equal">
      <formula>0</formula>
    </cfRule>
  </conditionalFormatting>
  <conditionalFormatting sqref="C249">
    <cfRule type="cellIs" dxfId="1" priority="599" operator="equal">
      <formula>0</formula>
    </cfRule>
  </conditionalFormatting>
  <conditionalFormatting sqref="C2491">
    <cfRule type="expression" dxfId="0" priority="5296">
      <formula>C2492=0</formula>
    </cfRule>
  </conditionalFormatting>
  <conditionalFormatting sqref="C2492">
    <cfRule type="cellIs" dxfId="1" priority="5298" operator="equal">
      <formula>0</formula>
    </cfRule>
  </conditionalFormatting>
  <conditionalFormatting sqref="C2493">
    <cfRule type="cellIs" dxfId="1" priority="5300" operator="equal">
      <formula>0</formula>
    </cfRule>
  </conditionalFormatting>
  <conditionalFormatting sqref="C2494">
    <cfRule type="cellIs" dxfId="1" priority="5301" operator="equal">
      <formula>0</formula>
    </cfRule>
  </conditionalFormatting>
  <conditionalFormatting sqref="C2495">
    <cfRule type="cellIs" dxfId="1" priority="5303" operator="equal">
      <formula>0</formula>
    </cfRule>
  </conditionalFormatting>
  <conditionalFormatting sqref="C2496">
    <cfRule type="cellIs" dxfId="1" priority="5305" operator="equal">
      <formula>0</formula>
    </cfRule>
  </conditionalFormatting>
  <conditionalFormatting sqref="C2497">
    <cfRule type="cellIs" dxfId="1" priority="5307" operator="equal">
      <formula>0</formula>
    </cfRule>
  </conditionalFormatting>
  <conditionalFormatting sqref="C2498">
    <cfRule type="cellIs" dxfId="1" priority="5308" operator="equal">
      <formula>0</formula>
    </cfRule>
  </conditionalFormatting>
  <conditionalFormatting sqref="C2499">
    <cfRule type="cellIs" dxfId="1" priority="5309" operator="equal">
      <formula>0</formula>
    </cfRule>
  </conditionalFormatting>
  <conditionalFormatting sqref="C250">
    <cfRule type="cellIs" dxfId="1" priority="600" operator="equal">
      <formula>0</formula>
    </cfRule>
  </conditionalFormatting>
  <conditionalFormatting sqref="C2500">
    <cfRule type="cellIs" dxfId="1" priority="5310" operator="equal">
      <formula>0</formula>
    </cfRule>
  </conditionalFormatting>
  <conditionalFormatting sqref="C2501">
    <cfRule type="cellIs" dxfId="1" priority="5311" operator="equal">
      <formula>0</formula>
    </cfRule>
  </conditionalFormatting>
  <conditionalFormatting sqref="C2502">
    <cfRule type="cellIs" dxfId="1" priority="5313" operator="equal">
      <formula>0</formula>
    </cfRule>
  </conditionalFormatting>
  <conditionalFormatting sqref="C2503">
    <cfRule type="cellIs" dxfId="1" priority="5315" operator="equal">
      <formula>0</formula>
    </cfRule>
  </conditionalFormatting>
  <conditionalFormatting sqref="C251">
    <cfRule type="cellIs" dxfId="1" priority="601" operator="equal">
      <formula>0</formula>
    </cfRule>
  </conditionalFormatting>
  <conditionalFormatting sqref="C2511">
    <cfRule type="expression" dxfId="0" priority="5316">
      <formula>C2512=0</formula>
    </cfRule>
  </conditionalFormatting>
  <conditionalFormatting sqref="C2512">
    <cfRule type="cellIs" dxfId="1" priority="5320" operator="equal">
      <formula>0</formula>
    </cfRule>
  </conditionalFormatting>
  <conditionalFormatting sqref="C2513">
    <cfRule type="cellIs" dxfId="1" priority="5324" operator="equal">
      <formula>0</formula>
    </cfRule>
  </conditionalFormatting>
  <conditionalFormatting sqref="C2514">
    <cfRule type="cellIs" dxfId="1" priority="5328" operator="equal">
      <formula>0</formula>
    </cfRule>
  </conditionalFormatting>
  <conditionalFormatting sqref="C2515">
    <cfRule type="cellIs" dxfId="1" priority="5331" operator="equal">
      <formula>0</formula>
    </cfRule>
  </conditionalFormatting>
  <conditionalFormatting sqref="C2517">
    <cfRule type="expression" dxfId="0" priority="5335">
      <formula>C2518=0</formula>
    </cfRule>
  </conditionalFormatting>
  <conditionalFormatting sqref="C2518">
    <cfRule type="cellIs" dxfId="1" priority="5337" operator="equal">
      <formula>0</formula>
    </cfRule>
  </conditionalFormatting>
  <conditionalFormatting sqref="C2519">
    <cfRule type="cellIs" dxfId="1" priority="5339" operator="equal">
      <formula>0</formula>
    </cfRule>
  </conditionalFormatting>
  <conditionalFormatting sqref="C252">
    <cfRule type="cellIs" dxfId="1" priority="602" operator="equal">
      <formula>0</formula>
    </cfRule>
  </conditionalFormatting>
  <conditionalFormatting sqref="C2520">
    <cfRule type="cellIs" dxfId="1" priority="5341" operator="equal">
      <formula>0</formula>
    </cfRule>
  </conditionalFormatting>
  <conditionalFormatting sqref="C2521">
    <cfRule type="cellIs" dxfId="1" priority="5343" operator="equal">
      <formula>0</formula>
    </cfRule>
  </conditionalFormatting>
  <conditionalFormatting sqref="C2523">
    <cfRule type="expression" dxfId="0" priority="5345">
      <formula>C2524=0</formula>
    </cfRule>
  </conditionalFormatting>
  <conditionalFormatting sqref="C2524">
    <cfRule type="cellIs" dxfId="1" priority="5347" operator="equal">
      <formula>0</formula>
    </cfRule>
  </conditionalFormatting>
  <conditionalFormatting sqref="C2525">
    <cfRule type="cellIs" dxfId="1" priority="5349" operator="equal">
      <formula>0</formula>
    </cfRule>
  </conditionalFormatting>
  <conditionalFormatting sqref="C2526">
    <cfRule type="cellIs" dxfId="1" priority="5351" operator="equal">
      <formula>0</formula>
    </cfRule>
  </conditionalFormatting>
  <conditionalFormatting sqref="C2527">
    <cfRule type="cellIs" dxfId="1" priority="5352" operator="equal">
      <formula>0</formula>
    </cfRule>
  </conditionalFormatting>
  <conditionalFormatting sqref="C253">
    <cfRule type="cellIs" dxfId="1" priority="603" operator="equal">
      <formula>0</formula>
    </cfRule>
  </conditionalFormatting>
  <conditionalFormatting sqref="C2535">
    <cfRule type="expression" dxfId="0" priority="5353">
      <formula>C2536=0</formula>
    </cfRule>
  </conditionalFormatting>
  <conditionalFormatting sqref="C2536">
    <cfRule type="cellIs" dxfId="1" priority="5357" operator="equal">
      <formula>0</formula>
    </cfRule>
  </conditionalFormatting>
  <conditionalFormatting sqref="C2537">
    <cfRule type="cellIs" dxfId="1" priority="5361" operator="equal">
      <formula>0</formula>
    </cfRule>
  </conditionalFormatting>
  <conditionalFormatting sqref="C2538">
    <cfRule type="cellIs" dxfId="1" priority="5365" operator="equal">
      <formula>0</formula>
    </cfRule>
  </conditionalFormatting>
  <conditionalFormatting sqref="C254">
    <cfRule type="cellIs" dxfId="1" priority="604" operator="equal">
      <formula>0</formula>
    </cfRule>
  </conditionalFormatting>
  <conditionalFormatting sqref="C2540">
    <cfRule type="expression" dxfId="0" priority="5369">
      <formula>C2541=0</formula>
    </cfRule>
  </conditionalFormatting>
  <conditionalFormatting sqref="C2541">
    <cfRule type="cellIs" dxfId="1" priority="5372" operator="equal">
      <formula>0</formula>
    </cfRule>
  </conditionalFormatting>
  <conditionalFormatting sqref="C2542">
    <cfRule type="cellIs" dxfId="1" priority="5375" operator="equal">
      <formula>0</formula>
    </cfRule>
  </conditionalFormatting>
  <conditionalFormatting sqref="C2545">
    <cfRule type="expression" dxfId="0" priority="5379">
      <formula>C2546=0</formula>
    </cfRule>
  </conditionalFormatting>
  <conditionalFormatting sqref="C2546">
    <cfRule type="cellIs" dxfId="1" priority="5380" operator="equal">
      <formula>0</formula>
    </cfRule>
  </conditionalFormatting>
  <conditionalFormatting sqref="C2547">
    <cfRule type="cellIs" dxfId="1" priority="5381" operator="equal">
      <formula>0</formula>
    </cfRule>
  </conditionalFormatting>
  <conditionalFormatting sqref="C2548">
    <cfRule type="cellIs" dxfId="1" priority="5382" operator="equal">
      <formula>0</formula>
    </cfRule>
  </conditionalFormatting>
  <conditionalFormatting sqref="C255">
    <cfRule type="cellIs" dxfId="1" priority="605" operator="equal">
      <formula>0</formula>
    </cfRule>
  </conditionalFormatting>
  <conditionalFormatting sqref="C2556">
    <cfRule type="expression" dxfId="0" priority="5383">
      <formula>C2557=0</formula>
    </cfRule>
  </conditionalFormatting>
  <conditionalFormatting sqref="C2557">
    <cfRule type="cellIs" dxfId="1" priority="5393" operator="equal">
      <formula>0</formula>
    </cfRule>
  </conditionalFormatting>
  <conditionalFormatting sqref="C2558">
    <cfRule type="cellIs" dxfId="1" priority="5403" operator="equal">
      <formula>0</formula>
    </cfRule>
  </conditionalFormatting>
  <conditionalFormatting sqref="C2559">
    <cfRule type="cellIs" dxfId="1" priority="5406" operator="equal">
      <formula>0</formula>
    </cfRule>
  </conditionalFormatting>
  <conditionalFormatting sqref="C256">
    <cfRule type="cellIs" dxfId="1" priority="606" operator="equal">
      <formula>0</formula>
    </cfRule>
  </conditionalFormatting>
  <conditionalFormatting sqref="C2560">
    <cfRule type="cellIs" dxfId="1" priority="5411" operator="equal">
      <formula>0</formula>
    </cfRule>
  </conditionalFormatting>
  <conditionalFormatting sqref="C2561">
    <cfRule type="cellIs" dxfId="1" priority="5414" operator="equal">
      <formula>0</formula>
    </cfRule>
  </conditionalFormatting>
  <conditionalFormatting sqref="C2562">
    <cfRule type="cellIs" dxfId="1" priority="5418" operator="equal">
      <formula>0</formula>
    </cfRule>
  </conditionalFormatting>
  <conditionalFormatting sqref="C2563">
    <cfRule type="cellIs" dxfId="1" priority="5422" operator="equal">
      <formula>0</formula>
    </cfRule>
  </conditionalFormatting>
  <conditionalFormatting sqref="C2564">
    <cfRule type="cellIs" dxfId="1" priority="5425" operator="equal">
      <formula>0</formula>
    </cfRule>
  </conditionalFormatting>
  <conditionalFormatting sqref="C2565">
    <cfRule type="cellIs" dxfId="1" priority="5429" operator="equal">
      <formula>0</formula>
    </cfRule>
  </conditionalFormatting>
  <conditionalFormatting sqref="C2566">
    <cfRule type="cellIs" dxfId="1" priority="5434" operator="equal">
      <formula>0</formula>
    </cfRule>
  </conditionalFormatting>
  <conditionalFormatting sqref="C2567">
    <cfRule type="cellIs" dxfId="1" priority="5436" operator="equal">
      <formula>0</formula>
    </cfRule>
  </conditionalFormatting>
  <conditionalFormatting sqref="C2569">
    <cfRule type="expression" dxfId="0" priority="5441">
      <formula>C2570=0</formula>
    </cfRule>
  </conditionalFormatting>
  <conditionalFormatting sqref="C257">
    <cfRule type="cellIs" dxfId="1" priority="607" operator="equal">
      <formula>0</formula>
    </cfRule>
  </conditionalFormatting>
  <conditionalFormatting sqref="C2570">
    <cfRule type="cellIs" dxfId="1" priority="5448" operator="equal">
      <formula>0</formula>
    </cfRule>
  </conditionalFormatting>
  <conditionalFormatting sqref="C2572">
    <cfRule type="cellIs" dxfId="1" priority="5455" operator="equal">
      <formula>0</formula>
    </cfRule>
  </conditionalFormatting>
  <conditionalFormatting sqref="C2575">
    <cfRule type="cellIs" dxfId="1" priority="5458" operator="equal">
      <formula>0</formula>
    </cfRule>
  </conditionalFormatting>
  <conditionalFormatting sqref="C2577">
    <cfRule type="cellIs" dxfId="1" priority="5462" operator="equal">
      <formula>0</formula>
    </cfRule>
  </conditionalFormatting>
  <conditionalFormatting sqref="C258">
    <cfRule type="cellIs" dxfId="1" priority="608" operator="equal">
      <formula>0</formula>
    </cfRule>
  </conditionalFormatting>
  <conditionalFormatting sqref="C2582">
    <cfRule type="expression" dxfId="0" priority="5469">
      <formula>C2583=0</formula>
    </cfRule>
  </conditionalFormatting>
  <conditionalFormatting sqref="C2583">
    <cfRule type="cellIs" dxfId="1" priority="5471" operator="equal">
      <formula>0</formula>
    </cfRule>
  </conditionalFormatting>
  <conditionalFormatting sqref="C2584">
    <cfRule type="cellIs" dxfId="1" priority="5473" operator="equal">
      <formula>0</formula>
    </cfRule>
  </conditionalFormatting>
  <conditionalFormatting sqref="C2585">
    <cfRule type="cellIs" dxfId="1" priority="5474" operator="equal">
      <formula>0</formula>
    </cfRule>
  </conditionalFormatting>
  <conditionalFormatting sqref="C2586">
    <cfRule type="cellIs" dxfId="1" priority="5475" operator="equal">
      <formula>0</formula>
    </cfRule>
  </conditionalFormatting>
  <conditionalFormatting sqref="C2587">
    <cfRule type="cellIs" dxfId="1" priority="5476" operator="equal">
      <formula>0</formula>
    </cfRule>
  </conditionalFormatting>
  <conditionalFormatting sqref="C2588">
    <cfRule type="cellIs" dxfId="1" priority="5477" operator="equal">
      <formula>0</formula>
    </cfRule>
  </conditionalFormatting>
  <conditionalFormatting sqref="C2589">
    <cfRule type="cellIs" dxfId="1" priority="5478" operator="equal">
      <formula>0</formula>
    </cfRule>
  </conditionalFormatting>
  <conditionalFormatting sqref="C259">
    <cfRule type="cellIs" dxfId="1" priority="609" operator="equal">
      <formula>0</formula>
    </cfRule>
  </conditionalFormatting>
  <conditionalFormatting sqref="C2590">
    <cfRule type="cellIs" dxfId="1" priority="5480" operator="equal">
      <formula>0</formula>
    </cfRule>
  </conditionalFormatting>
  <conditionalFormatting sqref="C2591">
    <cfRule type="cellIs" dxfId="1" priority="5481" operator="equal">
      <formula>0</formula>
    </cfRule>
  </conditionalFormatting>
  <conditionalFormatting sqref="C2592">
    <cfRule type="cellIs" dxfId="1" priority="5482" operator="equal">
      <formula>0</formula>
    </cfRule>
  </conditionalFormatting>
  <conditionalFormatting sqref="C2593">
    <cfRule type="cellIs" dxfId="1" priority="5483" operator="equal">
      <formula>0</formula>
    </cfRule>
  </conditionalFormatting>
  <conditionalFormatting sqref="C2601">
    <cfRule type="expression" dxfId="0" priority="5485">
      <formula>C2602=0</formula>
    </cfRule>
  </conditionalFormatting>
  <conditionalFormatting sqref="C2602">
    <cfRule type="cellIs" dxfId="1" priority="5491" operator="equal">
      <formula>0</formula>
    </cfRule>
  </conditionalFormatting>
  <conditionalFormatting sqref="C2603">
    <cfRule type="cellIs" dxfId="1" priority="5497" operator="equal">
      <formula>0</formula>
    </cfRule>
  </conditionalFormatting>
  <conditionalFormatting sqref="C2604">
    <cfRule type="cellIs" dxfId="1" priority="5503" operator="equal">
      <formula>0</formula>
    </cfRule>
  </conditionalFormatting>
  <conditionalFormatting sqref="C2606">
    <cfRule type="expression" dxfId="0" priority="5506">
      <formula>C2607=0</formula>
    </cfRule>
  </conditionalFormatting>
  <conditionalFormatting sqref="C2607">
    <cfRule type="cellIs" dxfId="1" priority="5508" operator="equal">
      <formula>0</formula>
    </cfRule>
  </conditionalFormatting>
  <conditionalFormatting sqref="C2608">
    <cfRule type="cellIs" dxfId="1" priority="5510" operator="equal">
      <formula>0</formula>
    </cfRule>
  </conditionalFormatting>
  <conditionalFormatting sqref="C2611">
    <cfRule type="expression" dxfId="0" priority="5513">
      <formula>C2612=0</formula>
    </cfRule>
  </conditionalFormatting>
  <conditionalFormatting sqref="C2612">
    <cfRule type="cellIs" dxfId="1" priority="5514" operator="equal">
      <formula>0</formula>
    </cfRule>
  </conditionalFormatting>
  <conditionalFormatting sqref="C2613">
    <cfRule type="cellIs" dxfId="1" priority="5515" operator="equal">
      <formula>0</formula>
    </cfRule>
  </conditionalFormatting>
  <conditionalFormatting sqref="C2614">
    <cfRule type="cellIs" dxfId="1" priority="5516" operator="equal">
      <formula>0</formula>
    </cfRule>
  </conditionalFormatting>
  <conditionalFormatting sqref="C2622">
    <cfRule type="expression" dxfId="0" priority="5517">
      <formula>C2623=0</formula>
    </cfRule>
  </conditionalFormatting>
  <conditionalFormatting sqref="C2623">
    <cfRule type="cellIs" dxfId="1" priority="5521" operator="equal">
      <formula>0</formula>
    </cfRule>
  </conditionalFormatting>
  <conditionalFormatting sqref="C2624">
    <cfRule type="cellIs" dxfId="1" priority="5525" operator="equal">
      <formula>0</formula>
    </cfRule>
  </conditionalFormatting>
  <conditionalFormatting sqref="C2625">
    <cfRule type="cellIs" dxfId="1" priority="5529" operator="equal">
      <formula>0</formula>
    </cfRule>
  </conditionalFormatting>
  <conditionalFormatting sqref="C2626">
    <cfRule type="cellIs" dxfId="1" priority="5533" operator="equal">
      <formula>0</formula>
    </cfRule>
  </conditionalFormatting>
  <conditionalFormatting sqref="C2627">
    <cfRule type="cellIs" dxfId="1" priority="5537" operator="equal">
      <formula>0</formula>
    </cfRule>
  </conditionalFormatting>
  <conditionalFormatting sqref="C2629">
    <cfRule type="expression" dxfId="0" priority="5541">
      <formula>C2630=0</formula>
    </cfRule>
  </conditionalFormatting>
  <conditionalFormatting sqref="C2630">
    <cfRule type="cellIs" dxfId="1" priority="5543" operator="equal">
      <formula>0</formula>
    </cfRule>
  </conditionalFormatting>
  <conditionalFormatting sqref="C2631">
    <cfRule type="cellIs" dxfId="1" priority="5545" operator="equal">
      <formula>0</formula>
    </cfRule>
  </conditionalFormatting>
  <conditionalFormatting sqref="C2632">
    <cfRule type="cellIs" dxfId="1" priority="5547" operator="equal">
      <formula>0</formula>
    </cfRule>
  </conditionalFormatting>
  <conditionalFormatting sqref="C2633">
    <cfRule type="cellIs" dxfId="1" priority="5549" operator="equal">
      <formula>0</formula>
    </cfRule>
  </conditionalFormatting>
  <conditionalFormatting sqref="C2634">
    <cfRule type="cellIs" dxfId="1" priority="5551" operator="equal">
      <formula>0</formula>
    </cfRule>
  </conditionalFormatting>
  <conditionalFormatting sqref="C2636">
    <cfRule type="expression" dxfId="0" priority="5553">
      <formula>C2637=0</formula>
    </cfRule>
  </conditionalFormatting>
  <conditionalFormatting sqref="C2637">
    <cfRule type="cellIs" dxfId="1" priority="5554" operator="equal">
      <formula>0</formula>
    </cfRule>
  </conditionalFormatting>
  <conditionalFormatting sqref="C2638">
    <cfRule type="cellIs" dxfId="1" priority="5555" operator="equal">
      <formula>0</formula>
    </cfRule>
  </conditionalFormatting>
  <conditionalFormatting sqref="C2639">
    <cfRule type="cellIs" dxfId="1" priority="5556" operator="equal">
      <formula>0</formula>
    </cfRule>
  </conditionalFormatting>
  <conditionalFormatting sqref="C2640">
    <cfRule type="cellIs" dxfId="1" priority="5557" operator="equal">
      <formula>0</formula>
    </cfRule>
  </conditionalFormatting>
  <conditionalFormatting sqref="C2641">
    <cfRule type="cellIs" dxfId="1" priority="5558" operator="equal">
      <formula>0</formula>
    </cfRule>
  </conditionalFormatting>
  <conditionalFormatting sqref="C2649">
    <cfRule type="expression" dxfId="0" priority="5559">
      <formula>C2650=0</formula>
    </cfRule>
  </conditionalFormatting>
  <conditionalFormatting sqref="C2650">
    <cfRule type="cellIs" dxfId="1" priority="5566" operator="equal">
      <formula>0</formula>
    </cfRule>
  </conditionalFormatting>
  <conditionalFormatting sqref="C2651">
    <cfRule type="cellIs" dxfId="1" priority="5573" operator="equal">
      <formula>0</formula>
    </cfRule>
  </conditionalFormatting>
  <conditionalFormatting sqref="C2652">
    <cfRule type="cellIs" dxfId="1" priority="5578" operator="equal">
      <formula>0</formula>
    </cfRule>
  </conditionalFormatting>
  <conditionalFormatting sqref="C2653">
    <cfRule type="cellIs" dxfId="1" priority="5582" operator="equal">
      <formula>0</formula>
    </cfRule>
  </conditionalFormatting>
  <conditionalFormatting sqref="C2654">
    <cfRule type="cellIs" dxfId="1" priority="5586" operator="equal">
      <formula>0</formula>
    </cfRule>
  </conditionalFormatting>
  <conditionalFormatting sqref="C2655">
    <cfRule type="cellIs" dxfId="1" priority="5591" operator="equal">
      <formula>0</formula>
    </cfRule>
  </conditionalFormatting>
  <conditionalFormatting sqref="C2657">
    <cfRule type="expression" dxfId="0" priority="5596">
      <formula>C2658=0</formula>
    </cfRule>
  </conditionalFormatting>
  <conditionalFormatting sqref="C2658">
    <cfRule type="cellIs" dxfId="1" priority="5600" operator="equal">
      <formula>0</formula>
    </cfRule>
  </conditionalFormatting>
  <conditionalFormatting sqref="C2659">
    <cfRule type="cellIs" dxfId="1" priority="5604" operator="equal">
      <formula>0</formula>
    </cfRule>
  </conditionalFormatting>
  <conditionalFormatting sqref="C2660">
    <cfRule type="cellIs" dxfId="1" priority="5606" operator="equal">
      <formula>0</formula>
    </cfRule>
  </conditionalFormatting>
  <conditionalFormatting sqref="C2661">
    <cfRule type="cellIs" dxfId="1" priority="5608" operator="equal">
      <formula>0</formula>
    </cfRule>
  </conditionalFormatting>
  <conditionalFormatting sqref="C2662">
    <cfRule type="cellIs" dxfId="1" priority="5609" operator="equal">
      <formula>0</formula>
    </cfRule>
  </conditionalFormatting>
  <conditionalFormatting sqref="C2663">
    <cfRule type="cellIs" dxfId="1" priority="5611" operator="equal">
      <formula>0</formula>
    </cfRule>
  </conditionalFormatting>
  <conditionalFormatting sqref="C2665">
    <cfRule type="expression" dxfId="0" priority="5612">
      <formula>C2666=0</formula>
    </cfRule>
  </conditionalFormatting>
  <conditionalFormatting sqref="C2666">
    <cfRule type="cellIs" dxfId="1" priority="5615" operator="equal">
      <formula>0</formula>
    </cfRule>
  </conditionalFormatting>
  <conditionalFormatting sqref="C2667">
    <cfRule type="cellIs" dxfId="1" priority="5618" operator="equal">
      <formula>0</formula>
    </cfRule>
  </conditionalFormatting>
  <conditionalFormatting sqref="C2668">
    <cfRule type="cellIs" dxfId="1" priority="5620" operator="equal">
      <formula>0</formula>
    </cfRule>
  </conditionalFormatting>
  <conditionalFormatting sqref="C2669">
    <cfRule type="cellIs" dxfId="1" priority="5622" operator="equal">
      <formula>0</formula>
    </cfRule>
  </conditionalFormatting>
  <conditionalFormatting sqref="C267">
    <cfRule type="expression" dxfId="0" priority="611">
      <formula>C268=0</formula>
    </cfRule>
  </conditionalFormatting>
  <conditionalFormatting sqref="C2670">
    <cfRule type="cellIs" dxfId="1" priority="5623" operator="equal">
      <formula>0</formula>
    </cfRule>
  </conditionalFormatting>
  <conditionalFormatting sqref="C2671">
    <cfRule type="cellIs" dxfId="1" priority="5624" operator="equal">
      <formula>0</formula>
    </cfRule>
  </conditionalFormatting>
  <conditionalFormatting sqref="C2679">
    <cfRule type="expression" dxfId="0" priority="5626">
      <formula>C2680=0</formula>
    </cfRule>
  </conditionalFormatting>
  <conditionalFormatting sqref="C268">
    <cfRule type="cellIs" dxfId="1" priority="623" operator="equal">
      <formula>0</formula>
    </cfRule>
  </conditionalFormatting>
  <conditionalFormatting sqref="C2680">
    <cfRule type="cellIs" dxfId="1" priority="5631" operator="equal">
      <formula>0</formula>
    </cfRule>
  </conditionalFormatting>
  <conditionalFormatting sqref="C2681">
    <cfRule type="cellIs" dxfId="1" priority="5636" operator="equal">
      <formula>0</formula>
    </cfRule>
  </conditionalFormatting>
  <conditionalFormatting sqref="C2682">
    <cfRule type="cellIs" dxfId="1" priority="5639" operator="equal">
      <formula>0</formula>
    </cfRule>
  </conditionalFormatting>
  <conditionalFormatting sqref="C2683">
    <cfRule type="cellIs" dxfId="1" priority="5643" operator="equal">
      <formula>0</formula>
    </cfRule>
  </conditionalFormatting>
  <conditionalFormatting sqref="C2684">
    <cfRule type="cellIs" dxfId="1" priority="5647" operator="equal">
      <formula>0</formula>
    </cfRule>
  </conditionalFormatting>
  <conditionalFormatting sqref="C2686">
    <cfRule type="expression" dxfId="0" priority="5652">
      <formula>C2687=0</formula>
    </cfRule>
  </conditionalFormatting>
  <conditionalFormatting sqref="C2687">
    <cfRule type="cellIs" dxfId="1" priority="5655" operator="equal">
      <formula>0</formula>
    </cfRule>
  </conditionalFormatting>
  <conditionalFormatting sqref="C2688">
    <cfRule type="cellIs" dxfId="1" priority="5658" operator="equal">
      <formula>0</formula>
    </cfRule>
  </conditionalFormatting>
  <conditionalFormatting sqref="C2689">
    <cfRule type="cellIs" dxfId="1" priority="5660" operator="equal">
      <formula>0</formula>
    </cfRule>
  </conditionalFormatting>
  <conditionalFormatting sqref="C269">
    <cfRule type="cellIs" dxfId="1" priority="635" operator="equal">
      <formula>0</formula>
    </cfRule>
  </conditionalFormatting>
  <conditionalFormatting sqref="C2690">
    <cfRule type="cellIs" dxfId="1" priority="5662" operator="equal">
      <formula>0</formula>
    </cfRule>
  </conditionalFormatting>
  <conditionalFormatting sqref="C2693">
    <cfRule type="expression" dxfId="0" priority="5666">
      <formula>C2694=0</formula>
    </cfRule>
  </conditionalFormatting>
  <conditionalFormatting sqref="C2694">
    <cfRule type="cellIs" dxfId="1" priority="5668" operator="equal">
      <formula>0</formula>
    </cfRule>
  </conditionalFormatting>
  <conditionalFormatting sqref="C2695">
    <cfRule type="cellIs" dxfId="1" priority="5670" operator="equal">
      <formula>0</formula>
    </cfRule>
  </conditionalFormatting>
  <conditionalFormatting sqref="C2696">
    <cfRule type="cellIs" dxfId="1" priority="5672" operator="equal">
      <formula>0</formula>
    </cfRule>
  </conditionalFormatting>
  <conditionalFormatting sqref="C2697">
    <cfRule type="cellIs" dxfId="1" priority="5674" operator="equal">
      <formula>0</formula>
    </cfRule>
  </conditionalFormatting>
  <conditionalFormatting sqref="C27">
    <cfRule type="expression" dxfId="0" priority="1">
      <formula>C28=0</formula>
    </cfRule>
  </conditionalFormatting>
  <conditionalFormatting sqref="C270">
    <cfRule type="cellIs" dxfId="1" priority="639" operator="equal">
      <formula>0</formula>
    </cfRule>
  </conditionalFormatting>
  <conditionalFormatting sqref="C2706">
    <cfRule type="expression" dxfId="0" priority="5677">
      <formula>C2707=0</formula>
    </cfRule>
  </conditionalFormatting>
  <conditionalFormatting sqref="C2707">
    <cfRule type="cellIs" dxfId="1" priority="5684" operator="equal">
      <formula>0</formula>
    </cfRule>
  </conditionalFormatting>
  <conditionalFormatting sqref="C2708">
    <cfRule type="cellIs" dxfId="1" priority="5691" operator="equal">
      <formula>0</formula>
    </cfRule>
  </conditionalFormatting>
  <conditionalFormatting sqref="C2709">
    <cfRule type="cellIs" dxfId="1" priority="5696" operator="equal">
      <formula>0</formula>
    </cfRule>
  </conditionalFormatting>
  <conditionalFormatting sqref="C271">
    <cfRule type="cellIs" dxfId="1" priority="645" operator="equal">
      <formula>0</formula>
    </cfRule>
  </conditionalFormatting>
  <conditionalFormatting sqref="C2710">
    <cfRule type="cellIs" dxfId="1" priority="5700" operator="equal">
      <formula>0</formula>
    </cfRule>
  </conditionalFormatting>
  <conditionalFormatting sqref="C2712">
    <cfRule type="expression" dxfId="0" priority="5704">
      <formula>C2713=0</formula>
    </cfRule>
  </conditionalFormatting>
  <conditionalFormatting sqref="C2713">
    <cfRule type="cellIs" dxfId="1" priority="5706" operator="equal">
      <formula>0</formula>
    </cfRule>
  </conditionalFormatting>
  <conditionalFormatting sqref="C2714">
    <cfRule type="cellIs" dxfId="1" priority="5708" operator="equal">
      <formula>0</formula>
    </cfRule>
  </conditionalFormatting>
  <conditionalFormatting sqref="C2715">
    <cfRule type="cellIs" dxfId="1" priority="5710" operator="equal">
      <formula>0</formula>
    </cfRule>
  </conditionalFormatting>
  <conditionalFormatting sqref="C2716">
    <cfRule type="cellIs" dxfId="1" priority="5712" operator="equal">
      <formula>0</formula>
    </cfRule>
  </conditionalFormatting>
  <conditionalFormatting sqref="C2718">
    <cfRule type="expression" dxfId="0" priority="5714">
      <formula>C2719=0</formula>
    </cfRule>
  </conditionalFormatting>
  <conditionalFormatting sqref="C2719">
    <cfRule type="cellIs" dxfId="1" priority="5715" operator="equal">
      <formula>0</formula>
    </cfRule>
  </conditionalFormatting>
  <conditionalFormatting sqref="C272">
    <cfRule type="cellIs" dxfId="1" priority="650" operator="equal">
      <formula>0</formula>
    </cfRule>
  </conditionalFormatting>
  <conditionalFormatting sqref="C2720">
    <cfRule type="cellIs" dxfId="1" priority="5716" operator="equal">
      <formula>0</formula>
    </cfRule>
  </conditionalFormatting>
  <conditionalFormatting sqref="C2721">
    <cfRule type="cellIs" dxfId="1" priority="5717" operator="equal">
      <formula>0</formula>
    </cfRule>
  </conditionalFormatting>
  <conditionalFormatting sqref="C2722">
    <cfRule type="cellIs" dxfId="1" priority="5718" operator="equal">
      <formula>0</formula>
    </cfRule>
  </conditionalFormatting>
  <conditionalFormatting sqref="C273">
    <cfRule type="cellIs" dxfId="1" priority="655" operator="equal">
      <formula>0</formula>
    </cfRule>
  </conditionalFormatting>
  <conditionalFormatting sqref="C2730">
    <cfRule type="expression" dxfId="0" priority="5719">
      <formula>C2731=0</formula>
    </cfRule>
  </conditionalFormatting>
  <conditionalFormatting sqref="C2731">
    <cfRule type="cellIs" dxfId="1" priority="5726" operator="equal">
      <formula>0</formula>
    </cfRule>
  </conditionalFormatting>
  <conditionalFormatting sqref="C2732">
    <cfRule type="cellIs" dxfId="1" priority="5733" operator="equal">
      <formula>0</formula>
    </cfRule>
  </conditionalFormatting>
  <conditionalFormatting sqref="C2733">
    <cfRule type="cellIs" dxfId="1" priority="5738" operator="equal">
      <formula>0</formula>
    </cfRule>
  </conditionalFormatting>
  <conditionalFormatting sqref="C2735">
    <cfRule type="expression" dxfId="0" priority="5741">
      <formula>C2736=0</formula>
    </cfRule>
  </conditionalFormatting>
  <conditionalFormatting sqref="C2736">
    <cfRule type="cellIs" dxfId="1" priority="5742" operator="equal">
      <formula>0</formula>
    </cfRule>
  </conditionalFormatting>
  <conditionalFormatting sqref="C2737">
    <cfRule type="cellIs" dxfId="1" priority="5743" operator="equal">
      <formula>0</formula>
    </cfRule>
  </conditionalFormatting>
  <conditionalFormatting sqref="C2738">
    <cfRule type="cellIs" dxfId="1" priority="5744" operator="equal">
      <formula>0</formula>
    </cfRule>
  </conditionalFormatting>
  <conditionalFormatting sqref="C274">
    <cfRule type="cellIs" dxfId="1" priority="660" operator="equal">
      <formula>0</formula>
    </cfRule>
  </conditionalFormatting>
  <conditionalFormatting sqref="C2740">
    <cfRule type="expression" dxfId="0" priority="5745">
      <formula>C2741=0</formula>
    </cfRule>
  </conditionalFormatting>
  <conditionalFormatting sqref="C2741">
    <cfRule type="cellIs" dxfId="1" priority="5746" operator="equal">
      <formula>0</formula>
    </cfRule>
  </conditionalFormatting>
  <conditionalFormatting sqref="C2742">
    <cfRule type="cellIs" dxfId="1" priority="5747" operator="equal">
      <formula>0</formula>
    </cfRule>
  </conditionalFormatting>
  <conditionalFormatting sqref="C2743">
    <cfRule type="cellIs" dxfId="1" priority="5748" operator="equal">
      <formula>0</formula>
    </cfRule>
  </conditionalFormatting>
  <conditionalFormatting sqref="C275">
    <cfRule type="cellIs" dxfId="1" priority="666" operator="equal">
      <formula>0</formula>
    </cfRule>
  </conditionalFormatting>
  <conditionalFormatting sqref="C276">
    <cfRule type="cellIs" dxfId="1" priority="671" operator="equal">
      <formula>0</formula>
    </cfRule>
  </conditionalFormatting>
  <conditionalFormatting sqref="C277">
    <cfRule type="cellIs" dxfId="1" priority="675" operator="equal">
      <formula>0</formula>
    </cfRule>
  </conditionalFormatting>
  <conditionalFormatting sqref="C278">
    <cfRule type="cellIs" dxfId="1" priority="680" operator="equal">
      <formula>0</formula>
    </cfRule>
  </conditionalFormatting>
  <conditionalFormatting sqref="C279">
    <cfRule type="cellIs" dxfId="1" priority="685" operator="equal">
      <formula>0</formula>
    </cfRule>
  </conditionalFormatting>
  <conditionalFormatting sqref="C28">
    <cfRule type="cellIs" dxfId="1" priority="13" operator="equal">
      <formula>0</formula>
    </cfRule>
  </conditionalFormatting>
  <conditionalFormatting sqref="C280">
    <cfRule type="cellIs" dxfId="1" priority="689" operator="equal">
      <formula>0</formula>
    </cfRule>
  </conditionalFormatting>
  <conditionalFormatting sqref="C281">
    <cfRule type="cellIs" dxfId="1" priority="693" operator="equal">
      <formula>0</formula>
    </cfRule>
  </conditionalFormatting>
  <conditionalFormatting sqref="C282">
    <cfRule type="cellIs" dxfId="1" priority="696" operator="equal">
      <formula>0</formula>
    </cfRule>
  </conditionalFormatting>
  <conditionalFormatting sqref="C283">
    <cfRule type="cellIs" dxfId="1" priority="699" operator="equal">
      <formula>0</formula>
    </cfRule>
  </conditionalFormatting>
  <conditionalFormatting sqref="C284">
    <cfRule type="cellIs" dxfId="1" priority="704" operator="equal">
      <formula>0</formula>
    </cfRule>
  </conditionalFormatting>
  <conditionalFormatting sqref="C285">
    <cfRule type="cellIs" dxfId="1" priority="708" operator="equal">
      <formula>0</formula>
    </cfRule>
  </conditionalFormatting>
  <conditionalFormatting sqref="C286">
    <cfRule type="cellIs" dxfId="1" priority="713" operator="equal">
      <formula>0</formula>
    </cfRule>
  </conditionalFormatting>
  <conditionalFormatting sqref="C287">
    <cfRule type="cellIs" dxfId="1" priority="717" operator="equal">
      <formula>0</formula>
    </cfRule>
  </conditionalFormatting>
  <conditionalFormatting sqref="C288">
    <cfRule type="cellIs" dxfId="1" priority="722" operator="equal">
      <formula>0</formula>
    </cfRule>
  </conditionalFormatting>
  <conditionalFormatting sqref="C289">
    <cfRule type="cellIs" dxfId="1" priority="727" operator="equal">
      <formula>0</formula>
    </cfRule>
  </conditionalFormatting>
  <conditionalFormatting sqref="C29">
    <cfRule type="cellIs" dxfId="1" priority="25" operator="equal">
      <formula>0</formula>
    </cfRule>
  </conditionalFormatting>
  <conditionalFormatting sqref="C290">
    <cfRule type="cellIs" dxfId="1" priority="731" operator="equal">
      <formula>0</formula>
    </cfRule>
  </conditionalFormatting>
  <conditionalFormatting sqref="C291">
    <cfRule type="cellIs" dxfId="1" priority="735" operator="equal">
      <formula>0</formula>
    </cfRule>
  </conditionalFormatting>
  <conditionalFormatting sqref="C292">
    <cfRule type="cellIs" dxfId="1" priority="739" operator="equal">
      <formula>0</formula>
    </cfRule>
  </conditionalFormatting>
  <conditionalFormatting sqref="C293">
    <cfRule type="cellIs" dxfId="1" priority="743" operator="equal">
      <formula>0</formula>
    </cfRule>
  </conditionalFormatting>
  <conditionalFormatting sqref="C295">
    <cfRule type="expression" dxfId="0" priority="748">
      <formula>C296=0</formula>
    </cfRule>
  </conditionalFormatting>
  <conditionalFormatting sqref="C296">
    <cfRule type="cellIs" dxfId="1" priority="756" operator="equal">
      <formula>0</formula>
    </cfRule>
  </conditionalFormatting>
  <conditionalFormatting sqref="C297">
    <cfRule type="cellIs" dxfId="1" priority="764" operator="equal">
      <formula>0</formula>
    </cfRule>
  </conditionalFormatting>
  <conditionalFormatting sqref="C299">
    <cfRule type="cellIs" dxfId="1" priority="768" operator="equal">
      <formula>0</formula>
    </cfRule>
  </conditionalFormatting>
  <conditionalFormatting sqref="C30">
    <cfRule type="cellIs" dxfId="1" priority="29" operator="equal">
      <formula>0</formula>
    </cfRule>
  </conditionalFormatting>
  <conditionalFormatting sqref="C301">
    <cfRule type="cellIs" dxfId="1" priority="771" operator="equal">
      <formula>0</formula>
    </cfRule>
  </conditionalFormatting>
  <conditionalFormatting sqref="C305">
    <cfRule type="cellIs" dxfId="1" priority="777" operator="equal">
      <formula>0</formula>
    </cfRule>
  </conditionalFormatting>
  <conditionalFormatting sqref="C306">
    <cfRule type="cellIs" dxfId="1" priority="779" operator="equal">
      <formula>0</formula>
    </cfRule>
  </conditionalFormatting>
  <conditionalFormatting sqref="C31">
    <cfRule type="cellIs" dxfId="1" priority="34" operator="equal">
      <formula>0</formula>
    </cfRule>
  </conditionalFormatting>
  <conditionalFormatting sqref="C310">
    <cfRule type="cellIs" dxfId="1" priority="784" operator="equal">
      <formula>0</formula>
    </cfRule>
  </conditionalFormatting>
  <conditionalFormatting sqref="C312">
    <cfRule type="cellIs" dxfId="1" priority="788" operator="equal">
      <formula>0</formula>
    </cfRule>
  </conditionalFormatting>
  <conditionalFormatting sqref="C313">
    <cfRule type="cellIs" dxfId="1" priority="790" operator="equal">
      <formula>0</formula>
    </cfRule>
  </conditionalFormatting>
  <conditionalFormatting sqref="C315">
    <cfRule type="cellIs" dxfId="1" priority="793" operator="equal">
      <formula>0</formula>
    </cfRule>
  </conditionalFormatting>
  <conditionalFormatting sqref="C318">
    <cfRule type="cellIs" dxfId="1" priority="797" operator="equal">
      <formula>0</formula>
    </cfRule>
  </conditionalFormatting>
  <conditionalFormatting sqref="C319">
    <cfRule type="cellIs" dxfId="1" priority="799" operator="equal">
      <formula>0</formula>
    </cfRule>
  </conditionalFormatting>
  <conditionalFormatting sqref="C32">
    <cfRule type="cellIs" dxfId="1" priority="38" operator="equal">
      <formula>0</formula>
    </cfRule>
  </conditionalFormatting>
  <conditionalFormatting sqref="C323">
    <cfRule type="expression" dxfId="0" priority="804">
      <formula>C324=0</formula>
    </cfRule>
  </conditionalFormatting>
  <conditionalFormatting sqref="C324">
    <cfRule type="cellIs" dxfId="1" priority="808" operator="equal">
      <formula>0</formula>
    </cfRule>
  </conditionalFormatting>
  <conditionalFormatting sqref="C325">
    <cfRule type="cellIs" dxfId="1" priority="812" operator="equal">
      <formula>0</formula>
    </cfRule>
  </conditionalFormatting>
  <conditionalFormatting sqref="C326">
    <cfRule type="cellIs" dxfId="1" priority="813" operator="equal">
      <formula>0</formula>
    </cfRule>
  </conditionalFormatting>
  <conditionalFormatting sqref="C327">
    <cfRule type="cellIs" dxfId="1" priority="815" operator="equal">
      <formula>0</formula>
    </cfRule>
  </conditionalFormatting>
  <conditionalFormatting sqref="C328">
    <cfRule type="cellIs" dxfId="1" priority="816" operator="equal">
      <formula>0</formula>
    </cfRule>
  </conditionalFormatting>
  <conditionalFormatting sqref="C329">
    <cfRule type="cellIs" dxfId="1" priority="817" operator="equal">
      <formula>0</formula>
    </cfRule>
  </conditionalFormatting>
  <conditionalFormatting sqref="C33">
    <cfRule type="cellIs" dxfId="1" priority="43" operator="equal">
      <formula>0</formula>
    </cfRule>
  </conditionalFormatting>
  <conditionalFormatting sqref="C330">
    <cfRule type="cellIs" dxfId="1" priority="819" operator="equal">
      <formula>0</formula>
    </cfRule>
  </conditionalFormatting>
  <conditionalFormatting sqref="C331">
    <cfRule type="cellIs" dxfId="1" priority="820" operator="equal">
      <formula>0</formula>
    </cfRule>
  </conditionalFormatting>
  <conditionalFormatting sqref="C332">
    <cfRule type="cellIs" dxfId="1" priority="821" operator="equal">
      <formula>0</formula>
    </cfRule>
  </conditionalFormatting>
  <conditionalFormatting sqref="C333">
    <cfRule type="cellIs" dxfId="1" priority="822" operator="equal">
      <formula>0</formula>
    </cfRule>
  </conditionalFormatting>
  <conditionalFormatting sqref="C334">
    <cfRule type="cellIs" dxfId="1" priority="823" operator="equal">
      <formula>0</formula>
    </cfRule>
  </conditionalFormatting>
  <conditionalFormatting sqref="C335">
    <cfRule type="cellIs" dxfId="1" priority="824" operator="equal">
      <formula>0</formula>
    </cfRule>
  </conditionalFormatting>
  <conditionalFormatting sqref="C336">
    <cfRule type="cellIs" dxfId="1" priority="825" operator="equal">
      <formula>0</formula>
    </cfRule>
  </conditionalFormatting>
  <conditionalFormatting sqref="C337">
    <cfRule type="cellIs" dxfId="1" priority="826" operator="equal">
      <formula>0</formula>
    </cfRule>
  </conditionalFormatting>
  <conditionalFormatting sqref="C338">
    <cfRule type="cellIs" dxfId="1" priority="827" operator="equal">
      <formula>0</formula>
    </cfRule>
  </conditionalFormatting>
  <conditionalFormatting sqref="C339">
    <cfRule type="cellIs" dxfId="1" priority="828" operator="equal">
      <formula>0</formula>
    </cfRule>
  </conditionalFormatting>
  <conditionalFormatting sqref="C34">
    <cfRule type="cellIs" dxfId="1" priority="47" operator="equal">
      <formula>0</formula>
    </cfRule>
  </conditionalFormatting>
  <conditionalFormatting sqref="C340">
    <cfRule type="cellIs" dxfId="1" priority="829" operator="equal">
      <formula>0</formula>
    </cfRule>
  </conditionalFormatting>
  <conditionalFormatting sqref="C341">
    <cfRule type="cellIs" dxfId="1" priority="830" operator="equal">
      <formula>0</formula>
    </cfRule>
  </conditionalFormatting>
  <conditionalFormatting sqref="C343">
    <cfRule type="cellIs" dxfId="1" priority="832" operator="equal">
      <formula>0</formula>
    </cfRule>
  </conditionalFormatting>
  <conditionalFormatting sqref="C344">
    <cfRule type="cellIs" dxfId="1" priority="833" operator="equal">
      <formula>0</formula>
    </cfRule>
  </conditionalFormatting>
  <conditionalFormatting sqref="C345">
    <cfRule type="cellIs" dxfId="1" priority="834" operator="equal">
      <formula>0</formula>
    </cfRule>
  </conditionalFormatting>
  <conditionalFormatting sqref="C346">
    <cfRule type="cellIs" dxfId="1" priority="835" operator="equal">
      <formula>0</formula>
    </cfRule>
  </conditionalFormatting>
  <conditionalFormatting sqref="C347">
    <cfRule type="cellIs" dxfId="1" priority="836" operator="equal">
      <formula>0</formula>
    </cfRule>
  </conditionalFormatting>
  <conditionalFormatting sqref="C348">
    <cfRule type="cellIs" dxfId="1" priority="837" operator="equal">
      <formula>0</formula>
    </cfRule>
  </conditionalFormatting>
  <conditionalFormatting sqref="C349">
    <cfRule type="cellIs" dxfId="1" priority="839" operator="equal">
      <formula>0</formula>
    </cfRule>
  </conditionalFormatting>
  <conditionalFormatting sqref="C35">
    <cfRule type="cellIs" dxfId="1" priority="52" operator="equal">
      <formula>0</formula>
    </cfRule>
  </conditionalFormatting>
  <conditionalFormatting sqref="C357">
    <cfRule type="expression" dxfId="0" priority="841">
      <formula>C358=0</formula>
    </cfRule>
  </conditionalFormatting>
  <conditionalFormatting sqref="C358">
    <cfRule type="cellIs" dxfId="1" priority="847" operator="equal">
      <formula>0</formula>
    </cfRule>
  </conditionalFormatting>
  <conditionalFormatting sqref="C359">
    <cfRule type="cellIs" dxfId="1" priority="853" operator="equal">
      <formula>0</formula>
    </cfRule>
  </conditionalFormatting>
  <conditionalFormatting sqref="C36">
    <cfRule type="cellIs" dxfId="1" priority="56" operator="equal">
      <formula>0</formula>
    </cfRule>
  </conditionalFormatting>
  <conditionalFormatting sqref="C360">
    <cfRule type="cellIs" dxfId="1" priority="857" operator="equal">
      <formula>0</formula>
    </cfRule>
  </conditionalFormatting>
  <conditionalFormatting sqref="C361">
    <cfRule type="cellIs" dxfId="1" priority="861" operator="equal">
      <formula>0</formula>
    </cfRule>
  </conditionalFormatting>
  <conditionalFormatting sqref="C362">
    <cfRule type="cellIs" dxfId="1" priority="865" operator="equal">
      <formula>0</formula>
    </cfRule>
  </conditionalFormatting>
  <conditionalFormatting sqref="C363">
    <cfRule type="cellIs" dxfId="1" priority="869" operator="equal">
      <formula>0</formula>
    </cfRule>
  </conditionalFormatting>
  <conditionalFormatting sqref="C365">
    <cfRule type="expression" dxfId="0" priority="873">
      <formula>C366=0</formula>
    </cfRule>
  </conditionalFormatting>
  <conditionalFormatting sqref="C366">
    <cfRule type="cellIs" dxfId="1" priority="876" operator="equal">
      <formula>0</formula>
    </cfRule>
  </conditionalFormatting>
  <conditionalFormatting sqref="C367">
    <cfRule type="cellIs" dxfId="1" priority="879" operator="equal">
      <formula>0</formula>
    </cfRule>
  </conditionalFormatting>
  <conditionalFormatting sqref="C368">
    <cfRule type="cellIs" dxfId="1" priority="881" operator="equal">
      <formula>0</formula>
    </cfRule>
  </conditionalFormatting>
  <conditionalFormatting sqref="C369">
    <cfRule type="cellIs" dxfId="1" priority="883" operator="equal">
      <formula>0</formula>
    </cfRule>
  </conditionalFormatting>
  <conditionalFormatting sqref="C37">
    <cfRule type="cellIs" dxfId="1" priority="62" operator="equal">
      <formula>0</formula>
    </cfRule>
  </conditionalFormatting>
  <conditionalFormatting sqref="C371">
    <cfRule type="cellIs" dxfId="1" priority="886" operator="equal">
      <formula>0</formula>
    </cfRule>
  </conditionalFormatting>
  <conditionalFormatting sqref="C373">
    <cfRule type="expression" dxfId="0" priority="888">
      <formula>C374=0</formula>
    </cfRule>
  </conditionalFormatting>
  <conditionalFormatting sqref="C374">
    <cfRule type="cellIs" dxfId="1" priority="890" operator="equal">
      <formula>0</formula>
    </cfRule>
  </conditionalFormatting>
  <conditionalFormatting sqref="C375">
    <cfRule type="cellIs" dxfId="1" priority="892" operator="equal">
      <formula>0</formula>
    </cfRule>
  </conditionalFormatting>
  <conditionalFormatting sqref="C376">
    <cfRule type="cellIs" dxfId="1" priority="894" operator="equal">
      <formula>0</formula>
    </cfRule>
  </conditionalFormatting>
  <conditionalFormatting sqref="C377">
    <cfRule type="cellIs" dxfId="1" priority="896" operator="equal">
      <formula>0</formula>
    </cfRule>
  </conditionalFormatting>
  <conditionalFormatting sqref="C379">
    <cfRule type="cellIs" dxfId="1" priority="898" operator="equal">
      <formula>0</formula>
    </cfRule>
  </conditionalFormatting>
  <conditionalFormatting sqref="C38">
    <cfRule type="cellIs" dxfId="1" priority="67" operator="equal">
      <formula>0</formula>
    </cfRule>
  </conditionalFormatting>
  <conditionalFormatting sqref="C387">
    <cfRule type="expression" dxfId="0" priority="900">
      <formula>C388=0</formula>
    </cfRule>
  </conditionalFormatting>
  <conditionalFormatting sqref="C388">
    <cfRule type="cellIs" dxfId="1" priority="907" operator="equal">
      <formula>0</formula>
    </cfRule>
  </conditionalFormatting>
  <conditionalFormatting sqref="C389">
    <cfRule type="cellIs" dxfId="1" priority="914" operator="equal">
      <formula>0</formula>
    </cfRule>
  </conditionalFormatting>
  <conditionalFormatting sqref="C39">
    <cfRule type="cellIs" dxfId="1" priority="71" operator="equal">
      <formula>0</formula>
    </cfRule>
  </conditionalFormatting>
  <conditionalFormatting sqref="C390">
    <cfRule type="cellIs" dxfId="1" priority="917" operator="equal">
      <formula>0</formula>
    </cfRule>
  </conditionalFormatting>
  <conditionalFormatting sqref="C391">
    <cfRule type="cellIs" dxfId="1" priority="922" operator="equal">
      <formula>0</formula>
    </cfRule>
  </conditionalFormatting>
  <conditionalFormatting sqref="C393">
    <cfRule type="expression" dxfId="0" priority="928">
      <formula>C394=0</formula>
    </cfRule>
  </conditionalFormatting>
  <conditionalFormatting sqref="C394">
    <cfRule type="cellIs" dxfId="1" priority="930" operator="equal">
      <formula>0</formula>
    </cfRule>
  </conditionalFormatting>
  <conditionalFormatting sqref="C395">
    <cfRule type="cellIs" dxfId="1" priority="932" operator="equal">
      <formula>0</formula>
    </cfRule>
  </conditionalFormatting>
  <conditionalFormatting sqref="C396">
    <cfRule type="cellIs" dxfId="1" priority="933" operator="equal">
      <formula>0</formula>
    </cfRule>
  </conditionalFormatting>
  <conditionalFormatting sqref="C397">
    <cfRule type="cellIs" dxfId="1" priority="935" operator="equal">
      <formula>0</formula>
    </cfRule>
  </conditionalFormatting>
  <conditionalFormatting sqref="C399">
    <cfRule type="expression" dxfId="0" priority="936">
      <formula>C400=0</formula>
    </cfRule>
  </conditionalFormatting>
  <conditionalFormatting sqref="C40">
    <cfRule type="cellIs" dxfId="1" priority="74" operator="equal">
      <formula>0</formula>
    </cfRule>
  </conditionalFormatting>
  <conditionalFormatting sqref="C400">
    <cfRule type="cellIs" dxfId="1" priority="937" operator="equal">
      <formula>0</formula>
    </cfRule>
  </conditionalFormatting>
  <conditionalFormatting sqref="C401">
    <cfRule type="cellIs" dxfId="1" priority="938" operator="equal">
      <formula>0</formula>
    </cfRule>
  </conditionalFormatting>
  <conditionalFormatting sqref="C402">
    <cfRule type="cellIs" dxfId="1" priority="939" operator="equal">
      <formula>0</formula>
    </cfRule>
  </conditionalFormatting>
  <conditionalFormatting sqref="C403">
    <cfRule type="cellIs" dxfId="1" priority="940" operator="equal">
      <formula>0</formula>
    </cfRule>
  </conditionalFormatting>
  <conditionalFormatting sqref="C41">
    <cfRule type="cellIs" dxfId="1" priority="77" operator="equal">
      <formula>0</formula>
    </cfRule>
  </conditionalFormatting>
  <conditionalFormatting sqref="C411">
    <cfRule type="expression" dxfId="0" priority="941">
      <formula>C412=0</formula>
    </cfRule>
  </conditionalFormatting>
  <conditionalFormatting sqref="C412">
    <cfRule type="cellIs" dxfId="1" priority="945" operator="equal">
      <formula>0</formula>
    </cfRule>
  </conditionalFormatting>
  <conditionalFormatting sqref="C413">
    <cfRule type="cellIs" dxfId="1" priority="949" operator="equal">
      <formula>0</formula>
    </cfRule>
  </conditionalFormatting>
  <conditionalFormatting sqref="C415">
    <cfRule type="expression" dxfId="0" priority="953">
      <formula>C416=0</formula>
    </cfRule>
  </conditionalFormatting>
  <conditionalFormatting sqref="C416">
    <cfRule type="cellIs" dxfId="1" priority="954" operator="equal">
      <formula>0</formula>
    </cfRule>
  </conditionalFormatting>
  <conditionalFormatting sqref="C417">
    <cfRule type="cellIs" dxfId="1" priority="955" operator="equal">
      <formula>0</formula>
    </cfRule>
  </conditionalFormatting>
  <conditionalFormatting sqref="C419">
    <cfRule type="expression" dxfId="0" priority="956">
      <formula>C420=0</formula>
    </cfRule>
  </conditionalFormatting>
  <conditionalFormatting sqref="C42">
    <cfRule type="cellIs" dxfId="1" priority="82" operator="equal">
      <formula>0</formula>
    </cfRule>
  </conditionalFormatting>
  <conditionalFormatting sqref="C420">
    <cfRule type="cellIs" dxfId="1" priority="957" operator="equal">
      <formula>0</formula>
    </cfRule>
  </conditionalFormatting>
  <conditionalFormatting sqref="C421">
    <cfRule type="cellIs" dxfId="1" priority="958" operator="equal">
      <formula>0</formula>
    </cfRule>
  </conditionalFormatting>
  <conditionalFormatting sqref="C429">
    <cfRule type="expression" dxfId="0" priority="959">
      <formula>C430=0</formula>
    </cfRule>
  </conditionalFormatting>
  <conditionalFormatting sqref="C43">
    <cfRule type="cellIs" dxfId="1" priority="86" operator="equal">
      <formula>0</formula>
    </cfRule>
  </conditionalFormatting>
  <conditionalFormatting sqref="C430">
    <cfRule type="cellIs" dxfId="1" priority="969" operator="equal">
      <formula>0</formula>
    </cfRule>
  </conditionalFormatting>
  <conditionalFormatting sqref="C431">
    <cfRule type="cellIs" dxfId="1" priority="979" operator="equal">
      <formula>0</formula>
    </cfRule>
  </conditionalFormatting>
  <conditionalFormatting sqref="C432">
    <cfRule type="cellIs" dxfId="1" priority="984" operator="equal">
      <formula>0</formula>
    </cfRule>
  </conditionalFormatting>
  <conditionalFormatting sqref="C433">
    <cfRule type="cellIs" dxfId="1" priority="989" operator="equal">
      <formula>0</formula>
    </cfRule>
  </conditionalFormatting>
  <conditionalFormatting sqref="C434">
    <cfRule type="cellIs" dxfId="1" priority="993" operator="equal">
      <formula>0</formula>
    </cfRule>
  </conditionalFormatting>
  <conditionalFormatting sqref="C435">
    <cfRule type="cellIs" dxfId="1" priority="998" operator="equal">
      <formula>0</formula>
    </cfRule>
  </conditionalFormatting>
  <conditionalFormatting sqref="C436">
    <cfRule type="cellIs" dxfId="1" priority="1003" operator="equal">
      <formula>0</formula>
    </cfRule>
  </conditionalFormatting>
  <conditionalFormatting sqref="C437">
    <cfRule type="cellIs" dxfId="1" priority="1009" operator="equal">
      <formula>0</formula>
    </cfRule>
  </conditionalFormatting>
  <conditionalFormatting sqref="C438">
    <cfRule type="cellIs" dxfId="1" priority="1014" operator="equal">
      <formula>0</formula>
    </cfRule>
  </conditionalFormatting>
  <conditionalFormatting sqref="C44">
    <cfRule type="cellIs" dxfId="1" priority="91" operator="equal">
      <formula>0</formula>
    </cfRule>
  </conditionalFormatting>
  <conditionalFormatting sqref="C440">
    <cfRule type="expression" dxfId="0" priority="1018">
      <formula>C441=0</formula>
    </cfRule>
  </conditionalFormatting>
  <conditionalFormatting sqref="C441">
    <cfRule type="cellIs" dxfId="1" priority="1023" operator="equal">
      <formula>0</formula>
    </cfRule>
  </conditionalFormatting>
  <conditionalFormatting sqref="C442">
    <cfRule type="cellIs" dxfId="1" priority="1028" operator="equal">
      <formula>0</formula>
    </cfRule>
  </conditionalFormatting>
  <conditionalFormatting sqref="C443">
    <cfRule type="cellIs" dxfId="1" priority="1030" operator="equal">
      <formula>0</formula>
    </cfRule>
  </conditionalFormatting>
  <conditionalFormatting sqref="C444">
    <cfRule type="cellIs" dxfId="1" priority="1032" operator="equal">
      <formula>0</formula>
    </cfRule>
  </conditionalFormatting>
  <conditionalFormatting sqref="C445">
    <cfRule type="cellIs" dxfId="1" priority="1034" operator="equal">
      <formula>0</formula>
    </cfRule>
  </conditionalFormatting>
  <conditionalFormatting sqref="C446">
    <cfRule type="cellIs" dxfId="1" priority="1036" operator="equal">
      <formula>0</formula>
    </cfRule>
  </conditionalFormatting>
  <conditionalFormatting sqref="C448">
    <cfRule type="cellIs" dxfId="1" priority="1040" operator="equal">
      <formula>0</formula>
    </cfRule>
  </conditionalFormatting>
  <conditionalFormatting sqref="C45">
    <cfRule type="cellIs" dxfId="1" priority="95" operator="equal">
      <formula>0</formula>
    </cfRule>
  </conditionalFormatting>
  <conditionalFormatting sqref="C451">
    <cfRule type="expression" dxfId="0" priority="1044">
      <formula>C452=0</formula>
    </cfRule>
  </conditionalFormatting>
  <conditionalFormatting sqref="C452">
    <cfRule type="cellIs" dxfId="1" priority="1047" operator="equal">
      <formula>0</formula>
    </cfRule>
  </conditionalFormatting>
  <conditionalFormatting sqref="C453">
    <cfRule type="cellIs" dxfId="1" priority="1050" operator="equal">
      <formula>0</formula>
    </cfRule>
  </conditionalFormatting>
  <conditionalFormatting sqref="C46">
    <cfRule type="cellIs" dxfId="1" priority="100" operator="equal">
      <formula>0</formula>
    </cfRule>
  </conditionalFormatting>
  <conditionalFormatting sqref="C468">
    <cfRule type="expression" dxfId="0" priority="1059">
      <formula>C469=0</formula>
    </cfRule>
  </conditionalFormatting>
  <conditionalFormatting sqref="C469">
    <cfRule type="cellIs" dxfId="1" priority="1068" operator="equal">
      <formula>0</formula>
    </cfRule>
  </conditionalFormatting>
  <conditionalFormatting sqref="C47">
    <cfRule type="cellIs" dxfId="1" priority="104" operator="equal">
      <formula>0</formula>
    </cfRule>
  </conditionalFormatting>
  <conditionalFormatting sqref="C470">
    <cfRule type="cellIs" dxfId="1" priority="1077" operator="equal">
      <formula>0</formula>
    </cfRule>
  </conditionalFormatting>
  <conditionalFormatting sqref="C471">
    <cfRule type="cellIs" dxfId="1" priority="1082" operator="equal">
      <formula>0</formula>
    </cfRule>
  </conditionalFormatting>
  <conditionalFormatting sqref="C472">
    <cfRule type="cellIs" dxfId="1" priority="1087" operator="equal">
      <formula>0</formula>
    </cfRule>
  </conditionalFormatting>
  <conditionalFormatting sqref="C473">
    <cfRule type="cellIs" dxfId="1" priority="1091" operator="equal">
      <formula>0</formula>
    </cfRule>
  </conditionalFormatting>
  <conditionalFormatting sqref="C474">
    <cfRule type="cellIs" dxfId="1" priority="1095" operator="equal">
      <formula>0</formula>
    </cfRule>
  </conditionalFormatting>
  <conditionalFormatting sqref="C475">
    <cfRule type="cellIs" dxfId="1" priority="1100" operator="equal">
      <formula>0</formula>
    </cfRule>
  </conditionalFormatting>
  <conditionalFormatting sqref="C476">
    <cfRule type="cellIs" dxfId="1" priority="1104" operator="equal">
      <formula>0</formula>
    </cfRule>
  </conditionalFormatting>
  <conditionalFormatting sqref="C478">
    <cfRule type="expression" dxfId="0" priority="1109">
      <formula>C479=0</formula>
    </cfRule>
  </conditionalFormatting>
  <conditionalFormatting sqref="C479">
    <cfRule type="cellIs" dxfId="1" priority="1115" operator="equal">
      <formula>0</formula>
    </cfRule>
  </conditionalFormatting>
  <conditionalFormatting sqref="C48">
    <cfRule type="cellIs" dxfId="1" priority="109" operator="equal">
      <formula>0</formula>
    </cfRule>
  </conditionalFormatting>
  <conditionalFormatting sqref="C480">
    <cfRule type="cellIs" dxfId="1" priority="1121" operator="equal">
      <formula>0</formula>
    </cfRule>
  </conditionalFormatting>
  <conditionalFormatting sqref="C482">
    <cfRule type="cellIs" dxfId="1" priority="1124" operator="equal">
      <formula>0</formula>
    </cfRule>
  </conditionalFormatting>
  <conditionalFormatting sqref="C485">
    <cfRule type="cellIs" dxfId="1" priority="1128" operator="equal">
      <formula>0</formula>
    </cfRule>
  </conditionalFormatting>
  <conditionalFormatting sqref="C488">
    <cfRule type="expression" dxfId="0" priority="1132">
      <formula>C489=0</formula>
    </cfRule>
  </conditionalFormatting>
  <conditionalFormatting sqref="C489">
    <cfRule type="cellIs" dxfId="1" priority="1134" operator="equal">
      <formula>0</formula>
    </cfRule>
  </conditionalFormatting>
  <conditionalFormatting sqref="C49">
    <cfRule type="cellIs" dxfId="1" priority="115" operator="equal">
      <formula>0</formula>
    </cfRule>
  </conditionalFormatting>
  <conditionalFormatting sqref="C490">
    <cfRule type="cellIs" dxfId="1" priority="1136" operator="equal">
      <formula>0</formula>
    </cfRule>
  </conditionalFormatting>
  <conditionalFormatting sqref="C491">
    <cfRule type="cellIs" dxfId="1" priority="1137" operator="equal">
      <formula>0</formula>
    </cfRule>
  </conditionalFormatting>
  <conditionalFormatting sqref="C492">
    <cfRule type="cellIs" dxfId="1" priority="1138" operator="equal">
      <formula>0</formula>
    </cfRule>
  </conditionalFormatting>
  <conditionalFormatting sqref="C494">
    <cfRule type="cellIs" dxfId="1" priority="1140" operator="equal">
      <formula>0</formula>
    </cfRule>
  </conditionalFormatting>
  <conditionalFormatting sqref="C495">
    <cfRule type="cellIs" dxfId="1" priority="1141" operator="equal">
      <formula>0</formula>
    </cfRule>
  </conditionalFormatting>
  <conditionalFormatting sqref="C496">
    <cfRule type="cellIs" dxfId="1" priority="1142" operator="equal">
      <formula>0</formula>
    </cfRule>
  </conditionalFormatting>
  <conditionalFormatting sqref="C50">
    <cfRule type="cellIs" dxfId="1" priority="120" operator="equal">
      <formula>0</formula>
    </cfRule>
  </conditionalFormatting>
  <conditionalFormatting sqref="C504">
    <cfRule type="expression" dxfId="0" priority="1144">
      <formula>C505=0</formula>
    </cfRule>
  </conditionalFormatting>
  <conditionalFormatting sqref="C505">
    <cfRule type="cellIs" dxfId="1" priority="1150" operator="equal">
      <formula>0</formula>
    </cfRule>
  </conditionalFormatting>
  <conditionalFormatting sqref="C506">
    <cfRule type="cellIs" dxfId="1" priority="1156" operator="equal">
      <formula>0</formula>
    </cfRule>
  </conditionalFormatting>
  <conditionalFormatting sqref="C507">
    <cfRule type="cellIs" dxfId="1" priority="1160" operator="equal">
      <formula>0</formula>
    </cfRule>
  </conditionalFormatting>
  <conditionalFormatting sqref="C508">
    <cfRule type="cellIs" dxfId="1" priority="1165" operator="equal">
      <formula>0</formula>
    </cfRule>
  </conditionalFormatting>
  <conditionalFormatting sqref="C509">
    <cfRule type="cellIs" dxfId="1" priority="1170" operator="equal">
      <formula>0</formula>
    </cfRule>
  </conditionalFormatting>
  <conditionalFormatting sqref="C51">
    <cfRule type="cellIs" dxfId="1" priority="125" operator="equal">
      <formula>0</formula>
    </cfRule>
  </conditionalFormatting>
  <conditionalFormatting sqref="C510">
    <cfRule type="cellIs" dxfId="1" priority="1174" operator="equal">
      <formula>0</formula>
    </cfRule>
  </conditionalFormatting>
  <conditionalFormatting sqref="C512">
    <cfRule type="expression" dxfId="0" priority="1178">
      <formula>C513=0</formula>
    </cfRule>
  </conditionalFormatting>
  <conditionalFormatting sqref="C513">
    <cfRule type="cellIs" dxfId="1" priority="1182" operator="equal">
      <formula>0</formula>
    </cfRule>
  </conditionalFormatting>
  <conditionalFormatting sqref="C514">
    <cfRule type="cellIs" dxfId="1" priority="1186" operator="equal">
      <formula>0</formula>
    </cfRule>
  </conditionalFormatting>
  <conditionalFormatting sqref="C515">
    <cfRule type="cellIs" dxfId="1" priority="1188" operator="equal">
      <formula>0</formula>
    </cfRule>
  </conditionalFormatting>
  <conditionalFormatting sqref="C517">
    <cfRule type="cellIs" dxfId="1" priority="1192" operator="equal">
      <formula>0</formula>
    </cfRule>
  </conditionalFormatting>
  <conditionalFormatting sqref="C518">
    <cfRule type="cellIs" dxfId="1" priority="1194" operator="equal">
      <formula>0</formula>
    </cfRule>
  </conditionalFormatting>
  <conditionalFormatting sqref="C52">
    <cfRule type="cellIs" dxfId="1" priority="129" operator="equal">
      <formula>0</formula>
    </cfRule>
  </conditionalFormatting>
  <conditionalFormatting sqref="C520">
    <cfRule type="expression" dxfId="0" priority="1196">
      <formula>C521=0</formula>
    </cfRule>
  </conditionalFormatting>
  <conditionalFormatting sqref="C521">
    <cfRule type="cellIs" dxfId="1" priority="1198" operator="equal">
      <formula>0</formula>
    </cfRule>
  </conditionalFormatting>
  <conditionalFormatting sqref="C522">
    <cfRule type="cellIs" dxfId="1" priority="1200" operator="equal">
      <formula>0</formula>
    </cfRule>
  </conditionalFormatting>
  <conditionalFormatting sqref="C523">
    <cfRule type="cellIs" dxfId="1" priority="1202" operator="equal">
      <formula>0</formula>
    </cfRule>
  </conditionalFormatting>
  <conditionalFormatting sqref="C525">
    <cfRule type="cellIs" dxfId="1" priority="1204" operator="equal">
      <formula>0</formula>
    </cfRule>
  </conditionalFormatting>
  <conditionalFormatting sqref="C526">
    <cfRule type="cellIs" dxfId="1" priority="1206" operator="equal">
      <formula>0</formula>
    </cfRule>
  </conditionalFormatting>
  <conditionalFormatting sqref="C53">
    <cfRule type="cellIs" dxfId="1" priority="134" operator="equal">
      <formula>0</formula>
    </cfRule>
  </conditionalFormatting>
  <conditionalFormatting sqref="C534">
    <cfRule type="expression" dxfId="0" priority="1208">
      <formula>C535=0</formula>
    </cfRule>
  </conditionalFormatting>
  <conditionalFormatting sqref="C535">
    <cfRule type="cellIs" dxfId="1" priority="1213" operator="equal">
      <formula>0</formula>
    </cfRule>
  </conditionalFormatting>
  <conditionalFormatting sqref="C536">
    <cfRule type="cellIs" dxfId="1" priority="1218" operator="equal">
      <formula>0</formula>
    </cfRule>
  </conditionalFormatting>
  <conditionalFormatting sqref="C538">
    <cfRule type="expression" dxfId="0" priority="1223">
      <formula>C539=0</formula>
    </cfRule>
  </conditionalFormatting>
  <conditionalFormatting sqref="C539">
    <cfRule type="cellIs" dxfId="1" priority="1225" operator="equal">
      <formula>0</formula>
    </cfRule>
  </conditionalFormatting>
  <conditionalFormatting sqref="C540">
    <cfRule type="cellIs" dxfId="1" priority="1227" operator="equal">
      <formula>0</formula>
    </cfRule>
  </conditionalFormatting>
  <conditionalFormatting sqref="C542">
    <cfRule type="expression" dxfId="0" priority="1229">
      <formula>C543=0</formula>
    </cfRule>
  </conditionalFormatting>
  <conditionalFormatting sqref="C543">
    <cfRule type="cellIs" dxfId="1" priority="1231" operator="equal">
      <formula>0</formula>
    </cfRule>
  </conditionalFormatting>
  <conditionalFormatting sqref="C544">
    <cfRule type="cellIs" dxfId="1" priority="1233" operator="equal">
      <formula>0</formula>
    </cfRule>
  </conditionalFormatting>
  <conditionalFormatting sqref="C55">
    <cfRule type="expression" dxfId="0" priority="138">
      <formula>C56=0</formula>
    </cfRule>
  </conditionalFormatting>
  <conditionalFormatting sqref="C552">
    <cfRule type="expression" dxfId="0" priority="1235">
      <formula>C553=0</formula>
    </cfRule>
  </conditionalFormatting>
  <conditionalFormatting sqref="C553">
    <cfRule type="cellIs" dxfId="1" priority="1244" operator="equal">
      <formula>0</formula>
    </cfRule>
  </conditionalFormatting>
  <conditionalFormatting sqref="C554">
    <cfRule type="cellIs" dxfId="1" priority="1253" operator="equal">
      <formula>0</formula>
    </cfRule>
  </conditionalFormatting>
  <conditionalFormatting sqref="C555">
    <cfRule type="cellIs" dxfId="1" priority="1257" operator="equal">
      <formula>0</formula>
    </cfRule>
  </conditionalFormatting>
  <conditionalFormatting sqref="C556">
    <cfRule type="cellIs" dxfId="1" priority="1262" operator="equal">
      <formula>0</formula>
    </cfRule>
  </conditionalFormatting>
  <conditionalFormatting sqref="C557">
    <cfRule type="cellIs" dxfId="1" priority="1267" operator="equal">
      <formula>0</formula>
    </cfRule>
  </conditionalFormatting>
  <conditionalFormatting sqref="C558">
    <cfRule type="cellIs" dxfId="1" priority="1272" operator="equal">
      <formula>0</formula>
    </cfRule>
  </conditionalFormatting>
  <conditionalFormatting sqref="C559">
    <cfRule type="cellIs" dxfId="1" priority="1277" operator="equal">
      <formula>0</formula>
    </cfRule>
  </conditionalFormatting>
  <conditionalFormatting sqref="C56">
    <cfRule type="cellIs" dxfId="1" priority="146" operator="equal">
      <formula>0</formula>
    </cfRule>
  </conditionalFormatting>
  <conditionalFormatting sqref="C560">
    <cfRule type="cellIs" dxfId="1" priority="1282" operator="equal">
      <formula>0</formula>
    </cfRule>
  </conditionalFormatting>
  <conditionalFormatting sqref="C562">
    <cfRule type="expression" dxfId="0" priority="1286">
      <formula>C563=0</formula>
    </cfRule>
  </conditionalFormatting>
  <conditionalFormatting sqref="C563">
    <cfRule type="cellIs" dxfId="1" priority="1290" operator="equal">
      <formula>0</formula>
    </cfRule>
  </conditionalFormatting>
  <conditionalFormatting sqref="C564">
    <cfRule type="cellIs" dxfId="1" priority="1294" operator="equal">
      <formula>0</formula>
    </cfRule>
  </conditionalFormatting>
  <conditionalFormatting sqref="C566">
    <cfRule type="cellIs" dxfId="1" priority="1297" operator="equal">
      <formula>0</formula>
    </cfRule>
  </conditionalFormatting>
  <conditionalFormatting sqref="C567">
    <cfRule type="cellIs" dxfId="1" priority="1299" operator="equal">
      <formula>0</formula>
    </cfRule>
  </conditionalFormatting>
  <conditionalFormatting sqref="C569">
    <cfRule type="cellIs" dxfId="1" priority="1302" operator="equal">
      <formula>0</formula>
    </cfRule>
  </conditionalFormatting>
  <conditionalFormatting sqref="C57">
    <cfRule type="cellIs" dxfId="1" priority="154" operator="equal">
      <formula>0</formula>
    </cfRule>
  </conditionalFormatting>
  <conditionalFormatting sqref="C570">
    <cfRule type="cellIs" dxfId="1" priority="1304" operator="equal">
      <formula>0</formula>
    </cfRule>
  </conditionalFormatting>
  <conditionalFormatting sqref="C572">
    <cfRule type="expression" dxfId="0" priority="1306">
      <formula>C573=0</formula>
    </cfRule>
  </conditionalFormatting>
  <conditionalFormatting sqref="C573">
    <cfRule type="cellIs" dxfId="1" priority="1307" operator="equal">
      <formula>0</formula>
    </cfRule>
  </conditionalFormatting>
  <conditionalFormatting sqref="C574">
    <cfRule type="cellIs" dxfId="1" priority="1308" operator="equal">
      <formula>0</formula>
    </cfRule>
  </conditionalFormatting>
  <conditionalFormatting sqref="C575">
    <cfRule type="cellIs" dxfId="1" priority="1309" operator="equal">
      <formula>0</formula>
    </cfRule>
  </conditionalFormatting>
  <conditionalFormatting sqref="C576">
    <cfRule type="cellIs" dxfId="1" priority="1310" operator="equal">
      <formula>0</formula>
    </cfRule>
  </conditionalFormatting>
  <conditionalFormatting sqref="C577">
    <cfRule type="cellIs" dxfId="1" priority="1311" operator="equal">
      <formula>0</formula>
    </cfRule>
  </conditionalFormatting>
  <conditionalFormatting sqref="C578">
    <cfRule type="cellIs" dxfId="1" priority="1312" operator="equal">
      <formula>0</formula>
    </cfRule>
  </conditionalFormatting>
  <conditionalFormatting sqref="C579">
    <cfRule type="cellIs" dxfId="1" priority="1313" operator="equal">
      <formula>0</formula>
    </cfRule>
  </conditionalFormatting>
  <conditionalFormatting sqref="C580">
    <cfRule type="cellIs" dxfId="1" priority="1314" operator="equal">
      <formula>0</formula>
    </cfRule>
  </conditionalFormatting>
  <conditionalFormatting sqref="C588">
    <cfRule type="expression" dxfId="0" priority="1315">
      <formula>C589=0</formula>
    </cfRule>
  </conditionalFormatting>
  <conditionalFormatting sqref="C589">
    <cfRule type="cellIs" dxfId="1" priority="1322" operator="equal">
      <formula>0</formula>
    </cfRule>
  </conditionalFormatting>
  <conditionalFormatting sqref="C59">
    <cfRule type="cellIs" dxfId="1" priority="158" operator="equal">
      <formula>0</formula>
    </cfRule>
  </conditionalFormatting>
  <conditionalFormatting sqref="C590">
    <cfRule type="cellIs" dxfId="1" priority="1329" operator="equal">
      <formula>0</formula>
    </cfRule>
  </conditionalFormatting>
  <conditionalFormatting sqref="C591">
    <cfRule type="cellIs" dxfId="1" priority="1334" operator="equal">
      <formula>0</formula>
    </cfRule>
  </conditionalFormatting>
  <conditionalFormatting sqref="C592">
    <cfRule type="cellIs" dxfId="1" priority="1338" operator="equal">
      <formula>0</formula>
    </cfRule>
  </conditionalFormatting>
  <conditionalFormatting sqref="C593">
    <cfRule type="cellIs" dxfId="1" priority="1343" operator="equal">
      <formula>0</formula>
    </cfRule>
  </conditionalFormatting>
  <conditionalFormatting sqref="C594">
    <cfRule type="cellIs" dxfId="1" priority="1347" operator="equal">
      <formula>0</formula>
    </cfRule>
  </conditionalFormatting>
  <conditionalFormatting sqref="C596">
    <cfRule type="expression" dxfId="0" priority="1352">
      <formula>C597=0</formula>
    </cfRule>
  </conditionalFormatting>
  <conditionalFormatting sqref="C597">
    <cfRule type="cellIs" dxfId="1" priority="1356" operator="equal">
      <formula>0</formula>
    </cfRule>
  </conditionalFormatting>
  <conditionalFormatting sqref="C598">
    <cfRule type="cellIs" dxfId="1" priority="1360" operator="equal">
      <formula>0</formula>
    </cfRule>
  </conditionalFormatting>
  <conditionalFormatting sqref="C599">
    <cfRule type="cellIs" dxfId="1" priority="1362" operator="equal">
      <formula>0</formula>
    </cfRule>
  </conditionalFormatting>
  <conditionalFormatting sqref="C600">
    <cfRule type="cellIs" dxfId="1" priority="1364" operator="equal">
      <formula>0</formula>
    </cfRule>
  </conditionalFormatting>
  <conditionalFormatting sqref="C601">
    <cfRule type="cellIs" dxfId="1" priority="1365" operator="equal">
      <formula>0</formula>
    </cfRule>
  </conditionalFormatting>
  <conditionalFormatting sqref="C602">
    <cfRule type="cellIs" dxfId="1" priority="1367" operator="equal">
      <formula>0</formula>
    </cfRule>
  </conditionalFormatting>
  <conditionalFormatting sqref="C604">
    <cfRule type="expression" dxfId="0" priority="1368">
      <formula>C605=0</formula>
    </cfRule>
  </conditionalFormatting>
  <conditionalFormatting sqref="C605">
    <cfRule type="cellIs" dxfId="1" priority="1371" operator="equal">
      <formula>0</formula>
    </cfRule>
  </conditionalFormatting>
  <conditionalFormatting sqref="C606">
    <cfRule type="cellIs" dxfId="1" priority="1374" operator="equal">
      <formula>0</formula>
    </cfRule>
  </conditionalFormatting>
  <conditionalFormatting sqref="C607">
    <cfRule type="cellIs" dxfId="1" priority="1376" operator="equal">
      <formula>0</formula>
    </cfRule>
  </conditionalFormatting>
  <conditionalFormatting sqref="C608">
    <cfRule type="cellIs" dxfId="1" priority="1378" operator="equal">
      <formula>0</formula>
    </cfRule>
  </conditionalFormatting>
  <conditionalFormatting sqref="C609">
    <cfRule type="cellIs" dxfId="1" priority="1379" operator="equal">
      <formula>0</formula>
    </cfRule>
  </conditionalFormatting>
  <conditionalFormatting sqref="C61">
    <cfRule type="cellIs" dxfId="1" priority="161" operator="equal">
      <formula>0</formula>
    </cfRule>
  </conditionalFormatting>
  <conditionalFormatting sqref="C610">
    <cfRule type="cellIs" dxfId="1" priority="1380" operator="equal">
      <formula>0</formula>
    </cfRule>
  </conditionalFormatting>
  <conditionalFormatting sqref="C618">
    <cfRule type="expression" dxfId="0" priority="1382">
      <formula>C619=0</formula>
    </cfRule>
  </conditionalFormatting>
  <conditionalFormatting sqref="C619">
    <cfRule type="cellIs" dxfId="1" priority="1388" operator="equal">
      <formula>0</formula>
    </cfRule>
  </conditionalFormatting>
  <conditionalFormatting sqref="C620">
    <cfRule type="cellIs" dxfId="1" priority="1394" operator="equal">
      <formula>0</formula>
    </cfRule>
  </conditionalFormatting>
  <conditionalFormatting sqref="C621">
    <cfRule type="cellIs" dxfId="1" priority="1398" operator="equal">
      <formula>0</formula>
    </cfRule>
  </conditionalFormatting>
  <conditionalFormatting sqref="C622">
    <cfRule type="cellIs" dxfId="1" priority="1402" operator="equal">
      <formula>0</formula>
    </cfRule>
  </conditionalFormatting>
  <conditionalFormatting sqref="C623">
    <cfRule type="cellIs" dxfId="1" priority="1406" operator="equal">
      <formula>0</formula>
    </cfRule>
  </conditionalFormatting>
  <conditionalFormatting sqref="C624">
    <cfRule type="cellIs" dxfId="1" priority="1410" operator="equal">
      <formula>0</formula>
    </cfRule>
  </conditionalFormatting>
  <conditionalFormatting sqref="C625">
    <cfRule type="cellIs" dxfId="1" priority="1414" operator="equal">
      <formula>0</formula>
    </cfRule>
  </conditionalFormatting>
  <conditionalFormatting sqref="C626">
    <cfRule type="cellIs" dxfId="1" priority="1419" operator="equal">
      <formula>0</formula>
    </cfRule>
  </conditionalFormatting>
  <conditionalFormatting sqref="C627">
    <cfRule type="cellIs" dxfId="1" priority="1422" operator="equal">
      <formula>0</formula>
    </cfRule>
  </conditionalFormatting>
  <conditionalFormatting sqref="C629">
    <cfRule type="expression" dxfId="0" priority="1426">
      <formula>C630=0</formula>
    </cfRule>
  </conditionalFormatting>
  <conditionalFormatting sqref="C630">
    <cfRule type="cellIs" dxfId="1" priority="1434" operator="equal">
      <formula>0</formula>
    </cfRule>
  </conditionalFormatting>
  <conditionalFormatting sqref="C631">
    <cfRule type="cellIs" dxfId="1" priority="1442" operator="equal">
      <formula>0</formula>
    </cfRule>
  </conditionalFormatting>
  <conditionalFormatting sqref="C640">
    <cfRule type="expression" dxfId="0" priority="1456">
      <formula>C641=0</formula>
    </cfRule>
  </conditionalFormatting>
  <conditionalFormatting sqref="C641">
    <cfRule type="cellIs" dxfId="1" priority="1460" operator="equal">
      <formula>0</formula>
    </cfRule>
  </conditionalFormatting>
  <conditionalFormatting sqref="C642">
    <cfRule type="cellIs" dxfId="1" priority="1464" operator="equal">
      <formula>0</formula>
    </cfRule>
  </conditionalFormatting>
  <conditionalFormatting sqref="C65">
    <cfRule type="cellIs" dxfId="1" priority="167" operator="equal">
      <formula>0</formula>
    </cfRule>
  </conditionalFormatting>
  <conditionalFormatting sqref="C657">
    <cfRule type="expression" dxfId="0" priority="1473">
      <formula>C658=0</formula>
    </cfRule>
  </conditionalFormatting>
  <conditionalFormatting sqref="C658">
    <cfRule type="cellIs" dxfId="1" priority="1484" operator="equal">
      <formula>0</formula>
    </cfRule>
  </conditionalFormatting>
  <conditionalFormatting sqref="C659">
    <cfRule type="cellIs" dxfId="1" priority="1495" operator="equal">
      <formula>0</formula>
    </cfRule>
  </conditionalFormatting>
  <conditionalFormatting sqref="C66">
    <cfRule type="cellIs" dxfId="1" priority="169" operator="equal">
      <formula>0</formula>
    </cfRule>
  </conditionalFormatting>
  <conditionalFormatting sqref="C660">
    <cfRule type="cellIs" dxfId="1" priority="1499" operator="equal">
      <formula>0</formula>
    </cfRule>
  </conditionalFormatting>
  <conditionalFormatting sqref="C661">
    <cfRule type="cellIs" dxfId="1" priority="1504" operator="equal">
      <formula>0</formula>
    </cfRule>
  </conditionalFormatting>
  <conditionalFormatting sqref="C662">
    <cfRule type="cellIs" dxfId="1" priority="1507" operator="equal">
      <formula>0</formula>
    </cfRule>
  </conditionalFormatting>
  <conditionalFormatting sqref="C663">
    <cfRule type="cellIs" dxfId="1" priority="1512" operator="equal">
      <formula>0</formula>
    </cfRule>
  </conditionalFormatting>
  <conditionalFormatting sqref="C664">
    <cfRule type="cellIs" dxfId="1" priority="1517" operator="equal">
      <formula>0</formula>
    </cfRule>
  </conditionalFormatting>
  <conditionalFormatting sqref="C665">
    <cfRule type="cellIs" dxfId="1" priority="1522" operator="equal">
      <formula>0</formula>
    </cfRule>
  </conditionalFormatting>
  <conditionalFormatting sqref="C666">
    <cfRule type="cellIs" dxfId="1" priority="1526" operator="equal">
      <formula>0</formula>
    </cfRule>
  </conditionalFormatting>
  <conditionalFormatting sqref="C667">
    <cfRule type="cellIs" dxfId="1" priority="1531" operator="equal">
      <formula>0</formula>
    </cfRule>
  </conditionalFormatting>
  <conditionalFormatting sqref="C668">
    <cfRule type="cellIs" dxfId="1" priority="1537" operator="equal">
      <formula>0</formula>
    </cfRule>
  </conditionalFormatting>
  <conditionalFormatting sqref="C669">
    <cfRule type="cellIs" dxfId="1" priority="1541" operator="equal">
      <formula>0</formula>
    </cfRule>
  </conditionalFormatting>
  <conditionalFormatting sqref="C670">
    <cfRule type="cellIs" dxfId="1" priority="1545" operator="equal">
      <formula>0</formula>
    </cfRule>
  </conditionalFormatting>
  <conditionalFormatting sqref="C671">
    <cfRule type="cellIs" dxfId="1" priority="1549" operator="equal">
      <formula>0</formula>
    </cfRule>
  </conditionalFormatting>
  <conditionalFormatting sqref="C672">
    <cfRule type="cellIs" dxfId="1" priority="1551" operator="equal">
      <formula>0</formula>
    </cfRule>
  </conditionalFormatting>
  <conditionalFormatting sqref="C674">
    <cfRule type="expression" dxfId="0" priority="1554">
      <formula>C675=0</formula>
    </cfRule>
  </conditionalFormatting>
  <conditionalFormatting sqref="C675">
    <cfRule type="cellIs" dxfId="1" priority="1560" operator="equal">
      <formula>0</formula>
    </cfRule>
  </conditionalFormatting>
  <conditionalFormatting sqref="C676">
    <cfRule type="cellIs" dxfId="1" priority="1566" operator="equal">
      <formula>0</formula>
    </cfRule>
  </conditionalFormatting>
  <conditionalFormatting sqref="C691">
    <cfRule type="expression" dxfId="0" priority="1587">
      <formula>C692=0</formula>
    </cfRule>
  </conditionalFormatting>
  <conditionalFormatting sqref="C692">
    <cfRule type="cellIs" dxfId="1" priority="1589" operator="equal">
      <formula>0</formula>
    </cfRule>
  </conditionalFormatting>
  <conditionalFormatting sqref="C693">
    <cfRule type="cellIs" dxfId="1" priority="1591" operator="equal">
      <formula>0</formula>
    </cfRule>
  </conditionalFormatting>
  <conditionalFormatting sqref="C70">
    <cfRule type="cellIs" dxfId="1" priority="174" operator="equal">
      <formula>0</formula>
    </cfRule>
  </conditionalFormatting>
  <conditionalFormatting sqref="C714">
    <cfRule type="expression" dxfId="0" priority="1606">
      <formula>C715=0</formula>
    </cfRule>
  </conditionalFormatting>
  <conditionalFormatting sqref="C715">
    <cfRule type="cellIs" dxfId="1" priority="1611" operator="equal">
      <formula>0</formula>
    </cfRule>
  </conditionalFormatting>
  <conditionalFormatting sqref="C716">
    <cfRule type="cellIs" dxfId="1" priority="1616" operator="equal">
      <formula>0</formula>
    </cfRule>
  </conditionalFormatting>
  <conditionalFormatting sqref="C718">
    <cfRule type="expression" dxfId="0" priority="1621">
      <formula>C719=0</formula>
    </cfRule>
  </conditionalFormatting>
  <conditionalFormatting sqref="C719">
    <cfRule type="cellIs" dxfId="1" priority="1622" operator="equal">
      <formula>0</formula>
    </cfRule>
  </conditionalFormatting>
  <conditionalFormatting sqref="C72">
    <cfRule type="cellIs" dxfId="1" priority="178" operator="equal">
      <formula>0</formula>
    </cfRule>
  </conditionalFormatting>
  <conditionalFormatting sqref="C720">
    <cfRule type="cellIs" dxfId="1" priority="1623" operator="equal">
      <formula>0</formula>
    </cfRule>
  </conditionalFormatting>
  <conditionalFormatting sqref="C722">
    <cfRule type="expression" dxfId="0" priority="1624">
      <formula>C723=0</formula>
    </cfRule>
  </conditionalFormatting>
  <conditionalFormatting sqref="C723">
    <cfRule type="cellIs" dxfId="1" priority="1625" operator="equal">
      <formula>0</formula>
    </cfRule>
  </conditionalFormatting>
  <conditionalFormatting sqref="C724">
    <cfRule type="cellIs" dxfId="1" priority="1626" operator="equal">
      <formula>0</formula>
    </cfRule>
  </conditionalFormatting>
  <conditionalFormatting sqref="C73">
    <cfRule type="cellIs" dxfId="1" priority="180" operator="equal">
      <formula>0</formula>
    </cfRule>
  </conditionalFormatting>
  <conditionalFormatting sqref="C732">
    <cfRule type="expression" dxfId="0" priority="1627">
      <formula>C733=0</formula>
    </cfRule>
  </conditionalFormatting>
  <conditionalFormatting sqref="C733">
    <cfRule type="cellIs" dxfId="1" priority="1632" operator="equal">
      <formula>0</formula>
    </cfRule>
  </conditionalFormatting>
  <conditionalFormatting sqref="C734">
    <cfRule type="cellIs" dxfId="1" priority="1637" operator="equal">
      <formula>0</formula>
    </cfRule>
  </conditionalFormatting>
  <conditionalFormatting sqref="C736">
    <cfRule type="expression" dxfId="0" priority="1642">
      <formula>C737=0</formula>
    </cfRule>
  </conditionalFormatting>
  <conditionalFormatting sqref="C737">
    <cfRule type="cellIs" dxfId="1" priority="1643" operator="equal">
      <formula>0</formula>
    </cfRule>
  </conditionalFormatting>
  <conditionalFormatting sqref="C738">
    <cfRule type="cellIs" dxfId="1" priority="1644" operator="equal">
      <formula>0</formula>
    </cfRule>
  </conditionalFormatting>
  <conditionalFormatting sqref="C740">
    <cfRule type="expression" dxfId="0" priority="1645">
      <formula>C741=0</formula>
    </cfRule>
  </conditionalFormatting>
  <conditionalFormatting sqref="C741">
    <cfRule type="cellIs" dxfId="1" priority="1646" operator="equal">
      <formula>0</formula>
    </cfRule>
  </conditionalFormatting>
  <conditionalFormatting sqref="C742">
    <cfRule type="cellIs" dxfId="1" priority="1647" operator="equal">
      <formula>0</formula>
    </cfRule>
  </conditionalFormatting>
  <conditionalFormatting sqref="C75">
    <cfRule type="cellIs" dxfId="1" priority="183" operator="equal">
      <formula>0</formula>
    </cfRule>
  </conditionalFormatting>
  <conditionalFormatting sqref="C750">
    <cfRule type="expression" dxfId="0" priority="1648">
      <formula>C751=0</formula>
    </cfRule>
  </conditionalFormatting>
  <conditionalFormatting sqref="C751">
    <cfRule type="cellIs" dxfId="1" priority="1654" operator="equal">
      <formula>0</formula>
    </cfRule>
  </conditionalFormatting>
  <conditionalFormatting sqref="C752">
    <cfRule type="cellIs" dxfId="1" priority="1660" operator="equal">
      <formula>0</formula>
    </cfRule>
  </conditionalFormatting>
  <conditionalFormatting sqref="C753">
    <cfRule type="cellIs" dxfId="1" priority="1666" operator="equal">
      <formula>0</formula>
    </cfRule>
  </conditionalFormatting>
  <conditionalFormatting sqref="C755">
    <cfRule type="expression" dxfId="0" priority="1669">
      <formula>C756=0</formula>
    </cfRule>
  </conditionalFormatting>
  <conditionalFormatting sqref="C756">
    <cfRule type="cellIs" dxfId="1" priority="1671" operator="equal">
      <formula>0</formula>
    </cfRule>
  </conditionalFormatting>
  <conditionalFormatting sqref="C757">
    <cfRule type="cellIs" dxfId="1" priority="1673" operator="equal">
      <formula>0</formula>
    </cfRule>
  </conditionalFormatting>
  <conditionalFormatting sqref="C760">
    <cfRule type="expression" dxfId="0" priority="1676">
      <formula>C761=0</formula>
    </cfRule>
  </conditionalFormatting>
  <conditionalFormatting sqref="C761">
    <cfRule type="cellIs" dxfId="1" priority="1677" operator="equal">
      <formula>0</formula>
    </cfRule>
  </conditionalFormatting>
  <conditionalFormatting sqref="C762">
    <cfRule type="cellIs" dxfId="1" priority="1678" operator="equal">
      <formula>0</formula>
    </cfRule>
  </conditionalFormatting>
  <conditionalFormatting sqref="C763">
    <cfRule type="cellIs" dxfId="1" priority="1679" operator="equal">
      <formula>0</formula>
    </cfRule>
  </conditionalFormatting>
  <conditionalFormatting sqref="C771">
    <cfRule type="expression" dxfId="0" priority="1680">
      <formula>C772=0</formula>
    </cfRule>
  </conditionalFormatting>
  <conditionalFormatting sqref="C772">
    <cfRule type="cellIs" dxfId="1" priority="1684" operator="equal">
      <formula>0</formula>
    </cfRule>
  </conditionalFormatting>
  <conditionalFormatting sqref="C773">
    <cfRule type="cellIs" dxfId="1" priority="1688" operator="equal">
      <formula>0</formula>
    </cfRule>
  </conditionalFormatting>
  <conditionalFormatting sqref="C774">
    <cfRule type="cellIs" dxfId="1" priority="1692" operator="equal">
      <formula>0</formula>
    </cfRule>
  </conditionalFormatting>
  <conditionalFormatting sqref="C776">
    <cfRule type="expression" dxfId="0" priority="1696">
      <formula>C777=0</formula>
    </cfRule>
  </conditionalFormatting>
  <conditionalFormatting sqref="C777">
    <cfRule type="cellIs" dxfId="1" priority="1698" operator="equal">
      <formula>0</formula>
    </cfRule>
  </conditionalFormatting>
  <conditionalFormatting sqref="C778">
    <cfRule type="cellIs" dxfId="1" priority="1700" operator="equal">
      <formula>0</formula>
    </cfRule>
  </conditionalFormatting>
  <conditionalFormatting sqref="C779">
    <cfRule type="cellIs" dxfId="1" priority="1702" operator="equal">
      <formula>0</formula>
    </cfRule>
  </conditionalFormatting>
  <conditionalFormatting sqref="C78">
    <cfRule type="cellIs" dxfId="1" priority="187" operator="equal">
      <formula>0</formula>
    </cfRule>
  </conditionalFormatting>
  <conditionalFormatting sqref="C781">
    <cfRule type="expression" dxfId="0" priority="1704">
      <formula>C782=0</formula>
    </cfRule>
  </conditionalFormatting>
  <conditionalFormatting sqref="C782">
    <cfRule type="cellIs" dxfId="1" priority="1706" operator="equal">
      <formula>0</formula>
    </cfRule>
  </conditionalFormatting>
  <conditionalFormatting sqref="C783">
    <cfRule type="cellIs" dxfId="1" priority="1708" operator="equal">
      <formula>0</formula>
    </cfRule>
  </conditionalFormatting>
  <conditionalFormatting sqref="C784">
    <cfRule type="cellIs" dxfId="1" priority="1709" operator="equal">
      <formula>0</formula>
    </cfRule>
  </conditionalFormatting>
  <conditionalFormatting sqref="C79">
    <cfRule type="cellIs" dxfId="1" priority="189" operator="equal">
      <formula>0</formula>
    </cfRule>
  </conditionalFormatting>
  <conditionalFormatting sqref="C792">
    <cfRule type="expression" dxfId="0" priority="1711">
      <formula>C793=0</formula>
    </cfRule>
  </conditionalFormatting>
  <conditionalFormatting sqref="C793">
    <cfRule type="cellIs" dxfId="1" priority="1719" operator="equal">
      <formula>0</formula>
    </cfRule>
  </conditionalFormatting>
  <conditionalFormatting sqref="C794">
    <cfRule type="cellIs" dxfId="1" priority="1727" operator="equal">
      <formula>0</formula>
    </cfRule>
  </conditionalFormatting>
  <conditionalFormatting sqref="C795">
    <cfRule type="cellIs" dxfId="1" priority="1733" operator="equal">
      <formula>0</formula>
    </cfRule>
  </conditionalFormatting>
  <conditionalFormatting sqref="C796">
    <cfRule type="cellIs" dxfId="1" priority="1737" operator="equal">
      <formula>0</formula>
    </cfRule>
  </conditionalFormatting>
  <conditionalFormatting sqref="C797">
    <cfRule type="cellIs" dxfId="1" priority="1741" operator="equal">
      <formula>0</formula>
    </cfRule>
  </conditionalFormatting>
  <conditionalFormatting sqref="C798">
    <cfRule type="cellIs" dxfId="1" priority="1745" operator="equal">
      <formula>0</formula>
    </cfRule>
  </conditionalFormatting>
  <conditionalFormatting sqref="C799">
    <cfRule type="cellIs" dxfId="1" priority="1749" operator="equal">
      <formula>0</formula>
    </cfRule>
  </conditionalFormatting>
  <conditionalFormatting sqref="C800">
    <cfRule type="cellIs" dxfId="1" priority="1753" operator="equal">
      <formula>0</formula>
    </cfRule>
  </conditionalFormatting>
  <conditionalFormatting sqref="C801">
    <cfRule type="cellIs" dxfId="1" priority="1757" operator="equal">
      <formula>0</formula>
    </cfRule>
  </conditionalFormatting>
  <conditionalFormatting sqref="C802">
    <cfRule type="cellIs" dxfId="1" priority="1761" operator="equal">
      <formula>0</formula>
    </cfRule>
  </conditionalFormatting>
  <conditionalFormatting sqref="C804">
    <cfRule type="cellIs" dxfId="1" priority="1768" operator="equal">
      <formula>0</formula>
    </cfRule>
  </conditionalFormatting>
  <conditionalFormatting sqref="C805">
    <cfRule type="cellIs" dxfId="1" priority="1772" operator="equal">
      <formula>0</formula>
    </cfRule>
  </conditionalFormatting>
  <conditionalFormatting sqref="C806">
    <cfRule type="cellIs" dxfId="1" priority="1776" operator="equal">
      <formula>0</formula>
    </cfRule>
  </conditionalFormatting>
  <conditionalFormatting sqref="C807">
    <cfRule type="cellIs" dxfId="1" priority="1780" operator="equal">
      <formula>0</formula>
    </cfRule>
  </conditionalFormatting>
  <conditionalFormatting sqref="C809">
    <cfRule type="cellIs" dxfId="1" priority="1787" operator="equal">
      <formula>0</formula>
    </cfRule>
  </conditionalFormatting>
  <conditionalFormatting sqref="C810">
    <cfRule type="cellIs" dxfId="1" priority="1792" operator="equal">
      <formula>0</formula>
    </cfRule>
  </conditionalFormatting>
  <conditionalFormatting sqref="C811">
    <cfRule type="cellIs" dxfId="1" priority="1797" operator="equal">
      <formula>0</formula>
    </cfRule>
  </conditionalFormatting>
  <conditionalFormatting sqref="C812">
    <cfRule type="cellIs" dxfId="1" priority="1801" operator="equal">
      <formula>0</formula>
    </cfRule>
  </conditionalFormatting>
  <conditionalFormatting sqref="C813">
    <cfRule type="cellIs" dxfId="1" priority="1805" operator="equal">
      <formula>0</formula>
    </cfRule>
  </conditionalFormatting>
  <conditionalFormatting sqref="C814">
    <cfRule type="cellIs" dxfId="1" priority="1809" operator="equal">
      <formula>0</formula>
    </cfRule>
  </conditionalFormatting>
  <conditionalFormatting sqref="C815">
    <cfRule type="cellIs" dxfId="1" priority="1814" operator="equal">
      <formula>0</formula>
    </cfRule>
  </conditionalFormatting>
  <conditionalFormatting sqref="C816">
    <cfRule type="cellIs" dxfId="1" priority="1818" operator="equal">
      <formula>0</formula>
    </cfRule>
  </conditionalFormatting>
  <conditionalFormatting sqref="C817">
    <cfRule type="cellIs" dxfId="1" priority="1822" operator="equal">
      <formula>0</formula>
    </cfRule>
  </conditionalFormatting>
  <conditionalFormatting sqref="C818">
    <cfRule type="cellIs" dxfId="1" priority="1826" operator="equal">
      <formula>0</formula>
    </cfRule>
  </conditionalFormatting>
  <conditionalFormatting sqref="C820">
    <cfRule type="expression" dxfId="0" priority="1831">
      <formula>C821=0</formula>
    </cfRule>
  </conditionalFormatting>
  <conditionalFormatting sqref="C821">
    <cfRule type="cellIs" dxfId="1" priority="1839" operator="equal">
      <formula>0</formula>
    </cfRule>
  </conditionalFormatting>
  <conditionalFormatting sqref="C822">
    <cfRule type="cellIs" dxfId="1" priority="1847" operator="equal">
      <formula>0</formula>
    </cfRule>
  </conditionalFormatting>
  <conditionalFormatting sqref="C823">
    <cfRule type="cellIs" dxfId="1" priority="1849" operator="equal">
      <formula>0</formula>
    </cfRule>
  </conditionalFormatting>
  <conditionalFormatting sqref="C824">
    <cfRule type="cellIs" dxfId="1" priority="1851" operator="equal">
      <formula>0</formula>
    </cfRule>
  </conditionalFormatting>
  <conditionalFormatting sqref="C825">
    <cfRule type="cellIs" dxfId="1" priority="1853" operator="equal">
      <formula>0</formula>
    </cfRule>
  </conditionalFormatting>
  <conditionalFormatting sqref="C826">
    <cfRule type="cellIs" dxfId="1" priority="1855" operator="equal">
      <formula>0</formula>
    </cfRule>
  </conditionalFormatting>
  <conditionalFormatting sqref="C827">
    <cfRule type="cellIs" dxfId="1" priority="1857" operator="equal">
      <formula>0</formula>
    </cfRule>
  </conditionalFormatting>
  <conditionalFormatting sqref="C828">
    <cfRule type="cellIs" dxfId="1" priority="1859" operator="equal">
      <formula>0</formula>
    </cfRule>
  </conditionalFormatting>
  <conditionalFormatting sqref="C829">
    <cfRule type="cellIs" dxfId="1" priority="1861" operator="equal">
      <formula>0</formula>
    </cfRule>
  </conditionalFormatting>
  <conditionalFormatting sqref="C83">
    <cfRule type="expression" dxfId="0" priority="194">
      <formula>C84=0</formula>
    </cfRule>
  </conditionalFormatting>
  <conditionalFormatting sqref="C830">
    <cfRule type="cellIs" dxfId="1" priority="1863" operator="equal">
      <formula>0</formula>
    </cfRule>
  </conditionalFormatting>
  <conditionalFormatting sqref="C831">
    <cfRule type="cellIs" dxfId="1" priority="1865" operator="equal">
      <formula>0</formula>
    </cfRule>
  </conditionalFormatting>
  <conditionalFormatting sqref="C832">
    <cfRule type="cellIs" dxfId="1" priority="1867" operator="equal">
      <formula>0</formula>
    </cfRule>
  </conditionalFormatting>
  <conditionalFormatting sqref="C833">
    <cfRule type="cellIs" dxfId="1" priority="1869" operator="equal">
      <formula>0</formula>
    </cfRule>
  </conditionalFormatting>
  <conditionalFormatting sqref="C834">
    <cfRule type="cellIs" dxfId="1" priority="1871" operator="equal">
      <formula>0</formula>
    </cfRule>
  </conditionalFormatting>
  <conditionalFormatting sqref="C835">
    <cfRule type="cellIs" dxfId="1" priority="1873" operator="equal">
      <formula>0</formula>
    </cfRule>
  </conditionalFormatting>
  <conditionalFormatting sqref="C836">
    <cfRule type="cellIs" dxfId="1" priority="1875" operator="equal">
      <formula>0</formula>
    </cfRule>
  </conditionalFormatting>
  <conditionalFormatting sqref="C837">
    <cfRule type="cellIs" dxfId="1" priority="1877" operator="equal">
      <formula>0</formula>
    </cfRule>
  </conditionalFormatting>
  <conditionalFormatting sqref="C839">
    <cfRule type="cellIs" dxfId="1" priority="1880" operator="equal">
      <formula>0</formula>
    </cfRule>
  </conditionalFormatting>
  <conditionalFormatting sqref="C84">
    <cfRule type="cellIs" dxfId="1" priority="198" operator="equal">
      <formula>0</formula>
    </cfRule>
  </conditionalFormatting>
  <conditionalFormatting sqref="C840">
    <cfRule type="cellIs" dxfId="1" priority="1882" operator="equal">
      <formula>0</formula>
    </cfRule>
  </conditionalFormatting>
  <conditionalFormatting sqref="C841">
    <cfRule type="cellIs" dxfId="1" priority="1884" operator="equal">
      <formula>0</formula>
    </cfRule>
  </conditionalFormatting>
  <conditionalFormatting sqref="C842">
    <cfRule type="cellIs" dxfId="1" priority="1886" operator="equal">
      <formula>0</formula>
    </cfRule>
  </conditionalFormatting>
  <conditionalFormatting sqref="C843">
    <cfRule type="cellIs" dxfId="1" priority="1888" operator="equal">
      <formula>0</formula>
    </cfRule>
  </conditionalFormatting>
  <conditionalFormatting sqref="C844">
    <cfRule type="cellIs" dxfId="1" priority="1890" operator="equal">
      <formula>0</formula>
    </cfRule>
  </conditionalFormatting>
  <conditionalFormatting sqref="C845">
    <cfRule type="cellIs" dxfId="1" priority="1892" operator="equal">
      <formula>0</formula>
    </cfRule>
  </conditionalFormatting>
  <conditionalFormatting sqref="C846">
    <cfRule type="cellIs" dxfId="1" priority="1894" operator="equal">
      <formula>0</formula>
    </cfRule>
  </conditionalFormatting>
  <conditionalFormatting sqref="C848">
    <cfRule type="expression" dxfId="0" priority="1896">
      <formula>C849=0</formula>
    </cfRule>
  </conditionalFormatting>
  <conditionalFormatting sqref="C849">
    <cfRule type="cellIs" dxfId="1" priority="1898" operator="equal">
      <formula>0</formula>
    </cfRule>
  </conditionalFormatting>
  <conditionalFormatting sqref="C85">
    <cfRule type="cellIs" dxfId="1" priority="202" operator="equal">
      <formula>0</formula>
    </cfRule>
  </conditionalFormatting>
  <conditionalFormatting sqref="C850">
    <cfRule type="cellIs" dxfId="1" priority="1900" operator="equal">
      <formula>0</formula>
    </cfRule>
  </conditionalFormatting>
  <conditionalFormatting sqref="C851">
    <cfRule type="cellIs" dxfId="1" priority="1901" operator="equal">
      <formula>0</formula>
    </cfRule>
  </conditionalFormatting>
  <conditionalFormatting sqref="C852">
    <cfRule type="cellIs" dxfId="1" priority="1902" operator="equal">
      <formula>0</formula>
    </cfRule>
  </conditionalFormatting>
  <conditionalFormatting sqref="C853">
    <cfRule type="cellIs" dxfId="1" priority="1903" operator="equal">
      <formula>0</formula>
    </cfRule>
  </conditionalFormatting>
  <conditionalFormatting sqref="C854">
    <cfRule type="cellIs" dxfId="1" priority="1904" operator="equal">
      <formula>0</formula>
    </cfRule>
  </conditionalFormatting>
  <conditionalFormatting sqref="C855">
    <cfRule type="cellIs" dxfId="1" priority="1905" operator="equal">
      <formula>0</formula>
    </cfRule>
  </conditionalFormatting>
  <conditionalFormatting sqref="C856">
    <cfRule type="cellIs" dxfId="1" priority="1906" operator="equal">
      <formula>0</formula>
    </cfRule>
  </conditionalFormatting>
  <conditionalFormatting sqref="C857">
    <cfRule type="cellIs" dxfId="1" priority="1907" operator="equal">
      <formula>0</formula>
    </cfRule>
  </conditionalFormatting>
  <conditionalFormatting sqref="C858">
    <cfRule type="cellIs" dxfId="1" priority="1908" operator="equal">
      <formula>0</formula>
    </cfRule>
  </conditionalFormatting>
  <conditionalFormatting sqref="C859">
    <cfRule type="cellIs" dxfId="1" priority="1909" operator="equal">
      <formula>0</formula>
    </cfRule>
  </conditionalFormatting>
  <conditionalFormatting sqref="C86">
    <cfRule type="cellIs" dxfId="1" priority="203" operator="equal">
      <formula>0</formula>
    </cfRule>
  </conditionalFormatting>
  <conditionalFormatting sqref="C860">
    <cfRule type="cellIs" dxfId="1" priority="1910" operator="equal">
      <formula>0</formula>
    </cfRule>
  </conditionalFormatting>
  <conditionalFormatting sqref="C861">
    <cfRule type="cellIs" dxfId="1" priority="1911" operator="equal">
      <formula>0</formula>
    </cfRule>
  </conditionalFormatting>
  <conditionalFormatting sqref="C862">
    <cfRule type="cellIs" dxfId="1" priority="1912" operator="equal">
      <formula>0</formula>
    </cfRule>
  </conditionalFormatting>
  <conditionalFormatting sqref="C863">
    <cfRule type="cellIs" dxfId="1" priority="1913" operator="equal">
      <formula>0</formula>
    </cfRule>
  </conditionalFormatting>
  <conditionalFormatting sqref="C864">
    <cfRule type="cellIs" dxfId="1" priority="1915" operator="equal">
      <formula>0</formula>
    </cfRule>
  </conditionalFormatting>
  <conditionalFormatting sqref="C865">
    <cfRule type="cellIs" dxfId="1" priority="1916" operator="equal">
      <formula>0</formula>
    </cfRule>
  </conditionalFormatting>
  <conditionalFormatting sqref="C866">
    <cfRule type="cellIs" dxfId="1" priority="1917" operator="equal">
      <formula>0</formula>
    </cfRule>
  </conditionalFormatting>
  <conditionalFormatting sqref="C867">
    <cfRule type="cellIs" dxfId="1" priority="1918" operator="equal">
      <formula>0</formula>
    </cfRule>
  </conditionalFormatting>
  <conditionalFormatting sqref="C868">
    <cfRule type="cellIs" dxfId="1" priority="1919" operator="equal">
      <formula>0</formula>
    </cfRule>
  </conditionalFormatting>
  <conditionalFormatting sqref="C869">
    <cfRule type="cellIs" dxfId="1" priority="1920" operator="equal">
      <formula>0</formula>
    </cfRule>
  </conditionalFormatting>
  <conditionalFormatting sqref="C87">
    <cfRule type="cellIs" dxfId="1" priority="205" operator="equal">
      <formula>0</formula>
    </cfRule>
  </conditionalFormatting>
  <conditionalFormatting sqref="C870">
    <cfRule type="cellIs" dxfId="1" priority="1921" operator="equal">
      <formula>0</formula>
    </cfRule>
  </conditionalFormatting>
  <conditionalFormatting sqref="C871">
    <cfRule type="cellIs" dxfId="1" priority="1923" operator="equal">
      <formula>0</formula>
    </cfRule>
  </conditionalFormatting>
  <conditionalFormatting sqref="C872">
    <cfRule type="cellIs" dxfId="1" priority="1925" operator="equal">
      <formula>0</formula>
    </cfRule>
  </conditionalFormatting>
  <conditionalFormatting sqref="C874">
    <cfRule type="cellIs" dxfId="1" priority="1927" operator="equal">
      <formula>0</formula>
    </cfRule>
  </conditionalFormatting>
  <conditionalFormatting sqref="C88">
    <cfRule type="cellIs" dxfId="1" priority="206" operator="equal">
      <formula>0</formula>
    </cfRule>
  </conditionalFormatting>
  <conditionalFormatting sqref="C882">
    <cfRule type="expression" dxfId="0" priority="1928">
      <formula>C883=0</formula>
    </cfRule>
  </conditionalFormatting>
  <conditionalFormatting sqref="C883">
    <cfRule type="cellIs" dxfId="1" priority="1935" operator="equal">
      <formula>0</formula>
    </cfRule>
  </conditionalFormatting>
  <conditionalFormatting sqref="C884">
    <cfRule type="cellIs" dxfId="1" priority="1942" operator="equal">
      <formula>0</formula>
    </cfRule>
  </conditionalFormatting>
  <conditionalFormatting sqref="C885">
    <cfRule type="cellIs" dxfId="1" priority="1946" operator="equal">
      <formula>0</formula>
    </cfRule>
  </conditionalFormatting>
  <conditionalFormatting sqref="C886">
    <cfRule type="cellIs" dxfId="1" priority="1952" operator="equal">
      <formula>0</formula>
    </cfRule>
  </conditionalFormatting>
  <conditionalFormatting sqref="C887">
    <cfRule type="cellIs" dxfId="1" priority="1956" operator="equal">
      <formula>0</formula>
    </cfRule>
  </conditionalFormatting>
  <conditionalFormatting sqref="C888">
    <cfRule type="cellIs" dxfId="1" priority="1960" operator="equal">
      <formula>0</formula>
    </cfRule>
  </conditionalFormatting>
  <conditionalFormatting sqref="C89">
    <cfRule type="cellIs" dxfId="1" priority="207" operator="equal">
      <formula>0</formula>
    </cfRule>
  </conditionalFormatting>
  <conditionalFormatting sqref="C890">
    <cfRule type="expression" dxfId="0" priority="1964">
      <formula>C891=0</formula>
    </cfRule>
  </conditionalFormatting>
  <conditionalFormatting sqref="C891">
    <cfRule type="cellIs" dxfId="1" priority="1967" operator="equal">
      <formula>0</formula>
    </cfRule>
  </conditionalFormatting>
  <conditionalFormatting sqref="C892">
    <cfRule type="cellIs" dxfId="1" priority="1970" operator="equal">
      <formula>0</formula>
    </cfRule>
  </conditionalFormatting>
  <conditionalFormatting sqref="C894">
    <cfRule type="cellIs" dxfId="1" priority="1973" operator="equal">
      <formula>0</formula>
    </cfRule>
  </conditionalFormatting>
  <conditionalFormatting sqref="C895">
    <cfRule type="cellIs" dxfId="1" priority="1974" operator="equal">
      <formula>0</formula>
    </cfRule>
  </conditionalFormatting>
  <conditionalFormatting sqref="C896">
    <cfRule type="cellIs" dxfId="1" priority="1975" operator="equal">
      <formula>0</formula>
    </cfRule>
  </conditionalFormatting>
  <conditionalFormatting sqref="C898">
    <cfRule type="expression" dxfId="0" priority="1976">
      <formula>C899=0</formula>
    </cfRule>
  </conditionalFormatting>
  <conditionalFormatting sqref="C899">
    <cfRule type="cellIs" dxfId="1" priority="1978" operator="equal">
      <formula>0</formula>
    </cfRule>
  </conditionalFormatting>
  <conditionalFormatting sqref="C90">
    <cfRule type="cellIs" dxfId="1" priority="209" operator="equal">
      <formula>0</formula>
    </cfRule>
  </conditionalFormatting>
  <conditionalFormatting sqref="C900">
    <cfRule type="cellIs" dxfId="1" priority="1980" operator="equal">
      <formula>0</formula>
    </cfRule>
  </conditionalFormatting>
  <conditionalFormatting sqref="C902">
    <cfRule type="cellIs" dxfId="1" priority="1982" operator="equal">
      <formula>0</formula>
    </cfRule>
  </conditionalFormatting>
  <conditionalFormatting sqref="C903">
    <cfRule type="cellIs" dxfId="1" priority="1983" operator="equal">
      <formula>0</formula>
    </cfRule>
  </conditionalFormatting>
  <conditionalFormatting sqref="C904">
    <cfRule type="cellIs" dxfId="1" priority="1984" operator="equal">
      <formula>0</formula>
    </cfRule>
  </conditionalFormatting>
  <conditionalFormatting sqref="C91">
    <cfRule type="cellIs" dxfId="1" priority="210" operator="equal">
      <formula>0</formula>
    </cfRule>
  </conditionalFormatting>
  <conditionalFormatting sqref="C912">
    <cfRule type="expression" dxfId="0" priority="1985">
      <formula>C913=0</formula>
    </cfRule>
  </conditionalFormatting>
  <conditionalFormatting sqref="C913">
    <cfRule type="cellIs" dxfId="1" priority="1989" operator="equal">
      <formula>0</formula>
    </cfRule>
  </conditionalFormatting>
  <conditionalFormatting sqref="C914">
    <cfRule type="cellIs" dxfId="1" priority="1993" operator="equal">
      <formula>0</formula>
    </cfRule>
  </conditionalFormatting>
  <conditionalFormatting sqref="C916">
    <cfRule type="expression" dxfId="0" priority="1997">
      <formula>C917=0</formula>
    </cfRule>
  </conditionalFormatting>
  <conditionalFormatting sqref="C917">
    <cfRule type="cellIs" dxfId="1" priority="1998" operator="equal">
      <formula>0</formula>
    </cfRule>
  </conditionalFormatting>
  <conditionalFormatting sqref="C918">
    <cfRule type="cellIs" dxfId="1" priority="1999" operator="equal">
      <formula>0</formula>
    </cfRule>
  </conditionalFormatting>
  <conditionalFormatting sqref="C92">
    <cfRule type="cellIs" dxfId="1" priority="211" operator="equal">
      <formula>0</formula>
    </cfRule>
  </conditionalFormatting>
  <conditionalFormatting sqref="C920">
    <cfRule type="expression" dxfId="0" priority="2000">
      <formula>C921=0</formula>
    </cfRule>
  </conditionalFormatting>
  <conditionalFormatting sqref="C921">
    <cfRule type="cellIs" dxfId="1" priority="2001" operator="equal">
      <formula>0</formula>
    </cfRule>
  </conditionalFormatting>
  <conditionalFormatting sqref="C922">
    <cfRule type="cellIs" dxfId="1" priority="2002" operator="equal">
      <formula>0</formula>
    </cfRule>
  </conditionalFormatting>
  <conditionalFormatting sqref="C93">
    <cfRule type="cellIs" dxfId="1" priority="212" operator="equal">
      <formula>0</formula>
    </cfRule>
  </conditionalFormatting>
  <conditionalFormatting sqref="C930">
    <cfRule type="expression" dxfId="0" priority="2003">
      <formula>C931=0</formula>
    </cfRule>
  </conditionalFormatting>
  <conditionalFormatting sqref="C931">
    <cfRule type="cellIs" dxfId="1" priority="2007" operator="equal">
      <formula>0</formula>
    </cfRule>
  </conditionalFormatting>
  <conditionalFormatting sqref="C932">
    <cfRule type="cellIs" dxfId="1" priority="2011" operator="equal">
      <formula>0</formula>
    </cfRule>
  </conditionalFormatting>
  <conditionalFormatting sqref="C934">
    <cfRule type="expression" dxfId="0" priority="2015">
      <formula>C935=0</formula>
    </cfRule>
  </conditionalFormatting>
  <conditionalFormatting sqref="C935">
    <cfRule type="cellIs" dxfId="1" priority="2016" operator="equal">
      <formula>0</formula>
    </cfRule>
  </conditionalFormatting>
  <conditionalFormatting sqref="C936">
    <cfRule type="cellIs" dxfId="1" priority="2017" operator="equal">
      <formula>0</formula>
    </cfRule>
  </conditionalFormatting>
  <conditionalFormatting sqref="C938">
    <cfRule type="expression" dxfId="0" priority="2018">
      <formula>C939=0</formula>
    </cfRule>
  </conditionalFormatting>
  <conditionalFormatting sqref="C939">
    <cfRule type="cellIs" dxfId="1" priority="2019" operator="equal">
      <formula>0</formula>
    </cfRule>
  </conditionalFormatting>
  <conditionalFormatting sqref="C94">
    <cfRule type="cellIs" dxfId="1" priority="213" operator="equal">
      <formula>0</formula>
    </cfRule>
  </conditionalFormatting>
  <conditionalFormatting sqref="C940">
    <cfRule type="cellIs" dxfId="1" priority="2020" operator="equal">
      <formula>0</formula>
    </cfRule>
  </conditionalFormatting>
  <conditionalFormatting sqref="C948">
    <cfRule type="expression" dxfId="0" priority="2021">
      <formula>C949=0</formula>
    </cfRule>
  </conditionalFormatting>
  <conditionalFormatting sqref="C949">
    <cfRule type="cellIs" dxfId="1" priority="2031" operator="equal">
      <formula>0</formula>
    </cfRule>
  </conditionalFormatting>
  <conditionalFormatting sqref="C95">
    <cfRule type="cellIs" dxfId="1" priority="214" operator="equal">
      <formula>0</formula>
    </cfRule>
  </conditionalFormatting>
  <conditionalFormatting sqref="C950">
    <cfRule type="cellIs" dxfId="1" priority="2041" operator="equal">
      <formula>0</formula>
    </cfRule>
  </conditionalFormatting>
  <conditionalFormatting sqref="C951">
    <cfRule type="cellIs" dxfId="1" priority="2044" operator="equal">
      <formula>0</formula>
    </cfRule>
  </conditionalFormatting>
  <conditionalFormatting sqref="C952">
    <cfRule type="cellIs" dxfId="1" priority="2049" operator="equal">
      <formula>0</formula>
    </cfRule>
  </conditionalFormatting>
  <conditionalFormatting sqref="C953">
    <cfRule type="cellIs" dxfId="1" priority="2052" operator="equal">
      <formula>0</formula>
    </cfRule>
  </conditionalFormatting>
  <conditionalFormatting sqref="C954">
    <cfRule type="cellIs" dxfId="1" priority="2056" operator="equal">
      <formula>0</formula>
    </cfRule>
  </conditionalFormatting>
  <conditionalFormatting sqref="C955">
    <cfRule type="cellIs" dxfId="1" priority="2058" operator="equal">
      <formula>0</formula>
    </cfRule>
  </conditionalFormatting>
  <conditionalFormatting sqref="C956">
    <cfRule type="cellIs" dxfId="1" priority="2064" operator="equal">
      <formula>0</formula>
    </cfRule>
  </conditionalFormatting>
  <conditionalFormatting sqref="C957">
    <cfRule type="cellIs" dxfId="1" priority="2068" operator="equal">
      <formula>0</formula>
    </cfRule>
  </conditionalFormatting>
  <conditionalFormatting sqref="C959">
    <cfRule type="expression" dxfId="0" priority="2071">
      <formula>C960=0</formula>
    </cfRule>
  </conditionalFormatting>
  <conditionalFormatting sqref="C96">
    <cfRule type="cellIs" dxfId="1" priority="215" operator="equal">
      <formula>0</formula>
    </cfRule>
  </conditionalFormatting>
  <conditionalFormatting sqref="C960">
    <cfRule type="cellIs" dxfId="1" priority="2076" operator="equal">
      <formula>0</formula>
    </cfRule>
  </conditionalFormatting>
  <conditionalFormatting sqref="C962">
    <cfRule type="cellIs" dxfId="1" priority="2081" operator="equal">
      <formula>0</formula>
    </cfRule>
  </conditionalFormatting>
  <conditionalFormatting sqref="C964">
    <cfRule type="cellIs" dxfId="1" priority="2084" operator="equal">
      <formula>0</formula>
    </cfRule>
  </conditionalFormatting>
  <conditionalFormatting sqref="C965">
    <cfRule type="cellIs" dxfId="1" priority="2086" operator="equal">
      <formula>0</formula>
    </cfRule>
  </conditionalFormatting>
  <conditionalFormatting sqref="C966">
    <cfRule type="cellIs" dxfId="1" priority="2087" operator="equal">
      <formula>0</formula>
    </cfRule>
  </conditionalFormatting>
  <conditionalFormatting sqref="C967">
    <cfRule type="cellIs" dxfId="1" priority="2089" operator="equal">
      <formula>0</formula>
    </cfRule>
  </conditionalFormatting>
  <conditionalFormatting sqref="C97">
    <cfRule type="cellIs" dxfId="1" priority="216" operator="equal">
      <formula>0</formula>
    </cfRule>
  </conditionalFormatting>
  <conditionalFormatting sqref="C970">
    <cfRule type="expression" dxfId="0" priority="2092">
      <formula>C971=0</formula>
    </cfRule>
  </conditionalFormatting>
  <conditionalFormatting sqref="C971">
    <cfRule type="cellIs" dxfId="1" priority="2095" operator="equal">
      <formula>0</formula>
    </cfRule>
  </conditionalFormatting>
  <conditionalFormatting sqref="C972">
    <cfRule type="cellIs" dxfId="1" priority="2098" operator="equal">
      <formula>0</formula>
    </cfRule>
  </conditionalFormatting>
  <conditionalFormatting sqref="C973">
    <cfRule type="cellIs" dxfId="1" priority="2099" operator="equal">
      <formula>0</formula>
    </cfRule>
  </conditionalFormatting>
  <conditionalFormatting sqref="C976">
    <cfRule type="cellIs" dxfId="1" priority="2102" operator="equal">
      <formula>0</formula>
    </cfRule>
  </conditionalFormatting>
  <conditionalFormatting sqref="C978">
    <cfRule type="cellIs" dxfId="1" priority="2105" operator="equal">
      <formula>0</formula>
    </cfRule>
  </conditionalFormatting>
  <conditionalFormatting sqref="C979">
    <cfRule type="cellIs" dxfId="1" priority="2107" operator="equal">
      <formula>0</formula>
    </cfRule>
  </conditionalFormatting>
  <conditionalFormatting sqref="C98">
    <cfRule type="cellIs" dxfId="1" priority="217" operator="equal">
      <formula>0</formula>
    </cfRule>
  </conditionalFormatting>
  <conditionalFormatting sqref="C987">
    <cfRule type="expression" dxfId="0" priority="2109">
      <formula>C988=0</formula>
    </cfRule>
  </conditionalFormatting>
  <conditionalFormatting sqref="C988">
    <cfRule type="cellIs" dxfId="1" priority="2118" operator="equal">
      <formula>0</formula>
    </cfRule>
  </conditionalFormatting>
  <conditionalFormatting sqref="C989">
    <cfRule type="cellIs" dxfId="1" priority="2127" operator="equal">
      <formula>0</formula>
    </cfRule>
  </conditionalFormatting>
  <conditionalFormatting sqref="C99">
    <cfRule type="cellIs" dxfId="1" priority="218" operator="equal">
      <formula>0</formula>
    </cfRule>
  </conditionalFormatting>
  <conditionalFormatting sqref="C990">
    <cfRule type="cellIs" dxfId="1" priority="2131" operator="equal">
      <formula>0</formula>
    </cfRule>
  </conditionalFormatting>
  <conditionalFormatting sqref="C992">
    <cfRule type="cellIs" dxfId="1" priority="2138" operator="equal">
      <formula>0</formula>
    </cfRule>
  </conditionalFormatting>
  <conditionalFormatting sqref="C993">
    <cfRule type="cellIs" dxfId="1" priority="2144" operator="equal">
      <formula>0</formula>
    </cfRule>
  </conditionalFormatting>
  <conditionalFormatting sqref="C994">
    <cfRule type="cellIs" dxfId="1" priority="2149" operator="equal">
      <formula>0</formula>
    </cfRule>
  </conditionalFormatting>
  <conditionalFormatting sqref="C996">
    <cfRule type="expression" dxfId="0" priority="2153">
      <formula>C997=0</formula>
    </cfRule>
  </conditionalFormatting>
  <conditionalFormatting sqref="C997">
    <cfRule type="cellIs" dxfId="1" priority="2156" operator="equal">
      <formula>0</formula>
    </cfRule>
  </conditionalFormatting>
  <conditionalFormatting sqref="C998">
    <cfRule type="cellIs" dxfId="1" priority="2159" operator="equal">
      <formula>0</formula>
    </cfRule>
  </conditionalFormatting>
  <conditionalFormatting sqref="D1000">
    <cfRule type="cellIs" dxfId="1" priority="2163" operator="equal">
      <formula>0</formula>
    </cfRule>
  </conditionalFormatting>
  <conditionalFormatting sqref="D1001">
    <cfRule type="cellIs" dxfId="1" priority="2165" operator="equal">
      <formula>0</formula>
    </cfRule>
  </conditionalFormatting>
  <conditionalFormatting sqref="D1003">
    <cfRule type="cellIs" dxfId="1" priority="2168" operator="equal">
      <formula>0</formula>
    </cfRule>
  </conditionalFormatting>
  <conditionalFormatting sqref="D1005">
    <cfRule type="expression" dxfId="0" priority="2170">
      <formula>D1006=0</formula>
    </cfRule>
  </conditionalFormatting>
  <conditionalFormatting sqref="D1006">
    <cfRule type="cellIs" dxfId="1" priority="2172" operator="equal">
      <formula>0</formula>
    </cfRule>
  </conditionalFormatting>
  <conditionalFormatting sqref="D1008">
    <cfRule type="cellIs" dxfId="1" priority="2175" operator="equal">
      <formula>0</formula>
    </cfRule>
  </conditionalFormatting>
  <conditionalFormatting sqref="D1009">
    <cfRule type="cellIs" dxfId="1" priority="2177" operator="equal">
      <formula>0</formula>
    </cfRule>
  </conditionalFormatting>
  <conditionalFormatting sqref="D1011">
    <cfRule type="cellIs" dxfId="1" priority="2179" operator="equal">
      <formula>0</formula>
    </cfRule>
  </conditionalFormatting>
  <conditionalFormatting sqref="D1012">
    <cfRule type="cellIs" dxfId="1" priority="2181" operator="equal">
      <formula>0</formula>
    </cfRule>
  </conditionalFormatting>
  <conditionalFormatting sqref="D1020">
    <cfRule type="expression" dxfId="0" priority="2183">
      <formula>D1021=0</formula>
    </cfRule>
  </conditionalFormatting>
  <conditionalFormatting sqref="D1021">
    <cfRule type="cellIs" dxfId="1" priority="2187" operator="equal">
      <formula>0</formula>
    </cfRule>
  </conditionalFormatting>
  <conditionalFormatting sqref="D1022">
    <cfRule type="cellIs" dxfId="1" priority="2191" operator="equal">
      <formula>0</formula>
    </cfRule>
  </conditionalFormatting>
  <conditionalFormatting sqref="D1024">
    <cfRule type="expression" dxfId="0" priority="2195">
      <formula>D1025=0</formula>
    </cfRule>
  </conditionalFormatting>
  <conditionalFormatting sqref="D1025">
    <cfRule type="cellIs" dxfId="1" priority="2197" operator="equal">
      <formula>0</formula>
    </cfRule>
  </conditionalFormatting>
  <conditionalFormatting sqref="D1026">
    <cfRule type="cellIs" dxfId="1" priority="2199" operator="equal">
      <formula>0</formula>
    </cfRule>
  </conditionalFormatting>
  <conditionalFormatting sqref="D1038">
    <cfRule type="expression" dxfId="0" priority="2204">
      <formula>D1039=0</formula>
    </cfRule>
  </conditionalFormatting>
  <conditionalFormatting sqref="D1039">
    <cfRule type="cellIs" dxfId="1" priority="2208" operator="equal">
      <formula>0</formula>
    </cfRule>
  </conditionalFormatting>
  <conditionalFormatting sqref="D1040">
    <cfRule type="cellIs" dxfId="1" priority="2212" operator="equal">
      <formula>0</formula>
    </cfRule>
  </conditionalFormatting>
  <conditionalFormatting sqref="D1041">
    <cfRule type="cellIs" dxfId="1" priority="2216" operator="equal">
      <formula>0</formula>
    </cfRule>
  </conditionalFormatting>
  <conditionalFormatting sqref="D1042">
    <cfRule type="cellIs" dxfId="1" priority="2220" operator="equal">
      <formula>0</formula>
    </cfRule>
  </conditionalFormatting>
  <conditionalFormatting sqref="D1043">
    <cfRule type="cellIs" dxfId="1" priority="2224" operator="equal">
      <formula>0</formula>
    </cfRule>
  </conditionalFormatting>
  <conditionalFormatting sqref="D1045">
    <cfRule type="expression" dxfId="0" priority="2228">
      <formula>D1046=0</formula>
    </cfRule>
  </conditionalFormatting>
  <conditionalFormatting sqref="D1046">
    <cfRule type="cellIs" dxfId="1" priority="2230" operator="equal">
      <formula>0</formula>
    </cfRule>
  </conditionalFormatting>
  <conditionalFormatting sqref="D1047">
    <cfRule type="cellIs" dxfId="1" priority="2232" operator="equal">
      <formula>0</formula>
    </cfRule>
  </conditionalFormatting>
  <conditionalFormatting sqref="D1048">
    <cfRule type="cellIs" dxfId="1" priority="2233" operator="equal">
      <formula>0</formula>
    </cfRule>
  </conditionalFormatting>
  <conditionalFormatting sqref="D1049">
    <cfRule type="cellIs" dxfId="1" priority="2235" operator="equal">
      <formula>0</formula>
    </cfRule>
  </conditionalFormatting>
  <conditionalFormatting sqref="D1050">
    <cfRule type="cellIs" dxfId="1" priority="2236" operator="equal">
      <formula>0</formula>
    </cfRule>
  </conditionalFormatting>
  <conditionalFormatting sqref="D1052">
    <cfRule type="expression" dxfId="0" priority="2238">
      <formula>D1053=0</formula>
    </cfRule>
  </conditionalFormatting>
  <conditionalFormatting sqref="D1053">
    <cfRule type="cellIs" dxfId="1" priority="2240" operator="equal">
      <formula>0</formula>
    </cfRule>
  </conditionalFormatting>
  <conditionalFormatting sqref="D1054">
    <cfRule type="cellIs" dxfId="1" priority="2242" operator="equal">
      <formula>0</formula>
    </cfRule>
  </conditionalFormatting>
  <conditionalFormatting sqref="D1055">
    <cfRule type="cellIs" dxfId="1" priority="2244" operator="equal">
      <formula>0</formula>
    </cfRule>
  </conditionalFormatting>
  <conditionalFormatting sqref="D1056">
    <cfRule type="cellIs" dxfId="1" priority="2246" operator="equal">
      <formula>0</formula>
    </cfRule>
  </conditionalFormatting>
  <conditionalFormatting sqref="D1057">
    <cfRule type="cellIs" dxfId="1" priority="2248" operator="equal">
      <formula>0</formula>
    </cfRule>
  </conditionalFormatting>
  <conditionalFormatting sqref="D1065">
    <cfRule type="expression" dxfId="0" priority="2250">
      <formula>D1066=0</formula>
    </cfRule>
  </conditionalFormatting>
  <conditionalFormatting sqref="D1066">
    <cfRule type="cellIs" dxfId="1" priority="2256" operator="equal">
      <formula>0</formula>
    </cfRule>
  </conditionalFormatting>
  <conditionalFormatting sqref="D1067">
    <cfRule type="cellIs" dxfId="1" priority="2262" operator="equal">
      <formula>0</formula>
    </cfRule>
  </conditionalFormatting>
  <conditionalFormatting sqref="D108">
    <cfRule type="cellIs" dxfId="1" priority="228" operator="equal">
      <formula>0</formula>
    </cfRule>
  </conditionalFormatting>
  <conditionalFormatting sqref="D1083">
    <cfRule type="expression" dxfId="0" priority="2274">
      <formula>D1084=0</formula>
    </cfRule>
  </conditionalFormatting>
  <conditionalFormatting sqref="D1084">
    <cfRule type="cellIs" dxfId="1" priority="2285" operator="equal">
      <formula>0</formula>
    </cfRule>
  </conditionalFormatting>
  <conditionalFormatting sqref="D1085">
    <cfRule type="cellIs" dxfId="1" priority="2296" operator="equal">
      <formula>0</formula>
    </cfRule>
  </conditionalFormatting>
  <conditionalFormatting sqref="D1086">
    <cfRule type="cellIs" dxfId="1" priority="2300" operator="equal">
      <formula>0</formula>
    </cfRule>
  </conditionalFormatting>
  <conditionalFormatting sqref="D1087">
    <cfRule type="cellIs" dxfId="1" priority="2305" operator="equal">
      <formula>0</formula>
    </cfRule>
  </conditionalFormatting>
  <conditionalFormatting sqref="D1088">
    <cfRule type="cellIs" dxfId="1" priority="2309" operator="equal">
      <formula>0</formula>
    </cfRule>
  </conditionalFormatting>
  <conditionalFormatting sqref="D1089">
    <cfRule type="cellIs" dxfId="1" priority="2313" operator="equal">
      <formula>0</formula>
    </cfRule>
  </conditionalFormatting>
  <conditionalFormatting sqref="D1090">
    <cfRule type="cellIs" dxfId="1" priority="2317" operator="equal">
      <formula>0</formula>
    </cfRule>
  </conditionalFormatting>
  <conditionalFormatting sqref="D1092">
    <cfRule type="cellIs" dxfId="1" priority="2324" operator="equal">
      <formula>0</formula>
    </cfRule>
  </conditionalFormatting>
  <conditionalFormatting sqref="D1093">
    <cfRule type="cellIs" dxfId="1" priority="2328" operator="equal">
      <formula>0</formula>
    </cfRule>
  </conditionalFormatting>
  <conditionalFormatting sqref="D1094">
    <cfRule type="cellIs" dxfId="1" priority="2332" operator="equal">
      <formula>0</formula>
    </cfRule>
  </conditionalFormatting>
  <conditionalFormatting sqref="D1095">
    <cfRule type="cellIs" dxfId="1" priority="2336" operator="equal">
      <formula>0</formula>
    </cfRule>
  </conditionalFormatting>
  <conditionalFormatting sqref="D1096">
    <cfRule type="cellIs" dxfId="1" priority="2340" operator="equal">
      <formula>0</formula>
    </cfRule>
  </conditionalFormatting>
  <conditionalFormatting sqref="D1097">
    <cfRule type="cellIs" dxfId="1" priority="2344" operator="equal">
      <formula>0</formula>
    </cfRule>
  </conditionalFormatting>
  <conditionalFormatting sqref="D1098">
    <cfRule type="cellIs" dxfId="1" priority="2348" operator="equal">
      <formula>0</formula>
    </cfRule>
  </conditionalFormatting>
  <conditionalFormatting sqref="D1099">
    <cfRule type="cellIs" dxfId="1" priority="2351" operator="equal">
      <formula>0</formula>
    </cfRule>
  </conditionalFormatting>
  <conditionalFormatting sqref="D1100">
    <cfRule type="cellIs" dxfId="1" priority="2355" operator="equal">
      <formula>0</formula>
    </cfRule>
  </conditionalFormatting>
  <conditionalFormatting sqref="D1101">
    <cfRule type="cellIs" dxfId="1" priority="2360" operator="equal">
      <formula>0</formula>
    </cfRule>
  </conditionalFormatting>
  <conditionalFormatting sqref="D1102">
    <cfRule type="cellIs" dxfId="1" priority="2365" operator="equal">
      <formula>0</formula>
    </cfRule>
  </conditionalFormatting>
  <conditionalFormatting sqref="D1103">
    <cfRule type="cellIs" dxfId="1" priority="2370" operator="equal">
      <formula>0</formula>
    </cfRule>
  </conditionalFormatting>
  <conditionalFormatting sqref="D1104">
    <cfRule type="cellIs" dxfId="1" priority="2374" operator="equal">
      <formula>0</formula>
    </cfRule>
  </conditionalFormatting>
  <conditionalFormatting sqref="D1105">
    <cfRule type="cellIs" dxfId="1" priority="2378" operator="equal">
      <formula>0</formula>
    </cfRule>
  </conditionalFormatting>
  <conditionalFormatting sqref="D1106">
    <cfRule type="cellIs" dxfId="1" priority="2382" operator="equal">
      <formula>0</formula>
    </cfRule>
  </conditionalFormatting>
  <conditionalFormatting sqref="D1107">
    <cfRule type="cellIs" dxfId="1" priority="2386" operator="equal">
      <formula>0</formula>
    </cfRule>
  </conditionalFormatting>
  <conditionalFormatting sqref="D1108">
    <cfRule type="cellIs" dxfId="1" priority="2390" operator="equal">
      <formula>0</formula>
    </cfRule>
  </conditionalFormatting>
  <conditionalFormatting sqref="D1109">
    <cfRule type="cellIs" dxfId="1" priority="2394" operator="equal">
      <formula>0</formula>
    </cfRule>
  </conditionalFormatting>
  <conditionalFormatting sqref="D1110">
    <cfRule type="cellIs" dxfId="1" priority="2398" operator="equal">
      <formula>0</formula>
    </cfRule>
  </conditionalFormatting>
  <conditionalFormatting sqref="D1111">
    <cfRule type="cellIs" dxfId="1" priority="2402" operator="equal">
      <formula>0</formula>
    </cfRule>
  </conditionalFormatting>
  <conditionalFormatting sqref="D1113">
    <cfRule type="expression" dxfId="0" priority="2407">
      <formula>D1114=0</formula>
    </cfRule>
  </conditionalFormatting>
  <conditionalFormatting sqref="D1114">
    <cfRule type="cellIs" dxfId="1" priority="2417" operator="equal">
      <formula>0</formula>
    </cfRule>
  </conditionalFormatting>
  <conditionalFormatting sqref="D1115">
    <cfRule type="cellIs" dxfId="1" priority="2427" operator="equal">
      <formula>0</formula>
    </cfRule>
  </conditionalFormatting>
  <conditionalFormatting sqref="D1117">
    <cfRule type="cellIs" dxfId="1" priority="2431" operator="equal">
      <formula>0</formula>
    </cfRule>
  </conditionalFormatting>
  <conditionalFormatting sqref="D1127">
    <cfRule type="cellIs" dxfId="1" priority="2450" operator="equal">
      <formula>0</formula>
    </cfRule>
  </conditionalFormatting>
  <conditionalFormatting sqref="D1131">
    <cfRule type="cellIs" dxfId="1" priority="2457" operator="equal">
      <formula>0</formula>
    </cfRule>
  </conditionalFormatting>
  <conditionalFormatting sqref="D1134">
    <cfRule type="cellIs" dxfId="1" priority="2462" operator="equal">
      <formula>0</formula>
    </cfRule>
  </conditionalFormatting>
  <conditionalFormatting sqref="D1143">
    <cfRule type="expression" dxfId="0" priority="2478">
      <formula>D1144=0</formula>
    </cfRule>
  </conditionalFormatting>
  <conditionalFormatting sqref="D1144">
    <cfRule type="cellIs" dxfId="1" priority="2484" operator="equal">
      <formula>0</formula>
    </cfRule>
  </conditionalFormatting>
  <conditionalFormatting sqref="D1148">
    <cfRule type="cellIs" dxfId="1" priority="2492" operator="equal">
      <formula>0</formula>
    </cfRule>
  </conditionalFormatting>
  <conditionalFormatting sqref="D117">
    <cfRule type="expression" dxfId="0" priority="232">
      <formula>D118=0</formula>
    </cfRule>
  </conditionalFormatting>
  <conditionalFormatting sqref="D1179">
    <cfRule type="expression" dxfId="0" priority="2521">
      <formula>D1180=0</formula>
    </cfRule>
  </conditionalFormatting>
  <conditionalFormatting sqref="D118">
    <cfRule type="cellIs" dxfId="1" priority="244" operator="equal">
      <formula>0</formula>
    </cfRule>
  </conditionalFormatting>
  <conditionalFormatting sqref="D1180">
    <cfRule type="cellIs" dxfId="1" priority="2526" operator="equal">
      <formula>0</formula>
    </cfRule>
  </conditionalFormatting>
  <conditionalFormatting sqref="D1181">
    <cfRule type="cellIs" dxfId="1" priority="2531" operator="equal">
      <formula>0</formula>
    </cfRule>
  </conditionalFormatting>
  <conditionalFormatting sqref="D1183">
    <cfRule type="expression" dxfId="0" priority="2536">
      <formula>D1184=0</formula>
    </cfRule>
  </conditionalFormatting>
  <conditionalFormatting sqref="D1184">
    <cfRule type="cellIs" dxfId="1" priority="2538" operator="equal">
      <formula>0</formula>
    </cfRule>
  </conditionalFormatting>
  <conditionalFormatting sqref="D1185">
    <cfRule type="cellIs" dxfId="1" priority="2540" operator="equal">
      <formula>0</formula>
    </cfRule>
  </conditionalFormatting>
  <conditionalFormatting sqref="D1187">
    <cfRule type="expression" dxfId="0" priority="2542">
      <formula>D1188=0</formula>
    </cfRule>
  </conditionalFormatting>
  <conditionalFormatting sqref="D1188">
    <cfRule type="cellIs" dxfId="1" priority="2544" operator="equal">
      <formula>0</formula>
    </cfRule>
  </conditionalFormatting>
  <conditionalFormatting sqref="D1189">
    <cfRule type="cellIs" dxfId="1" priority="2546" operator="equal">
      <formula>0</formula>
    </cfRule>
  </conditionalFormatting>
  <conditionalFormatting sqref="D119">
    <cfRule type="cellIs" dxfId="1" priority="256" operator="equal">
      <formula>0</formula>
    </cfRule>
  </conditionalFormatting>
  <conditionalFormatting sqref="D1197">
    <cfRule type="expression" dxfId="0" priority="2548">
      <formula>D1198=0</formula>
    </cfRule>
  </conditionalFormatting>
  <conditionalFormatting sqref="D1198">
    <cfRule type="cellIs" dxfId="1" priority="2558" operator="equal">
      <formula>0</formula>
    </cfRule>
  </conditionalFormatting>
  <conditionalFormatting sqref="D1199">
    <cfRule type="cellIs" dxfId="1" priority="2568" operator="equal">
      <formula>0</formula>
    </cfRule>
  </conditionalFormatting>
  <conditionalFormatting sqref="D120">
    <cfRule type="cellIs" dxfId="1" priority="261" operator="equal">
      <formula>0</formula>
    </cfRule>
  </conditionalFormatting>
  <conditionalFormatting sqref="D1200">
    <cfRule type="cellIs" dxfId="1" priority="2570" operator="equal">
      <formula>0</formula>
    </cfRule>
  </conditionalFormatting>
  <conditionalFormatting sqref="D1201">
    <cfRule type="cellIs" dxfId="1" priority="2573" operator="equal">
      <formula>0</formula>
    </cfRule>
  </conditionalFormatting>
  <conditionalFormatting sqref="D1204">
    <cfRule type="cellIs" dxfId="1" priority="2585" operator="equal">
      <formula>0</formula>
    </cfRule>
  </conditionalFormatting>
  <conditionalFormatting sqref="D1205">
    <cfRule type="cellIs" dxfId="1" priority="2588" operator="equal">
      <formula>0</formula>
    </cfRule>
  </conditionalFormatting>
  <conditionalFormatting sqref="D1207">
    <cfRule type="expression" dxfId="0" priority="2594">
      <formula>D1208=0</formula>
    </cfRule>
  </conditionalFormatting>
  <conditionalFormatting sqref="D1208">
    <cfRule type="cellIs" dxfId="1" priority="2599" operator="equal">
      <formula>0</formula>
    </cfRule>
  </conditionalFormatting>
  <conditionalFormatting sqref="D121">
    <cfRule type="cellIs" dxfId="1" priority="265" operator="equal">
      <formula>0</formula>
    </cfRule>
  </conditionalFormatting>
  <conditionalFormatting sqref="D1211">
    <cfRule type="cellIs" dxfId="1" priority="2604" operator="equal">
      <formula>0</formula>
    </cfRule>
  </conditionalFormatting>
  <conditionalFormatting sqref="D1213">
    <cfRule type="cellIs" dxfId="1" priority="2607" operator="equal">
      <formula>0</formula>
    </cfRule>
  </conditionalFormatting>
  <conditionalFormatting sqref="D1217">
    <cfRule type="expression" dxfId="0" priority="2612">
      <formula>D1218=0</formula>
    </cfRule>
  </conditionalFormatting>
  <conditionalFormatting sqref="D1218">
    <cfRule type="cellIs" dxfId="1" priority="2614" operator="equal">
      <formula>0</formula>
    </cfRule>
  </conditionalFormatting>
  <conditionalFormatting sqref="D122">
    <cfRule type="cellIs" dxfId="1" priority="270" operator="equal">
      <formula>0</formula>
    </cfRule>
  </conditionalFormatting>
  <conditionalFormatting sqref="D1224">
    <cfRule type="cellIs" dxfId="1" priority="2621" operator="equal">
      <formula>0</formula>
    </cfRule>
  </conditionalFormatting>
  <conditionalFormatting sqref="D123">
    <cfRule type="cellIs" dxfId="1" priority="274" operator="equal">
      <formula>0</formula>
    </cfRule>
  </conditionalFormatting>
  <conditionalFormatting sqref="D1233">
    <cfRule type="expression" dxfId="0" priority="2624">
      <formula>D1234=0</formula>
    </cfRule>
  </conditionalFormatting>
  <conditionalFormatting sqref="D1234">
    <cfRule type="cellIs" dxfId="1" priority="2629" operator="equal">
      <formula>0</formula>
    </cfRule>
  </conditionalFormatting>
  <conditionalFormatting sqref="D1235">
    <cfRule type="cellIs" dxfId="1" priority="2634" operator="equal">
      <formula>0</formula>
    </cfRule>
  </conditionalFormatting>
  <conditionalFormatting sqref="D1236">
    <cfRule type="cellIs" dxfId="1" priority="2638" operator="equal">
      <formula>0</formula>
    </cfRule>
  </conditionalFormatting>
  <conditionalFormatting sqref="D1237">
    <cfRule type="cellIs" dxfId="1" priority="2642" operator="equal">
      <formula>0</formula>
    </cfRule>
  </conditionalFormatting>
  <conditionalFormatting sqref="D1238">
    <cfRule type="cellIs" dxfId="1" priority="2646" operator="equal">
      <formula>0</formula>
    </cfRule>
  </conditionalFormatting>
  <conditionalFormatting sqref="D1239">
    <cfRule type="cellIs" dxfId="1" priority="2650" operator="equal">
      <formula>0</formula>
    </cfRule>
  </conditionalFormatting>
  <conditionalFormatting sqref="D124">
    <cfRule type="cellIs" dxfId="1" priority="279" operator="equal">
      <formula>0</formula>
    </cfRule>
  </conditionalFormatting>
  <conditionalFormatting sqref="D1240">
    <cfRule type="cellIs" dxfId="1" priority="2654" operator="equal">
      <formula>0</formula>
    </cfRule>
  </conditionalFormatting>
  <conditionalFormatting sqref="D1241">
    <cfRule type="cellIs" dxfId="1" priority="2658" operator="equal">
      <formula>0</formula>
    </cfRule>
  </conditionalFormatting>
  <conditionalFormatting sqref="D1242">
    <cfRule type="cellIs" dxfId="1" priority="2662" operator="equal">
      <formula>0</formula>
    </cfRule>
  </conditionalFormatting>
  <conditionalFormatting sqref="D1243">
    <cfRule type="cellIs" dxfId="1" priority="2666" operator="equal">
      <formula>0</formula>
    </cfRule>
  </conditionalFormatting>
  <conditionalFormatting sqref="D1244">
    <cfRule type="cellIs" dxfId="1" priority="2670" operator="equal">
      <formula>0</formula>
    </cfRule>
  </conditionalFormatting>
  <conditionalFormatting sqref="D1246">
    <cfRule type="expression" dxfId="0" priority="2674">
      <formula>D1247=0</formula>
    </cfRule>
  </conditionalFormatting>
  <conditionalFormatting sqref="D1247">
    <cfRule type="cellIs" dxfId="1" priority="2682" operator="equal">
      <formula>0</formula>
    </cfRule>
  </conditionalFormatting>
  <conditionalFormatting sqref="D1248">
    <cfRule type="cellIs" dxfId="1" priority="2690" operator="equal">
      <formula>0</formula>
    </cfRule>
  </conditionalFormatting>
  <conditionalFormatting sqref="D1256">
    <cfRule type="cellIs" dxfId="1" priority="2704" operator="equal">
      <formula>0</formula>
    </cfRule>
  </conditionalFormatting>
  <conditionalFormatting sqref="D1259">
    <cfRule type="expression" dxfId="0" priority="2708">
      <formula>D1260=0</formula>
    </cfRule>
  </conditionalFormatting>
  <conditionalFormatting sqref="D126">
    <cfRule type="cellIs" dxfId="1" priority="289" operator="equal">
      <formula>0</formula>
    </cfRule>
  </conditionalFormatting>
  <conditionalFormatting sqref="D1260">
    <cfRule type="cellIs" dxfId="1" priority="2711" operator="equal">
      <formula>0</formula>
    </cfRule>
  </conditionalFormatting>
  <conditionalFormatting sqref="D1262">
    <cfRule type="cellIs" dxfId="1" priority="2714" operator="equal">
      <formula>0</formula>
    </cfRule>
  </conditionalFormatting>
  <conditionalFormatting sqref="D1278">
    <cfRule type="expression" dxfId="0" priority="2724">
      <formula>D1279=0</formula>
    </cfRule>
  </conditionalFormatting>
  <conditionalFormatting sqref="D1279">
    <cfRule type="cellIs" dxfId="1" priority="2731" operator="equal">
      <formula>0</formula>
    </cfRule>
  </conditionalFormatting>
  <conditionalFormatting sqref="D1280">
    <cfRule type="cellIs" dxfId="1" priority="2738" operator="equal">
      <formula>0</formula>
    </cfRule>
  </conditionalFormatting>
  <conditionalFormatting sqref="D1281">
    <cfRule type="cellIs" dxfId="1" priority="2743" operator="equal">
      <formula>0</formula>
    </cfRule>
  </conditionalFormatting>
  <conditionalFormatting sqref="D1282">
    <cfRule type="cellIs" dxfId="1" priority="2747" operator="equal">
      <formula>0</formula>
    </cfRule>
  </conditionalFormatting>
  <conditionalFormatting sqref="D1283">
    <cfRule type="cellIs" dxfId="1" priority="2752" operator="equal">
      <formula>0</formula>
    </cfRule>
  </conditionalFormatting>
  <conditionalFormatting sqref="D1285">
    <cfRule type="expression" dxfId="0" priority="2757">
      <formula>D1286=0</formula>
    </cfRule>
  </conditionalFormatting>
  <conditionalFormatting sqref="D1286">
    <cfRule type="cellIs" dxfId="1" priority="2760" operator="equal">
      <formula>0</formula>
    </cfRule>
  </conditionalFormatting>
  <conditionalFormatting sqref="D1287">
    <cfRule type="cellIs" dxfId="1" priority="2763" operator="equal">
      <formula>0</formula>
    </cfRule>
  </conditionalFormatting>
  <conditionalFormatting sqref="D129">
    <cfRule type="cellIs" dxfId="1" priority="299" operator="equal">
      <formula>0</formula>
    </cfRule>
  </conditionalFormatting>
  <conditionalFormatting sqref="D1292">
    <cfRule type="expression" dxfId="0" priority="2769">
      <formula>D1293=0</formula>
    </cfRule>
  </conditionalFormatting>
  <conditionalFormatting sqref="D1293">
    <cfRule type="cellIs" dxfId="1" priority="2771" operator="equal">
      <formula>0</formula>
    </cfRule>
  </conditionalFormatting>
  <conditionalFormatting sqref="D1294">
    <cfRule type="cellIs" dxfId="1" priority="2773" operator="equal">
      <formula>0</formula>
    </cfRule>
  </conditionalFormatting>
  <conditionalFormatting sqref="D1297">
    <cfRule type="cellIs" dxfId="1" priority="2777" operator="equal">
      <formula>0</formula>
    </cfRule>
  </conditionalFormatting>
  <conditionalFormatting sqref="D130">
    <cfRule type="cellIs" dxfId="1" priority="304" operator="equal">
      <formula>0</formula>
    </cfRule>
  </conditionalFormatting>
  <conditionalFormatting sqref="D1305">
    <cfRule type="expression" dxfId="0" priority="2779">
      <formula>D1306=0</formula>
    </cfRule>
  </conditionalFormatting>
  <conditionalFormatting sqref="D1306">
    <cfRule type="cellIs" dxfId="1" priority="2786" operator="equal">
      <formula>0</formula>
    </cfRule>
  </conditionalFormatting>
  <conditionalFormatting sqref="D1307">
    <cfRule type="cellIs" dxfId="1" priority="2793" operator="equal">
      <formula>0</formula>
    </cfRule>
  </conditionalFormatting>
  <conditionalFormatting sqref="D1308">
    <cfRule type="cellIs" dxfId="1" priority="2798" operator="equal">
      <formula>0</formula>
    </cfRule>
  </conditionalFormatting>
  <conditionalFormatting sqref="D1309">
    <cfRule type="cellIs" dxfId="1" priority="2803" operator="equal">
      <formula>0</formula>
    </cfRule>
  </conditionalFormatting>
  <conditionalFormatting sqref="D131">
    <cfRule type="cellIs" dxfId="1" priority="308" operator="equal">
      <formula>0</formula>
    </cfRule>
  </conditionalFormatting>
  <conditionalFormatting sqref="D1310">
    <cfRule type="cellIs" dxfId="1" priority="2808" operator="equal">
      <formula>0</formula>
    </cfRule>
  </conditionalFormatting>
  <conditionalFormatting sqref="D1311">
    <cfRule type="cellIs" dxfId="1" priority="2812" operator="equal">
      <formula>0</formula>
    </cfRule>
  </conditionalFormatting>
  <conditionalFormatting sqref="D1313">
    <cfRule type="expression" dxfId="0" priority="2816">
      <formula>D1314=0</formula>
    </cfRule>
  </conditionalFormatting>
  <conditionalFormatting sqref="D1314">
    <cfRule type="cellIs" dxfId="1" priority="2820" operator="equal">
      <formula>0</formula>
    </cfRule>
  </conditionalFormatting>
  <conditionalFormatting sqref="D1315">
    <cfRule type="cellIs" dxfId="1" priority="2824" operator="equal">
      <formula>0</formula>
    </cfRule>
  </conditionalFormatting>
  <conditionalFormatting sqref="D132">
    <cfRule type="cellIs" dxfId="1" priority="313" operator="equal">
      <formula>0</formula>
    </cfRule>
  </conditionalFormatting>
  <conditionalFormatting sqref="D1321">
    <cfRule type="expression" dxfId="0" priority="2832">
      <formula>D1322=0</formula>
    </cfRule>
  </conditionalFormatting>
  <conditionalFormatting sqref="D1322">
    <cfRule type="cellIs" dxfId="1" priority="2835" operator="equal">
      <formula>0</formula>
    </cfRule>
  </conditionalFormatting>
  <conditionalFormatting sqref="D1323">
    <cfRule type="cellIs" dxfId="1" priority="2838" operator="equal">
      <formula>0</formula>
    </cfRule>
  </conditionalFormatting>
  <conditionalFormatting sqref="D1327">
    <cfRule type="cellIs" dxfId="1" priority="2844" operator="equal">
      <formula>0</formula>
    </cfRule>
  </conditionalFormatting>
  <conditionalFormatting sqref="D1335">
    <cfRule type="expression" dxfId="0" priority="2846">
      <formula>D1336=0</formula>
    </cfRule>
  </conditionalFormatting>
  <conditionalFormatting sqref="D1336">
    <cfRule type="cellIs" dxfId="1" priority="2853" operator="equal">
      <formula>0</formula>
    </cfRule>
  </conditionalFormatting>
  <conditionalFormatting sqref="D1337">
    <cfRule type="cellIs" dxfId="1" priority="2860" operator="equal">
      <formula>0</formula>
    </cfRule>
  </conditionalFormatting>
  <conditionalFormatting sqref="D1339">
    <cfRule type="cellIs" dxfId="1" priority="2868" operator="equal">
      <formula>0</formula>
    </cfRule>
  </conditionalFormatting>
  <conditionalFormatting sqref="D134">
    <cfRule type="cellIs" dxfId="1" priority="321" operator="equal">
      <formula>0</formula>
    </cfRule>
  </conditionalFormatting>
  <conditionalFormatting sqref="D1340">
    <cfRule type="cellIs" dxfId="1" priority="2872" operator="equal">
      <formula>0</formula>
    </cfRule>
  </conditionalFormatting>
  <conditionalFormatting sqref="D1342">
    <cfRule type="expression" dxfId="0" priority="2876">
      <formula>D1343=0</formula>
    </cfRule>
  </conditionalFormatting>
  <conditionalFormatting sqref="D1343">
    <cfRule type="cellIs" dxfId="1" priority="2880" operator="equal">
      <formula>0</formula>
    </cfRule>
  </conditionalFormatting>
  <conditionalFormatting sqref="D1344">
    <cfRule type="cellIs" dxfId="1" priority="2884" operator="equal">
      <formula>0</formula>
    </cfRule>
  </conditionalFormatting>
  <conditionalFormatting sqref="D1345">
    <cfRule type="cellIs" dxfId="1" priority="2886" operator="equal">
      <formula>0</formula>
    </cfRule>
  </conditionalFormatting>
  <conditionalFormatting sqref="D1346">
    <cfRule type="cellIs" dxfId="1" priority="2888" operator="equal">
      <formula>0</formula>
    </cfRule>
  </conditionalFormatting>
  <conditionalFormatting sqref="D1349">
    <cfRule type="expression" dxfId="0" priority="2892">
      <formula>D1350=0</formula>
    </cfRule>
  </conditionalFormatting>
  <conditionalFormatting sqref="D135">
    <cfRule type="cellIs" dxfId="1" priority="326" operator="equal">
      <formula>0</formula>
    </cfRule>
  </conditionalFormatting>
  <conditionalFormatting sqref="D1350">
    <cfRule type="cellIs" dxfId="1" priority="2895" operator="equal">
      <formula>0</formula>
    </cfRule>
  </conditionalFormatting>
  <conditionalFormatting sqref="D1351">
    <cfRule type="cellIs" dxfId="1" priority="2898" operator="equal">
      <formula>0</formula>
    </cfRule>
  </conditionalFormatting>
  <conditionalFormatting sqref="D1353">
    <cfRule type="cellIs" dxfId="1" priority="2901" operator="equal">
      <formula>0</formula>
    </cfRule>
  </conditionalFormatting>
  <conditionalFormatting sqref="D1362">
    <cfRule type="expression" dxfId="0" priority="2905">
      <formula>D1363=0</formula>
    </cfRule>
  </conditionalFormatting>
  <conditionalFormatting sqref="D1363">
    <cfRule type="cellIs" dxfId="1" priority="2912" operator="equal">
      <formula>0</formula>
    </cfRule>
  </conditionalFormatting>
  <conditionalFormatting sqref="D1365">
    <cfRule type="cellIs" dxfId="1" priority="2923" operator="equal">
      <formula>0</formula>
    </cfRule>
  </conditionalFormatting>
  <conditionalFormatting sqref="D1366">
    <cfRule type="cellIs" dxfId="1" priority="2928" operator="equal">
      <formula>0</formula>
    </cfRule>
  </conditionalFormatting>
  <conditionalFormatting sqref="D1368">
    <cfRule type="expression" dxfId="0" priority="2932">
      <formula>D1369=0</formula>
    </cfRule>
  </conditionalFormatting>
  <conditionalFormatting sqref="D1369">
    <cfRule type="cellIs" dxfId="1" priority="2936" operator="equal">
      <formula>0</formula>
    </cfRule>
  </conditionalFormatting>
  <conditionalFormatting sqref="D137">
    <cfRule type="cellIs" dxfId="1" priority="335" operator="equal">
      <formula>0</formula>
    </cfRule>
  </conditionalFormatting>
  <conditionalFormatting sqref="D1370">
    <cfRule type="cellIs" dxfId="1" priority="2940" operator="equal">
      <formula>0</formula>
    </cfRule>
  </conditionalFormatting>
  <conditionalFormatting sqref="D1371">
    <cfRule type="cellIs" dxfId="1" priority="2942" operator="equal">
      <formula>0</formula>
    </cfRule>
  </conditionalFormatting>
  <conditionalFormatting sqref="D1374">
    <cfRule type="expression" dxfId="0" priority="2946">
      <formula>D1375=0</formula>
    </cfRule>
  </conditionalFormatting>
  <conditionalFormatting sqref="D1375">
    <cfRule type="cellIs" dxfId="1" priority="2948" operator="equal">
      <formula>0</formula>
    </cfRule>
  </conditionalFormatting>
  <conditionalFormatting sqref="D1378">
    <cfRule type="cellIs" dxfId="1" priority="2952" operator="equal">
      <formula>0</formula>
    </cfRule>
  </conditionalFormatting>
  <conditionalFormatting sqref="D138">
    <cfRule type="cellIs" dxfId="1" priority="340" operator="equal">
      <formula>0</formula>
    </cfRule>
  </conditionalFormatting>
  <conditionalFormatting sqref="D1386">
    <cfRule type="expression" dxfId="0" priority="2954">
      <formula>D1387=0</formula>
    </cfRule>
  </conditionalFormatting>
  <conditionalFormatting sqref="D1387">
    <cfRule type="cellIs" dxfId="1" priority="2962" operator="equal">
      <formula>0</formula>
    </cfRule>
  </conditionalFormatting>
  <conditionalFormatting sqref="D1389">
    <cfRule type="cellIs" dxfId="1" priority="2974" operator="equal">
      <formula>0</formula>
    </cfRule>
  </conditionalFormatting>
  <conditionalFormatting sqref="D139">
    <cfRule type="cellIs" dxfId="1" priority="346" operator="equal">
      <formula>0</formula>
    </cfRule>
  </conditionalFormatting>
  <conditionalFormatting sqref="D1390">
    <cfRule type="cellIs" dxfId="1" priority="2978" operator="equal">
      <formula>0</formula>
    </cfRule>
  </conditionalFormatting>
  <conditionalFormatting sqref="D1391">
    <cfRule type="cellIs" dxfId="1" priority="2983" operator="equal">
      <formula>0</formula>
    </cfRule>
  </conditionalFormatting>
  <conditionalFormatting sqref="D1392">
    <cfRule type="cellIs" dxfId="1" priority="2988" operator="equal">
      <formula>0</formula>
    </cfRule>
  </conditionalFormatting>
  <conditionalFormatting sqref="D1394">
    <cfRule type="cellIs" dxfId="1" priority="2997" operator="equal">
      <formula>0</formula>
    </cfRule>
  </conditionalFormatting>
  <conditionalFormatting sqref="D1396">
    <cfRule type="expression" dxfId="0" priority="3001">
      <formula>D1397=0</formula>
    </cfRule>
  </conditionalFormatting>
  <conditionalFormatting sqref="D1397">
    <cfRule type="cellIs" dxfId="1" priority="3007" operator="equal">
      <formula>0</formula>
    </cfRule>
  </conditionalFormatting>
  <conditionalFormatting sqref="D1398">
    <cfRule type="cellIs" dxfId="1" priority="3013" operator="equal">
      <formula>0</formula>
    </cfRule>
  </conditionalFormatting>
  <conditionalFormatting sqref="D1399">
    <cfRule type="cellIs" dxfId="1" priority="3015" operator="equal">
      <formula>0</formula>
    </cfRule>
  </conditionalFormatting>
  <conditionalFormatting sqref="D140">
    <cfRule type="cellIs" dxfId="1" priority="350" operator="equal">
      <formula>0</formula>
    </cfRule>
  </conditionalFormatting>
  <conditionalFormatting sqref="D1401">
    <cfRule type="cellIs" dxfId="1" priority="3018" operator="equal">
      <formula>0</formula>
    </cfRule>
  </conditionalFormatting>
  <conditionalFormatting sqref="D1403">
    <cfRule type="cellIs" dxfId="1" priority="3022" operator="equal">
      <formula>0</formula>
    </cfRule>
  </conditionalFormatting>
  <conditionalFormatting sqref="D1406">
    <cfRule type="expression" dxfId="0" priority="3026">
      <formula>D1407=0</formula>
    </cfRule>
  </conditionalFormatting>
  <conditionalFormatting sqref="D1407">
    <cfRule type="cellIs" dxfId="1" priority="3028" operator="equal">
      <formula>0</formula>
    </cfRule>
  </conditionalFormatting>
  <conditionalFormatting sqref="D141">
    <cfRule type="cellIs" dxfId="1" priority="354" operator="equal">
      <formula>0</formula>
    </cfRule>
  </conditionalFormatting>
  <conditionalFormatting sqref="D1410">
    <cfRule type="cellIs" dxfId="1" priority="3031" operator="equal">
      <formula>0</formula>
    </cfRule>
  </conditionalFormatting>
  <conditionalFormatting sqref="D1414">
    <cfRule type="cellIs" dxfId="1" priority="3036" operator="equal">
      <formula>0</formula>
    </cfRule>
  </conditionalFormatting>
  <conditionalFormatting sqref="D142">
    <cfRule type="cellIs" dxfId="1" priority="359" operator="equal">
      <formula>0</formula>
    </cfRule>
  </conditionalFormatting>
  <conditionalFormatting sqref="D1422">
    <cfRule type="expression" dxfId="0" priority="3038">
      <formula>D1423=0</formula>
    </cfRule>
  </conditionalFormatting>
  <conditionalFormatting sqref="D1423">
    <cfRule type="cellIs" dxfId="1" priority="3049" operator="equal">
      <formula>0</formula>
    </cfRule>
  </conditionalFormatting>
  <conditionalFormatting sqref="D1424">
    <cfRule type="cellIs" dxfId="1" priority="3060" operator="equal">
      <formula>0</formula>
    </cfRule>
  </conditionalFormatting>
  <conditionalFormatting sqref="D1425">
    <cfRule type="cellIs" dxfId="1" priority="3064" operator="equal">
      <formula>0</formula>
    </cfRule>
  </conditionalFormatting>
  <conditionalFormatting sqref="D1426">
    <cfRule type="cellIs" dxfId="1" priority="3068" operator="equal">
      <formula>0</formula>
    </cfRule>
  </conditionalFormatting>
  <conditionalFormatting sqref="D1428">
    <cfRule type="cellIs" dxfId="1" priority="3079" operator="equal">
      <formula>0</formula>
    </cfRule>
  </conditionalFormatting>
  <conditionalFormatting sqref="D1429">
    <cfRule type="cellIs" dxfId="1" priority="3084" operator="equal">
      <formula>0</formula>
    </cfRule>
  </conditionalFormatting>
  <conditionalFormatting sqref="D1430">
    <cfRule type="cellIs" dxfId="1" priority="3089" operator="equal">
      <formula>0</formula>
    </cfRule>
  </conditionalFormatting>
  <conditionalFormatting sqref="D1431">
    <cfRule type="cellIs" dxfId="1" priority="3093" operator="equal">
      <formula>0</formula>
    </cfRule>
  </conditionalFormatting>
  <conditionalFormatting sqref="D1432">
    <cfRule type="cellIs" dxfId="1" priority="3097" operator="equal">
      <formula>0</formula>
    </cfRule>
  </conditionalFormatting>
  <conditionalFormatting sqref="D1433">
    <cfRule type="cellIs" dxfId="1" priority="3103" operator="equal">
      <formula>0</formula>
    </cfRule>
  </conditionalFormatting>
  <conditionalFormatting sqref="D1434">
    <cfRule type="cellIs" dxfId="1" priority="3107" operator="equal">
      <formula>0</formula>
    </cfRule>
  </conditionalFormatting>
  <conditionalFormatting sqref="D1435">
    <cfRule type="cellIs" dxfId="1" priority="3112" operator="equal">
      <formula>0</formula>
    </cfRule>
  </conditionalFormatting>
  <conditionalFormatting sqref="D1437">
    <cfRule type="cellIs" dxfId="1" priority="3119" operator="equal">
      <formula>0</formula>
    </cfRule>
  </conditionalFormatting>
  <conditionalFormatting sqref="D1438">
    <cfRule type="cellIs" dxfId="1" priority="3124" operator="equal">
      <formula>0</formula>
    </cfRule>
  </conditionalFormatting>
  <conditionalFormatting sqref="D1439">
    <cfRule type="cellIs" dxfId="1" priority="3129" operator="equal">
      <formula>0</formula>
    </cfRule>
  </conditionalFormatting>
  <conditionalFormatting sqref="D144">
    <cfRule type="expression" dxfId="0" priority="364">
      <formula>D145=0</formula>
    </cfRule>
  </conditionalFormatting>
  <conditionalFormatting sqref="D1440">
    <cfRule type="cellIs" dxfId="1" priority="3134" operator="equal">
      <formula>0</formula>
    </cfRule>
  </conditionalFormatting>
  <conditionalFormatting sqref="D1443">
    <cfRule type="expression" dxfId="0" priority="3143">
      <formula>D1444=0</formula>
    </cfRule>
  </conditionalFormatting>
  <conditionalFormatting sqref="D1444">
    <cfRule type="cellIs" dxfId="1" priority="3150" operator="equal">
      <formula>0</formula>
    </cfRule>
  </conditionalFormatting>
  <conditionalFormatting sqref="D1445">
    <cfRule type="cellIs" dxfId="1" priority="3157" operator="equal">
      <formula>0</formula>
    </cfRule>
  </conditionalFormatting>
  <conditionalFormatting sqref="D145">
    <cfRule type="cellIs" dxfId="1" priority="372" operator="equal">
      <formula>0</formula>
    </cfRule>
  </conditionalFormatting>
  <conditionalFormatting sqref="D1450">
    <cfRule type="cellIs" dxfId="1" priority="3165" operator="equal">
      <formula>0</formula>
    </cfRule>
  </conditionalFormatting>
  <conditionalFormatting sqref="D1458">
    <cfRule type="cellIs" dxfId="1" priority="3179" operator="equal">
      <formula>0</formula>
    </cfRule>
  </conditionalFormatting>
  <conditionalFormatting sqref="D146">
    <cfRule type="cellIs" dxfId="1" priority="380" operator="equal">
      <formula>0</formula>
    </cfRule>
  </conditionalFormatting>
  <conditionalFormatting sqref="D1464">
    <cfRule type="expression" dxfId="0" priority="3187">
      <formula>D1465=0</formula>
    </cfRule>
  </conditionalFormatting>
  <conditionalFormatting sqref="D1465">
    <cfRule type="cellIs" dxfId="1" priority="3189" operator="equal">
      <formula>0</formula>
    </cfRule>
  </conditionalFormatting>
  <conditionalFormatting sqref="D147">
    <cfRule type="cellIs" dxfId="1" priority="381" operator="equal">
      <formula>0</formula>
    </cfRule>
  </conditionalFormatting>
  <conditionalFormatting sqref="D1476">
    <cfRule type="cellIs" dxfId="1" priority="3201" operator="equal">
      <formula>0</formula>
    </cfRule>
  </conditionalFormatting>
  <conditionalFormatting sqref="D1483">
    <cfRule type="cellIs" dxfId="1" priority="3209" operator="equal">
      <formula>0</formula>
    </cfRule>
  </conditionalFormatting>
  <conditionalFormatting sqref="D1491">
    <cfRule type="expression" dxfId="0" priority="3211">
      <formula>D1492=0</formula>
    </cfRule>
  </conditionalFormatting>
  <conditionalFormatting sqref="D1492">
    <cfRule type="cellIs" dxfId="1" priority="3218" operator="equal">
      <formula>0</formula>
    </cfRule>
  </conditionalFormatting>
  <conditionalFormatting sqref="D1493">
    <cfRule type="cellIs" dxfId="1" priority="3225" operator="equal">
      <formula>0</formula>
    </cfRule>
  </conditionalFormatting>
  <conditionalFormatting sqref="D1494">
    <cfRule type="cellIs" dxfId="1" priority="3229" operator="equal">
      <formula>0</formula>
    </cfRule>
  </conditionalFormatting>
  <conditionalFormatting sqref="D1495">
    <cfRule type="cellIs" dxfId="1" priority="3234" operator="equal">
      <formula>0</formula>
    </cfRule>
  </conditionalFormatting>
  <conditionalFormatting sqref="D1496">
    <cfRule type="cellIs" dxfId="1" priority="3239" operator="equal">
      <formula>0</formula>
    </cfRule>
  </conditionalFormatting>
  <conditionalFormatting sqref="D1497">
    <cfRule type="cellIs" dxfId="1" priority="3244" operator="equal">
      <formula>0</formula>
    </cfRule>
  </conditionalFormatting>
  <conditionalFormatting sqref="D1499">
    <cfRule type="expression" dxfId="0" priority="3248">
      <formula>D1500=0</formula>
    </cfRule>
  </conditionalFormatting>
  <conditionalFormatting sqref="D150">
    <cfRule type="cellIs" dxfId="1" priority="387" operator="equal">
      <formula>0</formula>
    </cfRule>
  </conditionalFormatting>
  <conditionalFormatting sqref="D1500">
    <cfRule type="cellIs" dxfId="1" priority="3252" operator="equal">
      <formula>0</formula>
    </cfRule>
  </conditionalFormatting>
  <conditionalFormatting sqref="D1501">
    <cfRule type="cellIs" dxfId="1" priority="3256" operator="equal">
      <formula>0</formula>
    </cfRule>
  </conditionalFormatting>
  <conditionalFormatting sqref="D1507">
    <cfRule type="expression" dxfId="0" priority="3264">
      <formula>D1508=0</formula>
    </cfRule>
  </conditionalFormatting>
  <conditionalFormatting sqref="D1508">
    <cfRule type="cellIs" dxfId="1" priority="3267" operator="equal">
      <formula>0</formula>
    </cfRule>
  </conditionalFormatting>
  <conditionalFormatting sqref="D1509">
    <cfRule type="cellIs" dxfId="1" priority="3270" operator="equal">
      <formula>0</formula>
    </cfRule>
  </conditionalFormatting>
  <conditionalFormatting sqref="D1513">
    <cfRule type="cellIs" dxfId="1" priority="3276" operator="equal">
      <formula>0</formula>
    </cfRule>
  </conditionalFormatting>
  <conditionalFormatting sqref="D152">
    <cfRule type="cellIs" dxfId="1" priority="389" operator="equal">
      <formula>0</formula>
    </cfRule>
  </conditionalFormatting>
  <conditionalFormatting sqref="D1521">
    <cfRule type="expression" dxfId="0" priority="3278">
      <formula>D1522=0</formula>
    </cfRule>
  </conditionalFormatting>
  <conditionalFormatting sqref="D1522">
    <cfRule type="cellIs" dxfId="1" priority="3284" operator="equal">
      <formula>0</formula>
    </cfRule>
  </conditionalFormatting>
  <conditionalFormatting sqref="D1523">
    <cfRule type="cellIs" dxfId="1" priority="3290" operator="equal">
      <formula>0</formula>
    </cfRule>
  </conditionalFormatting>
  <conditionalFormatting sqref="D1524">
    <cfRule type="cellIs" dxfId="1" priority="3294" operator="equal">
      <formula>0</formula>
    </cfRule>
  </conditionalFormatting>
  <conditionalFormatting sqref="D1525">
    <cfRule type="cellIs" dxfId="1" priority="3299" operator="equal">
      <formula>0</formula>
    </cfRule>
  </conditionalFormatting>
  <conditionalFormatting sqref="D1526">
    <cfRule type="cellIs" dxfId="1" priority="3303" operator="equal">
      <formula>0</formula>
    </cfRule>
  </conditionalFormatting>
  <conditionalFormatting sqref="D1527">
    <cfRule type="cellIs" dxfId="1" priority="3307" operator="equal">
      <formula>0</formula>
    </cfRule>
  </conditionalFormatting>
  <conditionalFormatting sqref="D1528">
    <cfRule type="cellIs" dxfId="1" priority="3311" operator="equal">
      <formula>0</formula>
    </cfRule>
  </conditionalFormatting>
  <conditionalFormatting sqref="D1530">
    <cfRule type="expression" dxfId="0" priority="3316">
      <formula>D1531=0</formula>
    </cfRule>
  </conditionalFormatting>
  <conditionalFormatting sqref="D1531">
    <cfRule type="cellIs" dxfId="1" priority="3318" operator="equal">
      <formula>0</formula>
    </cfRule>
  </conditionalFormatting>
  <conditionalFormatting sqref="D1532">
    <cfRule type="cellIs" dxfId="1" priority="3320" operator="equal">
      <formula>0</formula>
    </cfRule>
  </conditionalFormatting>
  <conditionalFormatting sqref="D1534">
    <cfRule type="cellIs" dxfId="1" priority="3323" operator="equal">
      <formula>0</formula>
    </cfRule>
  </conditionalFormatting>
  <conditionalFormatting sqref="D1536">
    <cfRule type="cellIs" dxfId="1" priority="3326" operator="equal">
      <formula>0</formula>
    </cfRule>
  </conditionalFormatting>
  <conditionalFormatting sqref="D1537">
    <cfRule type="cellIs" dxfId="1" priority="3328" operator="equal">
      <formula>0</formula>
    </cfRule>
  </conditionalFormatting>
  <conditionalFormatting sqref="D154">
    <cfRule type="cellIs" dxfId="1" priority="393" operator="equal">
      <formula>0</formula>
    </cfRule>
  </conditionalFormatting>
  <conditionalFormatting sqref="D1554">
    <cfRule type="expression" dxfId="0" priority="3338">
      <formula>D1555=0</formula>
    </cfRule>
  </conditionalFormatting>
  <conditionalFormatting sqref="D1555">
    <cfRule type="cellIs" dxfId="1" priority="3349" operator="equal">
      <formula>0</formula>
    </cfRule>
  </conditionalFormatting>
  <conditionalFormatting sqref="D1556">
    <cfRule type="cellIs" dxfId="1" priority="3359" operator="equal">
      <formula>0</formula>
    </cfRule>
  </conditionalFormatting>
  <conditionalFormatting sqref="D1557">
    <cfRule type="cellIs" dxfId="1" priority="3363" operator="equal">
      <formula>0</formula>
    </cfRule>
  </conditionalFormatting>
  <conditionalFormatting sqref="D1558">
    <cfRule type="cellIs" dxfId="1" priority="3367" operator="equal">
      <formula>0</formula>
    </cfRule>
  </conditionalFormatting>
  <conditionalFormatting sqref="D1559">
    <cfRule type="cellIs" dxfId="1" priority="3371" operator="equal">
      <formula>0</formula>
    </cfRule>
  </conditionalFormatting>
  <conditionalFormatting sqref="D1560">
    <cfRule type="cellIs" dxfId="1" priority="3375" operator="equal">
      <formula>0</formula>
    </cfRule>
  </conditionalFormatting>
  <conditionalFormatting sqref="D1561">
    <cfRule type="cellIs" dxfId="1" priority="3380" operator="equal">
      <formula>0</formula>
    </cfRule>
  </conditionalFormatting>
  <conditionalFormatting sqref="D1562">
    <cfRule type="cellIs" dxfId="1" priority="3384" operator="equal">
      <formula>0</formula>
    </cfRule>
  </conditionalFormatting>
  <conditionalFormatting sqref="D1564">
    <cfRule type="cellIs" dxfId="1" priority="3393" operator="equal">
      <formula>0</formula>
    </cfRule>
  </conditionalFormatting>
  <conditionalFormatting sqref="D1565">
    <cfRule type="cellIs" dxfId="1" priority="3397" operator="equal">
      <formula>0</formula>
    </cfRule>
  </conditionalFormatting>
  <conditionalFormatting sqref="D1566">
    <cfRule type="cellIs" dxfId="1" priority="3401" operator="equal">
      <formula>0</formula>
    </cfRule>
  </conditionalFormatting>
  <conditionalFormatting sqref="D1567">
    <cfRule type="cellIs" dxfId="1" priority="3405" operator="equal">
      <formula>0</formula>
    </cfRule>
  </conditionalFormatting>
  <conditionalFormatting sqref="D1568">
    <cfRule type="cellIs" dxfId="1" priority="3410" operator="equal">
      <formula>0</formula>
    </cfRule>
  </conditionalFormatting>
  <conditionalFormatting sqref="D1569">
    <cfRule type="cellIs" dxfId="1" priority="3415" operator="equal">
      <formula>0</formula>
    </cfRule>
  </conditionalFormatting>
  <conditionalFormatting sqref="D1570">
    <cfRule type="cellIs" dxfId="1" priority="3419" operator="equal">
      <formula>0</formula>
    </cfRule>
  </conditionalFormatting>
  <conditionalFormatting sqref="D1571">
    <cfRule type="cellIs" dxfId="1" priority="3424" operator="equal">
      <formula>0</formula>
    </cfRule>
  </conditionalFormatting>
  <conditionalFormatting sqref="D1573">
    <cfRule type="expression" dxfId="0" priority="3429">
      <formula>D1574=0</formula>
    </cfRule>
  </conditionalFormatting>
  <conditionalFormatting sqref="D1574">
    <cfRule type="cellIs" dxfId="1" priority="3436" operator="equal">
      <formula>0</formula>
    </cfRule>
  </conditionalFormatting>
  <conditionalFormatting sqref="D1575">
    <cfRule type="cellIs" dxfId="1" priority="3443" operator="equal">
      <formula>0</formula>
    </cfRule>
  </conditionalFormatting>
  <conditionalFormatting sqref="D1587">
    <cfRule type="cellIs" dxfId="1" priority="3464" operator="equal">
      <formula>0</formula>
    </cfRule>
  </conditionalFormatting>
  <conditionalFormatting sqref="D1592">
    <cfRule type="expression" dxfId="0" priority="3473">
      <formula>D1593=0</formula>
    </cfRule>
  </conditionalFormatting>
  <conditionalFormatting sqref="D1593">
    <cfRule type="cellIs" dxfId="1" priority="3476" operator="equal">
      <formula>0</formula>
    </cfRule>
  </conditionalFormatting>
  <conditionalFormatting sqref="D1595">
    <cfRule type="cellIs" dxfId="1" priority="3480" operator="equal">
      <formula>0</formula>
    </cfRule>
  </conditionalFormatting>
  <conditionalFormatting sqref="D160">
    <cfRule type="cellIs" dxfId="1" priority="401" operator="equal">
      <formula>0</formula>
    </cfRule>
  </conditionalFormatting>
  <conditionalFormatting sqref="D1617">
    <cfRule type="expression" dxfId="0" priority="3504">
      <formula>D1618=0</formula>
    </cfRule>
  </conditionalFormatting>
  <conditionalFormatting sqref="D1618">
    <cfRule type="cellIs" dxfId="1" priority="3508" operator="equal">
      <formula>0</formula>
    </cfRule>
  </conditionalFormatting>
  <conditionalFormatting sqref="D1619">
    <cfRule type="cellIs" dxfId="1" priority="3512" operator="equal">
      <formula>0</formula>
    </cfRule>
  </conditionalFormatting>
  <conditionalFormatting sqref="D1620">
    <cfRule type="cellIs" dxfId="1" priority="3516" operator="equal">
      <formula>0</formula>
    </cfRule>
  </conditionalFormatting>
  <conditionalFormatting sqref="D1621">
    <cfRule type="cellIs" dxfId="1" priority="3520" operator="equal">
      <formula>0</formula>
    </cfRule>
  </conditionalFormatting>
  <conditionalFormatting sqref="D1622">
    <cfRule type="cellIs" dxfId="1" priority="3524" operator="equal">
      <formula>0</formula>
    </cfRule>
  </conditionalFormatting>
  <conditionalFormatting sqref="D1624">
    <cfRule type="expression" dxfId="0" priority="3528">
      <formula>D1625=0</formula>
    </cfRule>
  </conditionalFormatting>
  <conditionalFormatting sqref="D1625">
    <cfRule type="cellIs" dxfId="1" priority="3530" operator="equal">
      <formula>0</formula>
    </cfRule>
  </conditionalFormatting>
  <conditionalFormatting sqref="D1626">
    <cfRule type="cellIs" dxfId="1" priority="3532" operator="equal">
      <formula>0</formula>
    </cfRule>
  </conditionalFormatting>
  <conditionalFormatting sqref="D1627">
    <cfRule type="cellIs" dxfId="1" priority="3534" operator="equal">
      <formula>0</formula>
    </cfRule>
  </conditionalFormatting>
  <conditionalFormatting sqref="D1628">
    <cfRule type="cellIs" dxfId="1" priority="3536" operator="equal">
      <formula>0</formula>
    </cfRule>
  </conditionalFormatting>
  <conditionalFormatting sqref="D1629">
    <cfRule type="cellIs" dxfId="1" priority="3538" operator="equal">
      <formula>0</formula>
    </cfRule>
  </conditionalFormatting>
  <conditionalFormatting sqref="D163">
    <cfRule type="cellIs" dxfId="1" priority="407" operator="equal">
      <formula>0</formula>
    </cfRule>
  </conditionalFormatting>
  <conditionalFormatting sqref="D1644">
    <cfRule type="expression" dxfId="0" priority="3546">
      <formula>D1645=0</formula>
    </cfRule>
  </conditionalFormatting>
  <conditionalFormatting sqref="D1645">
    <cfRule type="cellIs" dxfId="1" priority="3555" operator="equal">
      <formula>0</formula>
    </cfRule>
  </conditionalFormatting>
  <conditionalFormatting sqref="D1646">
    <cfRule type="cellIs" dxfId="1" priority="3564" operator="equal">
      <formula>0</formula>
    </cfRule>
  </conditionalFormatting>
  <conditionalFormatting sqref="D1647">
    <cfRule type="cellIs" dxfId="1" priority="3568" operator="equal">
      <formula>0</formula>
    </cfRule>
  </conditionalFormatting>
  <conditionalFormatting sqref="D1648">
    <cfRule type="cellIs" dxfId="1" priority="3571" operator="equal">
      <formula>0</formula>
    </cfRule>
  </conditionalFormatting>
  <conditionalFormatting sqref="D1649">
    <cfRule type="cellIs" dxfId="1" priority="3577" operator="equal">
      <formula>0</formula>
    </cfRule>
  </conditionalFormatting>
  <conditionalFormatting sqref="D1650">
    <cfRule type="cellIs" dxfId="1" priority="3582" operator="equal">
      <formula>0</formula>
    </cfRule>
  </conditionalFormatting>
  <conditionalFormatting sqref="D1651">
    <cfRule type="cellIs" dxfId="1" priority="3586" operator="equal">
      <formula>0</formula>
    </cfRule>
  </conditionalFormatting>
  <conditionalFormatting sqref="D1653">
    <cfRule type="expression" dxfId="0" priority="3590">
      <formula>D1654=0</formula>
    </cfRule>
  </conditionalFormatting>
  <conditionalFormatting sqref="D1654">
    <cfRule type="cellIs" dxfId="1" priority="3597" operator="equal">
      <formula>0</formula>
    </cfRule>
  </conditionalFormatting>
  <conditionalFormatting sqref="D1655">
    <cfRule type="cellIs" dxfId="1" priority="3604" operator="equal">
      <formula>0</formula>
    </cfRule>
  </conditionalFormatting>
  <conditionalFormatting sqref="D1657">
    <cfRule type="cellIs" dxfId="1" priority="3606" operator="equal">
      <formula>0</formula>
    </cfRule>
  </conditionalFormatting>
  <conditionalFormatting sqref="D1658">
    <cfRule type="cellIs" dxfId="1" priority="3609" operator="equal">
      <formula>0</formula>
    </cfRule>
  </conditionalFormatting>
  <conditionalFormatting sqref="D1660">
    <cfRule type="cellIs" dxfId="1" priority="3612" operator="equal">
      <formula>0</formula>
    </cfRule>
  </conditionalFormatting>
  <conditionalFormatting sqref="D1662">
    <cfRule type="expression" dxfId="0" priority="3615">
      <formula>D1663=0</formula>
    </cfRule>
  </conditionalFormatting>
  <conditionalFormatting sqref="D1663">
    <cfRule type="cellIs" dxfId="1" priority="3618" operator="equal">
      <formula>0</formula>
    </cfRule>
  </conditionalFormatting>
  <conditionalFormatting sqref="D1665">
    <cfRule type="cellIs" dxfId="1" priority="3621" operator="equal">
      <formula>0</formula>
    </cfRule>
  </conditionalFormatting>
  <conditionalFormatting sqref="D1668">
    <cfRule type="cellIs" dxfId="1" priority="3625" operator="equal">
      <formula>0</formula>
    </cfRule>
  </conditionalFormatting>
  <conditionalFormatting sqref="D167">
    <cfRule type="cellIs" dxfId="1" priority="413" operator="equal">
      <formula>0</formula>
    </cfRule>
  </conditionalFormatting>
  <conditionalFormatting sqref="D1677">
    <cfRule type="expression" dxfId="0" priority="3628">
      <formula>D1678=0</formula>
    </cfRule>
  </conditionalFormatting>
  <conditionalFormatting sqref="D1678">
    <cfRule type="cellIs" dxfId="1" priority="3634" operator="equal">
      <formula>0</formula>
    </cfRule>
  </conditionalFormatting>
  <conditionalFormatting sqref="D1679">
    <cfRule type="cellIs" dxfId="1" priority="3640" operator="equal">
      <formula>0</formula>
    </cfRule>
  </conditionalFormatting>
  <conditionalFormatting sqref="D168">
    <cfRule type="cellIs" dxfId="1" priority="414" operator="equal">
      <formula>0</formula>
    </cfRule>
  </conditionalFormatting>
  <conditionalFormatting sqref="D1681">
    <cfRule type="cellIs" dxfId="1" priority="3647" operator="equal">
      <formula>0</formula>
    </cfRule>
  </conditionalFormatting>
  <conditionalFormatting sqref="D1682">
    <cfRule type="cellIs" dxfId="1" priority="3651" operator="equal">
      <formula>0</formula>
    </cfRule>
  </conditionalFormatting>
  <conditionalFormatting sqref="D1683">
    <cfRule type="cellIs" dxfId="1" priority="3656" operator="equal">
      <formula>0</formula>
    </cfRule>
  </conditionalFormatting>
  <conditionalFormatting sqref="D1684">
    <cfRule type="cellIs" dxfId="1" priority="3660" operator="equal">
      <formula>0</formula>
    </cfRule>
  </conditionalFormatting>
  <conditionalFormatting sqref="D1686">
    <cfRule type="expression" dxfId="0" priority="3664">
      <formula>D1687=0</formula>
    </cfRule>
  </conditionalFormatting>
  <conditionalFormatting sqref="D1687">
    <cfRule type="cellIs" dxfId="1" priority="3666" operator="equal">
      <formula>0</formula>
    </cfRule>
  </conditionalFormatting>
  <conditionalFormatting sqref="D1688">
    <cfRule type="cellIs" dxfId="1" priority="3668" operator="equal">
      <formula>0</formula>
    </cfRule>
  </conditionalFormatting>
  <conditionalFormatting sqref="D1689">
    <cfRule type="cellIs" dxfId="1" priority="3670" operator="equal">
      <formula>0</formula>
    </cfRule>
  </conditionalFormatting>
  <conditionalFormatting sqref="D1692">
    <cfRule type="cellIs" dxfId="1" priority="3674" operator="equal">
      <formula>0</formula>
    </cfRule>
  </conditionalFormatting>
  <conditionalFormatting sqref="D1693">
    <cfRule type="cellIs" dxfId="1" priority="3676" operator="equal">
      <formula>0</formula>
    </cfRule>
  </conditionalFormatting>
  <conditionalFormatting sqref="D171">
    <cfRule type="expression" dxfId="0" priority="418">
      <formula>D172=0</formula>
    </cfRule>
  </conditionalFormatting>
  <conditionalFormatting sqref="D1710">
    <cfRule type="expression" dxfId="0" priority="3686">
      <formula>D1711=0</formula>
    </cfRule>
  </conditionalFormatting>
  <conditionalFormatting sqref="D1711">
    <cfRule type="cellIs" dxfId="1" priority="3691" operator="equal">
      <formula>0</formula>
    </cfRule>
  </conditionalFormatting>
  <conditionalFormatting sqref="D1712">
    <cfRule type="cellIs" dxfId="1" priority="3696" operator="equal">
      <formula>0</formula>
    </cfRule>
  </conditionalFormatting>
  <conditionalFormatting sqref="D1713">
    <cfRule type="cellIs" dxfId="1" priority="3701" operator="equal">
      <formula>0</formula>
    </cfRule>
  </conditionalFormatting>
  <conditionalFormatting sqref="D1715">
    <cfRule type="expression" dxfId="0" priority="3705">
      <formula>D1716=0</formula>
    </cfRule>
  </conditionalFormatting>
  <conditionalFormatting sqref="D1716">
    <cfRule type="cellIs" dxfId="1" priority="3707" operator="equal">
      <formula>0</formula>
    </cfRule>
  </conditionalFormatting>
  <conditionalFormatting sqref="D1717">
    <cfRule type="cellIs" dxfId="1" priority="3709" operator="equal">
      <formula>0</formula>
    </cfRule>
  </conditionalFormatting>
  <conditionalFormatting sqref="D1718">
    <cfRule type="cellIs" dxfId="1" priority="3711" operator="equal">
      <formula>0</formula>
    </cfRule>
  </conditionalFormatting>
  <conditionalFormatting sqref="D172">
    <cfRule type="cellIs" dxfId="1" priority="422" operator="equal">
      <formula>0</formula>
    </cfRule>
  </conditionalFormatting>
  <conditionalFormatting sqref="D1731">
    <cfRule type="expression" dxfId="0" priority="3717">
      <formula>D1732=0</formula>
    </cfRule>
  </conditionalFormatting>
  <conditionalFormatting sqref="D1732">
    <cfRule type="cellIs" dxfId="1" priority="3722" operator="equal">
      <formula>0</formula>
    </cfRule>
  </conditionalFormatting>
  <conditionalFormatting sqref="D1733">
    <cfRule type="cellIs" dxfId="1" priority="3727" operator="equal">
      <formula>0</formula>
    </cfRule>
  </conditionalFormatting>
  <conditionalFormatting sqref="D1734">
    <cfRule type="cellIs" dxfId="1" priority="3732" operator="equal">
      <formula>0</formula>
    </cfRule>
  </conditionalFormatting>
  <conditionalFormatting sqref="D174">
    <cfRule type="cellIs" dxfId="1" priority="427" operator="equal">
      <formula>0</formula>
    </cfRule>
  </conditionalFormatting>
  <conditionalFormatting sqref="D1752">
    <cfRule type="expression" dxfId="0" priority="3745">
      <formula>D1753=0</formula>
    </cfRule>
  </conditionalFormatting>
  <conditionalFormatting sqref="D1753">
    <cfRule type="cellIs" dxfId="1" priority="3751" operator="equal">
      <formula>0</formula>
    </cfRule>
  </conditionalFormatting>
  <conditionalFormatting sqref="D1754">
    <cfRule type="cellIs" dxfId="1" priority="3757" operator="equal">
      <formula>0</formula>
    </cfRule>
  </conditionalFormatting>
  <conditionalFormatting sqref="D1755">
    <cfRule type="cellIs" dxfId="1" priority="3762" operator="equal">
      <formula>0</formula>
    </cfRule>
  </conditionalFormatting>
  <conditionalFormatting sqref="D1756">
    <cfRule type="cellIs" dxfId="1" priority="3767" operator="equal">
      <formula>0</formula>
    </cfRule>
  </conditionalFormatting>
  <conditionalFormatting sqref="D1757">
    <cfRule type="cellIs" dxfId="1" priority="3771" operator="equal">
      <formula>0</formula>
    </cfRule>
  </conditionalFormatting>
  <conditionalFormatting sqref="D1758">
    <cfRule type="cellIs" dxfId="1" priority="3775" operator="equal">
      <formula>0</formula>
    </cfRule>
  </conditionalFormatting>
  <conditionalFormatting sqref="D1760">
    <cfRule type="expression" dxfId="0" priority="3779">
      <formula>D1761=0</formula>
    </cfRule>
  </conditionalFormatting>
  <conditionalFormatting sqref="D1761">
    <cfRule type="cellIs" dxfId="1" priority="3781" operator="equal">
      <formula>0</formula>
    </cfRule>
  </conditionalFormatting>
  <conditionalFormatting sqref="D1762">
    <cfRule type="cellIs" dxfId="1" priority="3783" operator="equal">
      <formula>0</formula>
    </cfRule>
  </conditionalFormatting>
  <conditionalFormatting sqref="D1765">
    <cfRule type="cellIs" dxfId="1" priority="3787" operator="equal">
      <formula>0</formula>
    </cfRule>
  </conditionalFormatting>
  <conditionalFormatting sqref="D1766">
    <cfRule type="cellIs" dxfId="1" priority="3789" operator="equal">
      <formula>0</formula>
    </cfRule>
  </conditionalFormatting>
  <conditionalFormatting sqref="D1782">
    <cfRule type="expression" dxfId="0" priority="3798">
      <formula>D1783=0</formula>
    </cfRule>
  </conditionalFormatting>
  <conditionalFormatting sqref="D1783">
    <cfRule type="cellIs" dxfId="1" priority="3806" operator="equal">
      <formula>0</formula>
    </cfRule>
  </conditionalFormatting>
  <conditionalFormatting sqref="D1784">
    <cfRule type="cellIs" dxfId="1" priority="3814" operator="equal">
      <formula>0</formula>
    </cfRule>
  </conditionalFormatting>
  <conditionalFormatting sqref="D1786">
    <cfRule type="cellIs" dxfId="1" priority="3823" operator="equal">
      <formula>0</formula>
    </cfRule>
  </conditionalFormatting>
  <conditionalFormatting sqref="D1787">
    <cfRule type="cellIs" dxfId="1" priority="3827" operator="equal">
      <formula>0</formula>
    </cfRule>
  </conditionalFormatting>
  <conditionalFormatting sqref="D1788">
    <cfRule type="cellIs" dxfId="1" priority="3831" operator="equal">
      <formula>0</formula>
    </cfRule>
  </conditionalFormatting>
  <conditionalFormatting sqref="D1789">
    <cfRule type="cellIs" dxfId="1" priority="3835" operator="equal">
      <formula>0</formula>
    </cfRule>
  </conditionalFormatting>
  <conditionalFormatting sqref="D1790">
    <cfRule type="cellIs" dxfId="1" priority="3839" operator="equal">
      <formula>0</formula>
    </cfRule>
  </conditionalFormatting>
  <conditionalFormatting sqref="D1791">
    <cfRule type="cellIs" dxfId="1" priority="3843" operator="equal">
      <formula>0</formula>
    </cfRule>
  </conditionalFormatting>
  <conditionalFormatting sqref="D1792">
    <cfRule type="cellIs" dxfId="1" priority="3847" operator="equal">
      <formula>0</formula>
    </cfRule>
  </conditionalFormatting>
  <conditionalFormatting sqref="D1793">
    <cfRule type="cellIs" dxfId="1" priority="3852" operator="equal">
      <formula>0</formula>
    </cfRule>
  </conditionalFormatting>
  <conditionalFormatting sqref="D1794">
    <cfRule type="cellIs" dxfId="1" priority="3856" operator="equal">
      <formula>0</formula>
    </cfRule>
  </conditionalFormatting>
  <conditionalFormatting sqref="D1795">
    <cfRule type="cellIs" dxfId="1" priority="3860" operator="equal">
      <formula>0</formula>
    </cfRule>
  </conditionalFormatting>
  <conditionalFormatting sqref="D1796">
    <cfRule type="cellIs" dxfId="1" priority="3864" operator="equal">
      <formula>0</formula>
    </cfRule>
  </conditionalFormatting>
  <conditionalFormatting sqref="D1797">
    <cfRule type="cellIs" dxfId="1" priority="3869" operator="equal">
      <formula>0</formula>
    </cfRule>
  </conditionalFormatting>
  <conditionalFormatting sqref="D1798">
    <cfRule type="cellIs" dxfId="1" priority="3873" operator="equal">
      <formula>0</formula>
    </cfRule>
  </conditionalFormatting>
  <conditionalFormatting sqref="D1799">
    <cfRule type="cellIs" dxfId="1" priority="3877" operator="equal">
      <formula>0</formula>
    </cfRule>
  </conditionalFormatting>
  <conditionalFormatting sqref="D1801">
    <cfRule type="expression" dxfId="0" priority="3881">
      <formula>D1802=0</formula>
    </cfRule>
  </conditionalFormatting>
  <conditionalFormatting sqref="D1802">
    <cfRule type="cellIs" dxfId="1" priority="3886" operator="equal">
      <formula>0</formula>
    </cfRule>
  </conditionalFormatting>
  <conditionalFormatting sqref="D1803">
    <cfRule type="cellIs" dxfId="1" priority="3891" operator="equal">
      <formula>0</formula>
    </cfRule>
  </conditionalFormatting>
  <conditionalFormatting sqref="D1804">
    <cfRule type="cellIs" dxfId="1" priority="3892" operator="equal">
      <formula>0</formula>
    </cfRule>
  </conditionalFormatting>
  <conditionalFormatting sqref="D1806">
    <cfRule type="cellIs" dxfId="1" priority="3897" operator="equal">
      <formula>0</formula>
    </cfRule>
  </conditionalFormatting>
  <conditionalFormatting sqref="D1807">
    <cfRule type="cellIs" dxfId="1" priority="3899" operator="equal">
      <formula>0</formula>
    </cfRule>
  </conditionalFormatting>
  <conditionalFormatting sqref="D1808">
    <cfRule type="cellIs" dxfId="1" priority="3901" operator="equal">
      <formula>0</formula>
    </cfRule>
  </conditionalFormatting>
  <conditionalFormatting sqref="D1809">
    <cfRule type="cellIs" dxfId="1" priority="3903" operator="equal">
      <formula>0</formula>
    </cfRule>
  </conditionalFormatting>
  <conditionalFormatting sqref="D1812">
    <cfRule type="cellIs" dxfId="1" priority="3908" operator="equal">
      <formula>0</formula>
    </cfRule>
  </conditionalFormatting>
  <conditionalFormatting sqref="D1813">
    <cfRule type="cellIs" dxfId="1" priority="3910" operator="equal">
      <formula>0</formula>
    </cfRule>
  </conditionalFormatting>
  <conditionalFormatting sqref="D1815">
    <cfRule type="cellIs" dxfId="1" priority="3914" operator="equal">
      <formula>0</formula>
    </cfRule>
  </conditionalFormatting>
  <conditionalFormatting sqref="D1816">
    <cfRule type="cellIs" dxfId="1" priority="3916" operator="equal">
      <formula>0</formula>
    </cfRule>
  </conditionalFormatting>
  <conditionalFormatting sqref="D1817">
    <cfRule type="cellIs" dxfId="1" priority="3918" operator="equal">
      <formula>0</formula>
    </cfRule>
  </conditionalFormatting>
  <conditionalFormatting sqref="D1820">
    <cfRule type="expression" dxfId="0" priority="3922">
      <formula>D1821=0</formula>
    </cfRule>
  </conditionalFormatting>
  <conditionalFormatting sqref="D1821">
    <cfRule type="cellIs" dxfId="1" priority="3925" operator="equal">
      <formula>0</formula>
    </cfRule>
  </conditionalFormatting>
  <conditionalFormatting sqref="D1822">
    <cfRule type="cellIs" dxfId="1" priority="3928" operator="equal">
      <formula>0</formula>
    </cfRule>
  </conditionalFormatting>
  <conditionalFormatting sqref="D1823">
    <cfRule type="cellIs" dxfId="1" priority="3929" operator="equal">
      <formula>0</formula>
    </cfRule>
  </conditionalFormatting>
  <conditionalFormatting sqref="D1824">
    <cfRule type="cellIs" dxfId="1" priority="3931" operator="equal">
      <formula>0</formula>
    </cfRule>
  </conditionalFormatting>
  <conditionalFormatting sqref="D1825">
    <cfRule type="cellIs" dxfId="1" priority="3933" operator="equal">
      <formula>0</formula>
    </cfRule>
  </conditionalFormatting>
  <conditionalFormatting sqref="D1826">
    <cfRule type="cellIs" dxfId="1" priority="3935" operator="equal">
      <formula>0</formula>
    </cfRule>
  </conditionalFormatting>
  <conditionalFormatting sqref="D1828">
    <cfRule type="cellIs" dxfId="1" priority="3938" operator="equal">
      <formula>0</formula>
    </cfRule>
  </conditionalFormatting>
  <conditionalFormatting sqref="D1829">
    <cfRule type="cellIs" dxfId="1" priority="3939" operator="equal">
      <formula>0</formula>
    </cfRule>
  </conditionalFormatting>
  <conditionalFormatting sqref="D1830">
    <cfRule type="cellIs" dxfId="1" priority="3940" operator="equal">
      <formula>0</formula>
    </cfRule>
  </conditionalFormatting>
  <conditionalFormatting sqref="D1831">
    <cfRule type="cellIs" dxfId="1" priority="3942" operator="equal">
      <formula>0</formula>
    </cfRule>
  </conditionalFormatting>
  <conditionalFormatting sqref="D1833">
    <cfRule type="cellIs" dxfId="1" priority="3944" operator="equal">
      <formula>0</formula>
    </cfRule>
  </conditionalFormatting>
  <conditionalFormatting sqref="D1834">
    <cfRule type="cellIs" dxfId="1" priority="3946" operator="equal">
      <formula>0</formula>
    </cfRule>
  </conditionalFormatting>
  <conditionalFormatting sqref="D1835">
    <cfRule type="cellIs" dxfId="1" priority="3948" operator="equal">
      <formula>0</formula>
    </cfRule>
  </conditionalFormatting>
  <conditionalFormatting sqref="D1836">
    <cfRule type="cellIs" dxfId="1" priority="3950" operator="equal">
      <formula>0</formula>
    </cfRule>
  </conditionalFormatting>
  <conditionalFormatting sqref="D1837">
    <cfRule type="cellIs" dxfId="1" priority="3951" operator="equal">
      <formula>0</formula>
    </cfRule>
  </conditionalFormatting>
  <conditionalFormatting sqref="D1845">
    <cfRule type="expression" dxfId="0" priority="3953">
      <formula>D1846=0</formula>
    </cfRule>
  </conditionalFormatting>
  <conditionalFormatting sqref="D1846">
    <cfRule type="cellIs" dxfId="1" priority="3959" operator="equal">
      <formula>0</formula>
    </cfRule>
  </conditionalFormatting>
  <conditionalFormatting sqref="D1847">
    <cfRule type="cellIs" dxfId="1" priority="3965" operator="equal">
      <formula>0</formula>
    </cfRule>
  </conditionalFormatting>
  <conditionalFormatting sqref="D1848">
    <cfRule type="cellIs" dxfId="1" priority="3969" operator="equal">
      <formula>0</formula>
    </cfRule>
  </conditionalFormatting>
  <conditionalFormatting sqref="D1849">
    <cfRule type="cellIs" dxfId="1" priority="3974" operator="equal">
      <formula>0</formula>
    </cfRule>
  </conditionalFormatting>
  <conditionalFormatting sqref="D1850">
    <cfRule type="cellIs" dxfId="1" priority="3979" operator="equal">
      <formula>0</formula>
    </cfRule>
  </conditionalFormatting>
  <conditionalFormatting sqref="D1852">
    <cfRule type="expression" dxfId="0" priority="3983">
      <formula>D1853=0</formula>
    </cfRule>
  </conditionalFormatting>
  <conditionalFormatting sqref="D1853">
    <cfRule type="cellIs" dxfId="1" priority="3988" operator="equal">
      <formula>0</formula>
    </cfRule>
  </conditionalFormatting>
  <conditionalFormatting sqref="D1854">
    <cfRule type="cellIs" dxfId="1" priority="3993" operator="equal">
      <formula>0</formula>
    </cfRule>
  </conditionalFormatting>
  <conditionalFormatting sqref="D1855">
    <cfRule type="cellIs" dxfId="1" priority="3995" operator="equal">
      <formula>0</formula>
    </cfRule>
  </conditionalFormatting>
  <conditionalFormatting sqref="D1859">
    <cfRule type="expression" dxfId="0" priority="4001">
      <formula>D1860=0</formula>
    </cfRule>
  </conditionalFormatting>
  <conditionalFormatting sqref="D1860">
    <cfRule type="cellIs" dxfId="1" priority="4003" operator="equal">
      <formula>0</formula>
    </cfRule>
  </conditionalFormatting>
  <conditionalFormatting sqref="D1864">
    <cfRule type="cellIs" dxfId="1" priority="4008" operator="equal">
      <formula>0</formula>
    </cfRule>
  </conditionalFormatting>
  <conditionalFormatting sqref="D1872">
    <cfRule type="expression" dxfId="0" priority="4010">
      <formula>D1873=0</formula>
    </cfRule>
  </conditionalFormatting>
  <conditionalFormatting sqref="D1873">
    <cfRule type="cellIs" dxfId="1" priority="4014" operator="equal">
      <formula>0</formula>
    </cfRule>
  </conditionalFormatting>
  <conditionalFormatting sqref="D1874">
    <cfRule type="cellIs" dxfId="1" priority="4018" operator="equal">
      <formula>0</formula>
    </cfRule>
  </conditionalFormatting>
  <conditionalFormatting sqref="D1890">
    <cfRule type="expression" dxfId="0" priority="4028">
      <formula>D1891=0</formula>
    </cfRule>
  </conditionalFormatting>
  <conditionalFormatting sqref="D1891">
    <cfRule type="cellIs" dxfId="1" priority="4035" operator="equal">
      <formula>0</formula>
    </cfRule>
  </conditionalFormatting>
  <conditionalFormatting sqref="D1892">
    <cfRule type="cellIs" dxfId="1" priority="4042" operator="equal">
      <formula>0</formula>
    </cfRule>
  </conditionalFormatting>
  <conditionalFormatting sqref="D1894">
    <cfRule type="cellIs" dxfId="1" priority="4049" operator="equal">
      <formula>0</formula>
    </cfRule>
  </conditionalFormatting>
  <conditionalFormatting sqref="D1895">
    <cfRule type="cellIs" dxfId="1" priority="4053" operator="equal">
      <formula>0</formula>
    </cfRule>
  </conditionalFormatting>
  <conditionalFormatting sqref="D1896">
    <cfRule type="cellIs" dxfId="1" priority="4057" operator="equal">
      <formula>0</formula>
    </cfRule>
  </conditionalFormatting>
  <conditionalFormatting sqref="D1897">
    <cfRule type="cellIs" dxfId="1" priority="4061" operator="equal">
      <formula>0</formula>
    </cfRule>
  </conditionalFormatting>
  <conditionalFormatting sqref="D1898">
    <cfRule type="cellIs" dxfId="1" priority="4066" operator="equal">
      <formula>0</formula>
    </cfRule>
  </conditionalFormatting>
  <conditionalFormatting sqref="D1900">
    <cfRule type="expression" dxfId="0" priority="4071">
      <formula>D1901=0</formula>
    </cfRule>
  </conditionalFormatting>
  <conditionalFormatting sqref="D1901">
    <cfRule type="cellIs" dxfId="1" priority="4073" operator="equal">
      <formula>0</formula>
    </cfRule>
  </conditionalFormatting>
  <conditionalFormatting sqref="D1902">
    <cfRule type="cellIs" dxfId="1" priority="4075" operator="equal">
      <formula>0</formula>
    </cfRule>
  </conditionalFormatting>
  <conditionalFormatting sqref="D1904">
    <cfRule type="cellIs" dxfId="1" priority="4078" operator="equal">
      <formula>0</formula>
    </cfRule>
  </conditionalFormatting>
  <conditionalFormatting sqref="D1907">
    <cfRule type="cellIs" dxfId="1" priority="4082" operator="equal">
      <formula>0</formula>
    </cfRule>
  </conditionalFormatting>
  <conditionalFormatting sqref="D1908">
    <cfRule type="cellIs" dxfId="1" priority="4084" operator="equal">
      <formula>0</formula>
    </cfRule>
  </conditionalFormatting>
  <conditionalFormatting sqref="D1926">
    <cfRule type="expression" dxfId="0" priority="4095">
      <formula>D1927=0</formula>
    </cfRule>
  </conditionalFormatting>
  <conditionalFormatting sqref="D1927">
    <cfRule type="cellIs" dxfId="1" priority="4101" operator="equal">
      <formula>0</formula>
    </cfRule>
  </conditionalFormatting>
  <conditionalFormatting sqref="D1928">
    <cfRule type="cellIs" dxfId="1" priority="4107" operator="equal">
      <formula>0</formula>
    </cfRule>
  </conditionalFormatting>
  <conditionalFormatting sqref="D1929">
    <cfRule type="cellIs" dxfId="1" priority="4111" operator="equal">
      <formula>0</formula>
    </cfRule>
  </conditionalFormatting>
  <conditionalFormatting sqref="D1930">
    <cfRule type="cellIs" dxfId="1" priority="4117" operator="equal">
      <formula>0</formula>
    </cfRule>
  </conditionalFormatting>
  <conditionalFormatting sqref="D1931">
    <cfRule type="cellIs" dxfId="1" priority="4120" operator="equal">
      <formula>0</formula>
    </cfRule>
  </conditionalFormatting>
  <conditionalFormatting sqref="D1932">
    <cfRule type="cellIs" dxfId="1" priority="4124" operator="equal">
      <formula>0</formula>
    </cfRule>
  </conditionalFormatting>
  <conditionalFormatting sqref="D1933">
    <cfRule type="cellIs" dxfId="1" priority="4128" operator="equal">
      <formula>0</formula>
    </cfRule>
  </conditionalFormatting>
  <conditionalFormatting sqref="D1935">
    <cfRule type="expression" dxfId="0" priority="4132">
      <formula>D1936=0</formula>
    </cfRule>
  </conditionalFormatting>
  <conditionalFormatting sqref="D1936">
    <cfRule type="cellIs" dxfId="1" priority="4134" operator="equal">
      <formula>0</formula>
    </cfRule>
  </conditionalFormatting>
  <conditionalFormatting sqref="D1937">
    <cfRule type="cellIs" dxfId="1" priority="4136" operator="equal">
      <formula>0</formula>
    </cfRule>
  </conditionalFormatting>
  <conditionalFormatting sqref="D1938">
    <cfRule type="cellIs" dxfId="1" priority="4138" operator="equal">
      <formula>0</formula>
    </cfRule>
  </conditionalFormatting>
  <conditionalFormatting sqref="D1940">
    <cfRule type="cellIs" dxfId="1" priority="4140" operator="equal">
      <formula>0</formula>
    </cfRule>
  </conditionalFormatting>
  <conditionalFormatting sqref="D1941">
    <cfRule type="cellIs" dxfId="1" priority="4142" operator="equal">
      <formula>0</formula>
    </cfRule>
  </conditionalFormatting>
  <conditionalFormatting sqref="D1942">
    <cfRule type="cellIs" dxfId="1" priority="4144" operator="equal">
      <formula>0</formula>
    </cfRule>
  </conditionalFormatting>
  <conditionalFormatting sqref="D195">
    <cfRule type="cellIs" dxfId="1" priority="450" operator="equal">
      <formula>0</formula>
    </cfRule>
  </conditionalFormatting>
  <conditionalFormatting sqref="D1959">
    <cfRule type="expression" dxfId="0" priority="4154">
      <formula>D1960=0</formula>
    </cfRule>
  </conditionalFormatting>
  <conditionalFormatting sqref="D1960">
    <cfRule type="cellIs" dxfId="1" priority="4161" operator="equal">
      <formula>0</formula>
    </cfRule>
  </conditionalFormatting>
  <conditionalFormatting sqref="D1961">
    <cfRule type="cellIs" dxfId="1" priority="4168" operator="equal">
      <formula>0</formula>
    </cfRule>
  </conditionalFormatting>
  <conditionalFormatting sqref="D1962">
    <cfRule type="cellIs" dxfId="1" priority="4172" operator="equal">
      <formula>0</formula>
    </cfRule>
  </conditionalFormatting>
  <conditionalFormatting sqref="D1963">
    <cfRule type="cellIs" dxfId="1" priority="4177" operator="equal">
      <formula>0</formula>
    </cfRule>
  </conditionalFormatting>
  <conditionalFormatting sqref="D1965">
    <cfRule type="cellIs" dxfId="1" priority="4184" operator="equal">
      <formula>0</formula>
    </cfRule>
  </conditionalFormatting>
  <conditionalFormatting sqref="D1966">
    <cfRule type="cellIs" dxfId="1" priority="4189" operator="equal">
      <formula>0</formula>
    </cfRule>
  </conditionalFormatting>
  <conditionalFormatting sqref="D1967">
    <cfRule type="cellIs" dxfId="1" priority="4193" operator="equal">
      <formula>0</formula>
    </cfRule>
  </conditionalFormatting>
  <conditionalFormatting sqref="D1969">
    <cfRule type="expression" dxfId="0" priority="4197">
      <formula>D1970=0</formula>
    </cfRule>
  </conditionalFormatting>
  <conditionalFormatting sqref="D1970">
    <cfRule type="cellIs" dxfId="1" priority="4199" operator="equal">
      <formula>0</formula>
    </cfRule>
  </conditionalFormatting>
  <conditionalFormatting sqref="D1971">
    <cfRule type="cellIs" dxfId="1" priority="4201" operator="equal">
      <formula>0</formula>
    </cfRule>
  </conditionalFormatting>
  <conditionalFormatting sqref="D1973">
    <cfRule type="cellIs" dxfId="1" priority="4204" operator="equal">
      <formula>0</formula>
    </cfRule>
  </conditionalFormatting>
  <conditionalFormatting sqref="D1976">
    <cfRule type="cellIs" dxfId="1" priority="4208" operator="equal">
      <formula>0</formula>
    </cfRule>
  </conditionalFormatting>
  <conditionalFormatting sqref="D1977">
    <cfRule type="cellIs" dxfId="1" priority="4210" operator="equal">
      <formula>0</formula>
    </cfRule>
  </conditionalFormatting>
  <conditionalFormatting sqref="D1995">
    <cfRule type="expression" dxfId="0" priority="4221">
      <formula>D1996=0</formula>
    </cfRule>
  </conditionalFormatting>
  <conditionalFormatting sqref="D1996">
    <cfRule type="cellIs" dxfId="1" priority="4230" operator="equal">
      <formula>0</formula>
    </cfRule>
  </conditionalFormatting>
  <conditionalFormatting sqref="D1997">
    <cfRule type="cellIs" dxfId="1" priority="4239" operator="equal">
      <formula>0</formula>
    </cfRule>
  </conditionalFormatting>
  <conditionalFormatting sqref="D1998">
    <cfRule type="cellIs" dxfId="1" priority="4244" operator="equal">
      <formula>0</formula>
    </cfRule>
  </conditionalFormatting>
  <conditionalFormatting sqref="D1999">
    <cfRule type="cellIs" dxfId="1" priority="4250" operator="equal">
      <formula>0</formula>
    </cfRule>
  </conditionalFormatting>
  <conditionalFormatting sqref="D2000">
    <cfRule type="cellIs" dxfId="1" priority="4253" operator="equal">
      <formula>0</formula>
    </cfRule>
  </conditionalFormatting>
  <conditionalFormatting sqref="D2002">
    <cfRule type="expression" dxfId="0" priority="4259">
      <formula>D2003=0</formula>
    </cfRule>
  </conditionalFormatting>
  <conditionalFormatting sqref="D2003">
    <cfRule type="cellIs" dxfId="1" priority="4262" operator="equal">
      <formula>0</formula>
    </cfRule>
  </conditionalFormatting>
  <conditionalFormatting sqref="D2004">
    <cfRule type="cellIs" dxfId="1" priority="4265" operator="equal">
      <formula>0</formula>
    </cfRule>
  </conditionalFormatting>
  <conditionalFormatting sqref="D2005">
    <cfRule type="cellIs" dxfId="1" priority="4266" operator="equal">
      <formula>0</formula>
    </cfRule>
  </conditionalFormatting>
  <conditionalFormatting sqref="D2006">
    <cfRule type="cellIs" dxfId="1" priority="4267" operator="equal">
      <formula>0</formula>
    </cfRule>
  </conditionalFormatting>
  <conditionalFormatting sqref="D2007">
    <cfRule type="cellIs" dxfId="1" priority="4269" operator="equal">
      <formula>0</formula>
    </cfRule>
  </conditionalFormatting>
  <conditionalFormatting sqref="D2022">
    <cfRule type="expression" dxfId="0" priority="4277">
      <formula>D2023=0</formula>
    </cfRule>
  </conditionalFormatting>
  <conditionalFormatting sqref="D2023">
    <cfRule type="cellIs" dxfId="1" priority="4284" operator="equal">
      <formula>0</formula>
    </cfRule>
  </conditionalFormatting>
  <conditionalFormatting sqref="D2024">
    <cfRule type="cellIs" dxfId="1" priority="4291" operator="equal">
      <formula>0</formula>
    </cfRule>
  </conditionalFormatting>
  <conditionalFormatting sqref="D2025">
    <cfRule type="cellIs" dxfId="1" priority="4295" operator="equal">
      <formula>0</formula>
    </cfRule>
  </conditionalFormatting>
  <conditionalFormatting sqref="D2026">
    <cfRule type="cellIs" dxfId="1" priority="4299" operator="equal">
      <formula>0</formula>
    </cfRule>
  </conditionalFormatting>
  <conditionalFormatting sqref="D2027">
    <cfRule type="cellIs" dxfId="1" priority="4303" operator="equal">
      <formula>0</formula>
    </cfRule>
  </conditionalFormatting>
  <conditionalFormatting sqref="D2028">
    <cfRule type="cellIs" dxfId="1" priority="4306" operator="equal">
      <formula>0</formula>
    </cfRule>
  </conditionalFormatting>
  <conditionalFormatting sqref="D2029">
    <cfRule type="cellIs" dxfId="1" priority="4310" operator="equal">
      <formula>0</formula>
    </cfRule>
  </conditionalFormatting>
  <conditionalFormatting sqref="D2030">
    <cfRule type="cellIs" dxfId="1" priority="4314" operator="equal">
      <formula>0</formula>
    </cfRule>
  </conditionalFormatting>
  <conditionalFormatting sqref="D2031">
    <cfRule type="cellIs" dxfId="1" priority="4318" operator="equal">
      <formula>0</formula>
    </cfRule>
  </conditionalFormatting>
  <conditionalFormatting sqref="D2032">
    <cfRule type="cellIs" dxfId="1" priority="4321" operator="equal">
      <formula>0</formula>
    </cfRule>
  </conditionalFormatting>
  <conditionalFormatting sqref="D2033">
    <cfRule type="cellIs" dxfId="1" priority="4326" operator="equal">
      <formula>0</formula>
    </cfRule>
  </conditionalFormatting>
  <conditionalFormatting sqref="D2034">
    <cfRule type="cellIs" dxfId="1" priority="4331" operator="equal">
      <formula>0</formula>
    </cfRule>
  </conditionalFormatting>
  <conditionalFormatting sqref="D2035">
    <cfRule type="cellIs" dxfId="1" priority="4335" operator="equal">
      <formula>0</formula>
    </cfRule>
  </conditionalFormatting>
  <conditionalFormatting sqref="D2036">
    <cfRule type="cellIs" dxfId="1" priority="4339" operator="equal">
      <formula>0</formula>
    </cfRule>
  </conditionalFormatting>
  <conditionalFormatting sqref="D2037">
    <cfRule type="cellIs" dxfId="1" priority="4343" operator="equal">
      <formula>0</formula>
    </cfRule>
  </conditionalFormatting>
  <conditionalFormatting sqref="D2038">
    <cfRule type="cellIs" dxfId="1" priority="4347" operator="equal">
      <formula>0</formula>
    </cfRule>
  </conditionalFormatting>
  <conditionalFormatting sqref="D2039">
    <cfRule type="cellIs" dxfId="1" priority="4352" operator="equal">
      <formula>0</formula>
    </cfRule>
  </conditionalFormatting>
  <conditionalFormatting sqref="D204">
    <cfRule type="expression" dxfId="0" priority="454">
      <formula>D205=0</formula>
    </cfRule>
  </conditionalFormatting>
  <conditionalFormatting sqref="D2041">
    <cfRule type="expression" dxfId="0" priority="4357">
      <formula>D2042=0</formula>
    </cfRule>
  </conditionalFormatting>
  <conditionalFormatting sqref="D2042">
    <cfRule type="cellIs" dxfId="1" priority="4366" operator="equal">
      <formula>0</formula>
    </cfRule>
  </conditionalFormatting>
  <conditionalFormatting sqref="D2043">
    <cfRule type="cellIs" dxfId="1" priority="4375" operator="equal">
      <formula>0</formula>
    </cfRule>
  </conditionalFormatting>
  <conditionalFormatting sqref="D2045">
    <cfRule type="cellIs" dxfId="1" priority="4378" operator="equal">
      <formula>0</formula>
    </cfRule>
  </conditionalFormatting>
  <conditionalFormatting sqref="D2046">
    <cfRule type="cellIs" dxfId="1" priority="4380" operator="equal">
      <formula>0</formula>
    </cfRule>
  </conditionalFormatting>
  <conditionalFormatting sqref="D2047">
    <cfRule type="cellIs" dxfId="1" priority="4382" operator="equal">
      <formula>0</formula>
    </cfRule>
  </conditionalFormatting>
  <conditionalFormatting sqref="D2048">
    <cfRule type="cellIs" dxfId="1" priority="4384" operator="equal">
      <formula>0</formula>
    </cfRule>
  </conditionalFormatting>
  <conditionalFormatting sqref="D2049">
    <cfRule type="cellIs" dxfId="1" priority="4386" operator="equal">
      <formula>0</formula>
    </cfRule>
  </conditionalFormatting>
  <conditionalFormatting sqref="D205">
    <cfRule type="cellIs" dxfId="1" priority="466" operator="equal">
      <formula>0</formula>
    </cfRule>
  </conditionalFormatting>
  <conditionalFormatting sqref="D2050">
    <cfRule type="cellIs" dxfId="1" priority="4388" operator="equal">
      <formula>0</formula>
    </cfRule>
  </conditionalFormatting>
  <conditionalFormatting sqref="D2052">
    <cfRule type="cellIs" dxfId="1" priority="4391" operator="equal">
      <formula>0</formula>
    </cfRule>
  </conditionalFormatting>
  <conditionalFormatting sqref="D2053">
    <cfRule type="cellIs" dxfId="1" priority="4394" operator="equal">
      <formula>0</formula>
    </cfRule>
  </conditionalFormatting>
  <conditionalFormatting sqref="D2054">
    <cfRule type="cellIs" dxfId="1" priority="4395" operator="equal">
      <formula>0</formula>
    </cfRule>
  </conditionalFormatting>
  <conditionalFormatting sqref="D2055">
    <cfRule type="cellIs" dxfId="1" priority="4397" operator="equal">
      <formula>0</formula>
    </cfRule>
  </conditionalFormatting>
  <conditionalFormatting sqref="D2056">
    <cfRule type="cellIs" dxfId="1" priority="4399" operator="equal">
      <formula>0</formula>
    </cfRule>
  </conditionalFormatting>
  <conditionalFormatting sqref="D2057">
    <cfRule type="cellIs" dxfId="1" priority="4401" operator="equal">
      <formula>0</formula>
    </cfRule>
  </conditionalFormatting>
  <conditionalFormatting sqref="D2058">
    <cfRule type="cellIs" dxfId="1" priority="4403" operator="equal">
      <formula>0</formula>
    </cfRule>
  </conditionalFormatting>
  <conditionalFormatting sqref="D206">
    <cfRule type="cellIs" dxfId="1" priority="478" operator="equal">
      <formula>0</formula>
    </cfRule>
  </conditionalFormatting>
  <conditionalFormatting sqref="D2060">
    <cfRule type="expression" dxfId="0" priority="4406">
      <formula>D2061=0</formula>
    </cfRule>
  </conditionalFormatting>
  <conditionalFormatting sqref="D2061">
    <cfRule type="cellIs" dxfId="1" priority="4409" operator="equal">
      <formula>0</formula>
    </cfRule>
  </conditionalFormatting>
  <conditionalFormatting sqref="D2063">
    <cfRule type="cellIs" dxfId="1" priority="4412" operator="equal">
      <formula>0</formula>
    </cfRule>
  </conditionalFormatting>
  <conditionalFormatting sqref="D207">
    <cfRule type="cellIs" dxfId="1" priority="483" operator="equal">
      <formula>0</formula>
    </cfRule>
  </conditionalFormatting>
  <conditionalFormatting sqref="D208">
    <cfRule type="cellIs" dxfId="1" priority="487" operator="equal">
      <formula>0</formula>
    </cfRule>
  </conditionalFormatting>
  <conditionalFormatting sqref="D2085">
    <cfRule type="expression" dxfId="0" priority="4430">
      <formula>D2086=0</formula>
    </cfRule>
  </conditionalFormatting>
  <conditionalFormatting sqref="D2086">
    <cfRule type="cellIs" dxfId="1" priority="4439" operator="equal">
      <formula>0</formula>
    </cfRule>
  </conditionalFormatting>
  <conditionalFormatting sqref="D2087">
    <cfRule type="cellIs" dxfId="1" priority="4448" operator="equal">
      <formula>0</formula>
    </cfRule>
  </conditionalFormatting>
  <conditionalFormatting sqref="D2088">
    <cfRule type="cellIs" dxfId="1" priority="4453" operator="equal">
      <formula>0</formula>
    </cfRule>
  </conditionalFormatting>
  <conditionalFormatting sqref="D2089">
    <cfRule type="cellIs" dxfId="1" priority="4457" operator="equal">
      <formula>0</formula>
    </cfRule>
  </conditionalFormatting>
  <conditionalFormatting sqref="D209">
    <cfRule type="cellIs" dxfId="1" priority="491" operator="equal">
      <formula>0</formula>
    </cfRule>
  </conditionalFormatting>
  <conditionalFormatting sqref="D2090">
    <cfRule type="cellIs" dxfId="1" priority="4462" operator="equal">
      <formula>0</formula>
    </cfRule>
  </conditionalFormatting>
  <conditionalFormatting sqref="D2091">
    <cfRule type="cellIs" dxfId="1" priority="4467" operator="equal">
      <formula>0</formula>
    </cfRule>
  </conditionalFormatting>
  <conditionalFormatting sqref="D2093">
    <cfRule type="expression" dxfId="0" priority="4472">
      <formula>D2094=0</formula>
    </cfRule>
  </conditionalFormatting>
  <conditionalFormatting sqref="D2094">
    <cfRule type="cellIs" dxfId="1" priority="4477" operator="equal">
      <formula>0</formula>
    </cfRule>
  </conditionalFormatting>
  <conditionalFormatting sqref="D2096">
    <cfRule type="cellIs" dxfId="1" priority="4482" operator="equal">
      <formula>0</formula>
    </cfRule>
  </conditionalFormatting>
  <conditionalFormatting sqref="D2097">
    <cfRule type="cellIs" dxfId="1" priority="4484" operator="equal">
      <formula>0</formula>
    </cfRule>
  </conditionalFormatting>
  <conditionalFormatting sqref="D2099">
    <cfRule type="cellIs" dxfId="1" priority="4487" operator="equal">
      <formula>0</formula>
    </cfRule>
  </conditionalFormatting>
  <conditionalFormatting sqref="D210">
    <cfRule type="cellIs" dxfId="1" priority="496" operator="equal">
      <formula>0</formula>
    </cfRule>
  </conditionalFormatting>
  <conditionalFormatting sqref="D211">
    <cfRule type="cellIs" dxfId="1" priority="500" operator="equal">
      <formula>0</formula>
    </cfRule>
  </conditionalFormatting>
  <conditionalFormatting sqref="D2115">
    <cfRule type="expression" dxfId="0" priority="4497">
      <formula>D2116=0</formula>
    </cfRule>
  </conditionalFormatting>
  <conditionalFormatting sqref="D2116">
    <cfRule type="cellIs" dxfId="1" priority="4504" operator="equal">
      <formula>0</formula>
    </cfRule>
  </conditionalFormatting>
  <conditionalFormatting sqref="D2117">
    <cfRule type="cellIs" dxfId="1" priority="4511" operator="equal">
      <formula>0</formula>
    </cfRule>
  </conditionalFormatting>
  <conditionalFormatting sqref="D213">
    <cfRule type="cellIs" dxfId="1" priority="507" operator="equal">
      <formula>0</formula>
    </cfRule>
  </conditionalFormatting>
  <conditionalFormatting sqref="D2136">
    <cfRule type="expression" dxfId="0" priority="4527">
      <formula>D2137=0</formula>
    </cfRule>
  </conditionalFormatting>
  <conditionalFormatting sqref="D2137">
    <cfRule type="cellIs" dxfId="1" priority="4532" operator="equal">
      <formula>0</formula>
    </cfRule>
  </conditionalFormatting>
  <conditionalFormatting sqref="D2138">
    <cfRule type="cellIs" dxfId="1" priority="4537" operator="equal">
      <formula>0</formula>
    </cfRule>
  </conditionalFormatting>
  <conditionalFormatting sqref="D2139">
    <cfRule type="cellIs" dxfId="1" priority="4541" operator="equal">
      <formula>0</formula>
    </cfRule>
  </conditionalFormatting>
  <conditionalFormatting sqref="D214">
    <cfRule type="cellIs" dxfId="1" priority="512" operator="equal">
      <formula>0</formula>
    </cfRule>
  </conditionalFormatting>
  <conditionalFormatting sqref="D2140">
    <cfRule type="cellIs" dxfId="1" priority="4545" operator="equal">
      <formula>0</formula>
    </cfRule>
  </conditionalFormatting>
  <conditionalFormatting sqref="D2141">
    <cfRule type="cellIs" dxfId="1" priority="4549" operator="equal">
      <formula>0</formula>
    </cfRule>
  </conditionalFormatting>
  <conditionalFormatting sqref="D2142">
    <cfRule type="cellIs" dxfId="1" priority="4553" operator="equal">
      <formula>0</formula>
    </cfRule>
  </conditionalFormatting>
  <conditionalFormatting sqref="D2143">
    <cfRule type="cellIs" dxfId="1" priority="4557" operator="equal">
      <formula>0</formula>
    </cfRule>
  </conditionalFormatting>
  <conditionalFormatting sqref="D2144">
    <cfRule type="cellIs" dxfId="1" priority="4561" operator="equal">
      <formula>0</formula>
    </cfRule>
  </conditionalFormatting>
  <conditionalFormatting sqref="D2145">
    <cfRule type="cellIs" dxfId="1" priority="4565" operator="equal">
      <formula>0</formula>
    </cfRule>
  </conditionalFormatting>
  <conditionalFormatting sqref="D2146">
    <cfRule type="cellIs" dxfId="1" priority="4569" operator="equal">
      <formula>0</formula>
    </cfRule>
  </conditionalFormatting>
  <conditionalFormatting sqref="D2147">
    <cfRule type="cellIs" dxfId="1" priority="4572" operator="equal">
      <formula>0</formula>
    </cfRule>
  </conditionalFormatting>
  <conditionalFormatting sqref="D2148">
    <cfRule type="cellIs" dxfId="1" priority="4575" operator="equal">
      <formula>0</formula>
    </cfRule>
  </conditionalFormatting>
  <conditionalFormatting sqref="D2149">
    <cfRule type="cellIs" dxfId="1" priority="4579" operator="equal">
      <formula>0</formula>
    </cfRule>
  </conditionalFormatting>
  <conditionalFormatting sqref="D215">
    <cfRule type="cellIs" dxfId="1" priority="516" operator="equal">
      <formula>0</formula>
    </cfRule>
  </conditionalFormatting>
  <conditionalFormatting sqref="D2151">
    <cfRule type="expression" dxfId="0" priority="4583">
      <formula>D2152=0</formula>
    </cfRule>
  </conditionalFormatting>
  <conditionalFormatting sqref="D2152">
    <cfRule type="cellIs" dxfId="1" priority="4585" operator="equal">
      <formula>0</formula>
    </cfRule>
  </conditionalFormatting>
  <conditionalFormatting sqref="D2153">
    <cfRule type="cellIs" dxfId="1" priority="4587" operator="equal">
      <formula>0</formula>
    </cfRule>
  </conditionalFormatting>
  <conditionalFormatting sqref="D2154">
    <cfRule type="cellIs" dxfId="1" priority="4589" operator="equal">
      <formula>0</formula>
    </cfRule>
  </conditionalFormatting>
  <conditionalFormatting sqref="D2155">
    <cfRule type="cellIs" dxfId="1" priority="4591" operator="equal">
      <formula>0</formula>
    </cfRule>
  </conditionalFormatting>
  <conditionalFormatting sqref="D2156">
    <cfRule type="cellIs" dxfId="1" priority="4593" operator="equal">
      <formula>0</formula>
    </cfRule>
  </conditionalFormatting>
  <conditionalFormatting sqref="D2157">
    <cfRule type="cellIs" dxfId="1" priority="4595" operator="equal">
      <formula>0</formula>
    </cfRule>
  </conditionalFormatting>
  <conditionalFormatting sqref="D2158">
    <cfRule type="cellIs" dxfId="1" priority="4597" operator="equal">
      <formula>0</formula>
    </cfRule>
  </conditionalFormatting>
  <conditionalFormatting sqref="D2159">
    <cfRule type="cellIs" dxfId="1" priority="4599" operator="equal">
      <formula>0</formula>
    </cfRule>
  </conditionalFormatting>
  <conditionalFormatting sqref="D216">
    <cfRule type="cellIs" dxfId="1" priority="520" operator="equal">
      <formula>0</formula>
    </cfRule>
  </conditionalFormatting>
  <conditionalFormatting sqref="D2160">
    <cfRule type="cellIs" dxfId="1" priority="4601" operator="equal">
      <formula>0</formula>
    </cfRule>
  </conditionalFormatting>
  <conditionalFormatting sqref="D2161">
    <cfRule type="cellIs" dxfId="1" priority="4602" operator="equal">
      <formula>0</formula>
    </cfRule>
  </conditionalFormatting>
  <conditionalFormatting sqref="D2162">
    <cfRule type="cellIs" dxfId="1" priority="4604" operator="equal">
      <formula>0</formula>
    </cfRule>
  </conditionalFormatting>
  <conditionalFormatting sqref="D2163">
    <cfRule type="cellIs" dxfId="1" priority="4606" operator="equal">
      <formula>0</formula>
    </cfRule>
  </conditionalFormatting>
  <conditionalFormatting sqref="D2164">
    <cfRule type="cellIs" dxfId="1" priority="4607" operator="equal">
      <formula>0</formula>
    </cfRule>
  </conditionalFormatting>
  <conditionalFormatting sqref="D2166">
    <cfRule type="expression" dxfId="0" priority="4609">
      <formula>D2167=0</formula>
    </cfRule>
  </conditionalFormatting>
  <conditionalFormatting sqref="D2167">
    <cfRule type="cellIs" dxfId="1" priority="4612" operator="equal">
      <formula>0</formula>
    </cfRule>
  </conditionalFormatting>
  <conditionalFormatting sqref="D2168">
    <cfRule type="cellIs" dxfId="1" priority="4615" operator="equal">
      <formula>0</formula>
    </cfRule>
  </conditionalFormatting>
  <conditionalFormatting sqref="D2169">
    <cfRule type="cellIs" dxfId="1" priority="4617" operator="equal">
      <formula>0</formula>
    </cfRule>
  </conditionalFormatting>
  <conditionalFormatting sqref="D217">
    <cfRule type="cellIs" dxfId="1" priority="525" operator="equal">
      <formula>0</formula>
    </cfRule>
  </conditionalFormatting>
  <conditionalFormatting sqref="D2170">
    <cfRule type="cellIs" dxfId="1" priority="4619" operator="equal">
      <formula>0</formula>
    </cfRule>
  </conditionalFormatting>
  <conditionalFormatting sqref="D2171">
    <cfRule type="cellIs" dxfId="1" priority="4620" operator="equal">
      <formula>0</formula>
    </cfRule>
  </conditionalFormatting>
  <conditionalFormatting sqref="D2172">
    <cfRule type="cellIs" dxfId="1" priority="4623" operator="equal">
      <formula>0</formula>
    </cfRule>
  </conditionalFormatting>
  <conditionalFormatting sqref="D2173">
    <cfRule type="cellIs" dxfId="1" priority="4625" operator="equal">
      <formula>0</formula>
    </cfRule>
  </conditionalFormatting>
  <conditionalFormatting sqref="D2174">
    <cfRule type="cellIs" dxfId="1" priority="4627" operator="equal">
      <formula>0</formula>
    </cfRule>
  </conditionalFormatting>
  <conditionalFormatting sqref="D2176">
    <cfRule type="cellIs" dxfId="1" priority="4630" operator="equal">
      <formula>0</formula>
    </cfRule>
  </conditionalFormatting>
  <conditionalFormatting sqref="D2177">
    <cfRule type="cellIs" dxfId="1" priority="4632" operator="equal">
      <formula>0</formula>
    </cfRule>
  </conditionalFormatting>
  <conditionalFormatting sqref="D2179">
    <cfRule type="cellIs" dxfId="1" priority="4635" operator="equal">
      <formula>0</formula>
    </cfRule>
  </conditionalFormatting>
  <conditionalFormatting sqref="D2187">
    <cfRule type="expression" dxfId="0" priority="4637">
      <formula>D2188=0</formula>
    </cfRule>
  </conditionalFormatting>
  <conditionalFormatting sqref="D2188">
    <cfRule type="cellIs" dxfId="1" priority="4641" operator="equal">
      <formula>0</formula>
    </cfRule>
  </conditionalFormatting>
  <conditionalFormatting sqref="D2189">
    <cfRule type="cellIs" dxfId="1" priority="4645" operator="equal">
      <formula>0</formula>
    </cfRule>
  </conditionalFormatting>
  <conditionalFormatting sqref="D2191">
    <cfRule type="expression" dxfId="0" priority="4649">
      <formula>D2192=0</formula>
    </cfRule>
  </conditionalFormatting>
  <conditionalFormatting sqref="D2192">
    <cfRule type="cellIs" dxfId="1" priority="4651" operator="equal">
      <formula>0</formula>
    </cfRule>
  </conditionalFormatting>
  <conditionalFormatting sqref="D2193">
    <cfRule type="cellIs" dxfId="1" priority="4653" operator="equal">
      <formula>0</formula>
    </cfRule>
  </conditionalFormatting>
  <conditionalFormatting sqref="D220">
    <cfRule type="cellIs" dxfId="1" priority="539" operator="equal">
      <formula>0</formula>
    </cfRule>
  </conditionalFormatting>
  <conditionalFormatting sqref="D2205">
    <cfRule type="expression" dxfId="0" priority="4658">
      <formula>D2206=0</formula>
    </cfRule>
  </conditionalFormatting>
  <conditionalFormatting sqref="D2206">
    <cfRule type="cellIs" dxfId="1" priority="4662" operator="equal">
      <formula>0</formula>
    </cfRule>
  </conditionalFormatting>
  <conditionalFormatting sqref="D2207">
    <cfRule type="cellIs" dxfId="1" priority="4666" operator="equal">
      <formula>0</formula>
    </cfRule>
  </conditionalFormatting>
  <conditionalFormatting sqref="D2209">
    <cfRule type="expression" dxfId="0" priority="4670">
      <formula>D2210=0</formula>
    </cfRule>
  </conditionalFormatting>
  <conditionalFormatting sqref="D221">
    <cfRule type="cellIs" dxfId="1" priority="544" operator="equal">
      <formula>0</formula>
    </cfRule>
  </conditionalFormatting>
  <conditionalFormatting sqref="D2210">
    <cfRule type="cellIs" dxfId="1" priority="4672" operator="equal">
      <formula>0</formula>
    </cfRule>
  </conditionalFormatting>
  <conditionalFormatting sqref="D2211">
    <cfRule type="cellIs" dxfId="1" priority="4674" operator="equal">
      <formula>0</formula>
    </cfRule>
  </conditionalFormatting>
  <conditionalFormatting sqref="D2213">
    <cfRule type="expression" dxfId="0" priority="4676">
      <formula>D2214=0</formula>
    </cfRule>
  </conditionalFormatting>
  <conditionalFormatting sqref="D2214">
    <cfRule type="cellIs" dxfId="1" priority="4678" operator="equal">
      <formula>0</formula>
    </cfRule>
  </conditionalFormatting>
  <conditionalFormatting sqref="D2215">
    <cfRule type="cellIs" dxfId="1" priority="4680" operator="equal">
      <formula>0</formula>
    </cfRule>
  </conditionalFormatting>
  <conditionalFormatting sqref="D2223">
    <cfRule type="expression" dxfId="0" priority="4682">
      <formula>D2224=0</formula>
    </cfRule>
  </conditionalFormatting>
  <conditionalFormatting sqref="D2224">
    <cfRule type="cellIs" dxfId="1" priority="4686" operator="equal">
      <formula>0</formula>
    </cfRule>
  </conditionalFormatting>
  <conditionalFormatting sqref="D2225">
    <cfRule type="cellIs" dxfId="1" priority="4690" operator="equal">
      <formula>0</formula>
    </cfRule>
  </conditionalFormatting>
  <conditionalFormatting sqref="D2226">
    <cfRule type="cellIs" dxfId="1" priority="4694" operator="equal">
      <formula>0</formula>
    </cfRule>
  </conditionalFormatting>
  <conditionalFormatting sqref="D2227">
    <cfRule type="cellIs" dxfId="1" priority="4698" operator="equal">
      <formula>0</formula>
    </cfRule>
  </conditionalFormatting>
  <conditionalFormatting sqref="D2228">
    <cfRule type="cellIs" dxfId="1" priority="4702" operator="equal">
      <formula>0</formula>
    </cfRule>
  </conditionalFormatting>
  <conditionalFormatting sqref="D223">
    <cfRule type="expression" dxfId="0" priority="550">
      <formula>D224=0</formula>
    </cfRule>
  </conditionalFormatting>
  <conditionalFormatting sqref="D2230">
    <cfRule type="expression" dxfId="0" priority="4706">
      <formula>D2231=0</formula>
    </cfRule>
  </conditionalFormatting>
  <conditionalFormatting sqref="D2231">
    <cfRule type="cellIs" dxfId="1" priority="4711" operator="equal">
      <formula>0</formula>
    </cfRule>
  </conditionalFormatting>
  <conditionalFormatting sqref="D2232">
    <cfRule type="cellIs" dxfId="1" priority="4716" operator="equal">
      <formula>0</formula>
    </cfRule>
  </conditionalFormatting>
  <conditionalFormatting sqref="D2233">
    <cfRule type="cellIs" dxfId="1" priority="4717" operator="equal">
      <formula>0</formula>
    </cfRule>
  </conditionalFormatting>
  <conditionalFormatting sqref="D2234">
    <cfRule type="cellIs" dxfId="1" priority="4719" operator="equal">
      <formula>0</formula>
    </cfRule>
  </conditionalFormatting>
  <conditionalFormatting sqref="D224">
    <cfRule type="cellIs" dxfId="1" priority="556" operator="equal">
      <formula>0</formula>
    </cfRule>
  </conditionalFormatting>
  <conditionalFormatting sqref="D225">
    <cfRule type="cellIs" dxfId="1" priority="562" operator="equal">
      <formula>0</formula>
    </cfRule>
  </conditionalFormatting>
  <conditionalFormatting sqref="D2250">
    <cfRule type="expression" dxfId="0" priority="4729">
      <formula>D2251=0</formula>
    </cfRule>
  </conditionalFormatting>
  <conditionalFormatting sqref="D2251">
    <cfRule type="cellIs" dxfId="1" priority="4735" operator="equal">
      <formula>0</formula>
    </cfRule>
  </conditionalFormatting>
  <conditionalFormatting sqref="D2252">
    <cfRule type="cellIs" dxfId="1" priority="4741" operator="equal">
      <formula>0</formula>
    </cfRule>
  </conditionalFormatting>
  <conditionalFormatting sqref="D2253">
    <cfRule type="cellIs" dxfId="1" priority="4747" operator="equal">
      <formula>0</formula>
    </cfRule>
  </conditionalFormatting>
  <conditionalFormatting sqref="D2255">
    <cfRule type="expression" dxfId="0" priority="4750">
      <formula>D2256=0</formula>
    </cfRule>
  </conditionalFormatting>
  <conditionalFormatting sqref="D2256">
    <cfRule type="cellIs" dxfId="1" priority="4752" operator="equal">
      <formula>0</formula>
    </cfRule>
  </conditionalFormatting>
  <conditionalFormatting sqref="D2257">
    <cfRule type="cellIs" dxfId="1" priority="4754" operator="equal">
      <formula>0</formula>
    </cfRule>
  </conditionalFormatting>
  <conditionalFormatting sqref="D2258">
    <cfRule type="cellIs" dxfId="1" priority="4755" operator="equal">
      <formula>0</formula>
    </cfRule>
  </conditionalFormatting>
  <conditionalFormatting sqref="D2271">
    <cfRule type="expression" dxfId="0" priority="4761">
      <formula>D2272=0</formula>
    </cfRule>
  </conditionalFormatting>
  <conditionalFormatting sqref="D2272">
    <cfRule type="cellIs" dxfId="1" priority="4767" operator="equal">
      <formula>0</formula>
    </cfRule>
  </conditionalFormatting>
  <conditionalFormatting sqref="D2273">
    <cfRule type="cellIs" dxfId="1" priority="4773" operator="equal">
      <formula>0</formula>
    </cfRule>
  </conditionalFormatting>
  <conditionalFormatting sqref="D2274">
    <cfRule type="cellIs" dxfId="1" priority="4777" operator="equal">
      <formula>0</formula>
    </cfRule>
  </conditionalFormatting>
  <conditionalFormatting sqref="D2275">
    <cfRule type="cellIs" dxfId="1" priority="4782" operator="equal">
      <formula>0</formula>
    </cfRule>
  </conditionalFormatting>
  <conditionalFormatting sqref="D2276">
    <cfRule type="cellIs" dxfId="1" priority="4787" operator="equal">
      <formula>0</formula>
    </cfRule>
  </conditionalFormatting>
  <conditionalFormatting sqref="D2277">
    <cfRule type="cellIs" dxfId="1" priority="4791" operator="equal">
      <formula>0</formula>
    </cfRule>
  </conditionalFormatting>
  <conditionalFormatting sqref="D2278">
    <cfRule type="cellIs" dxfId="1" priority="4795" operator="equal">
      <formula>0</formula>
    </cfRule>
  </conditionalFormatting>
  <conditionalFormatting sqref="D2279">
    <cfRule type="cellIs" dxfId="1" priority="4798" operator="equal">
      <formula>0</formula>
    </cfRule>
  </conditionalFormatting>
  <conditionalFormatting sqref="D2280">
    <cfRule type="cellIs" dxfId="1" priority="4802" operator="equal">
      <formula>0</formula>
    </cfRule>
  </conditionalFormatting>
  <conditionalFormatting sqref="D2281">
    <cfRule type="cellIs" dxfId="1" priority="4806" operator="equal">
      <formula>0</formula>
    </cfRule>
  </conditionalFormatting>
  <conditionalFormatting sqref="D2282">
    <cfRule type="cellIs" dxfId="1" priority="4810" operator="equal">
      <formula>0</formula>
    </cfRule>
  </conditionalFormatting>
  <conditionalFormatting sqref="D2283">
    <cfRule type="cellIs" dxfId="1" priority="4814" operator="equal">
      <formula>0</formula>
    </cfRule>
  </conditionalFormatting>
  <conditionalFormatting sqref="D2284">
    <cfRule type="cellIs" dxfId="1" priority="4818" operator="equal">
      <formula>0</formula>
    </cfRule>
  </conditionalFormatting>
  <conditionalFormatting sqref="D2285">
    <cfRule type="cellIs" dxfId="1" priority="4822" operator="equal">
      <formula>0</formula>
    </cfRule>
  </conditionalFormatting>
  <conditionalFormatting sqref="D2286">
    <cfRule type="cellIs" dxfId="1" priority="4826" operator="equal">
      <formula>0</formula>
    </cfRule>
  </conditionalFormatting>
  <conditionalFormatting sqref="D2287">
    <cfRule type="cellIs" dxfId="1" priority="4830" operator="equal">
      <formula>0</formula>
    </cfRule>
  </conditionalFormatting>
  <conditionalFormatting sqref="D2288">
    <cfRule type="cellIs" dxfId="1" priority="4835" operator="equal">
      <formula>0</formula>
    </cfRule>
  </conditionalFormatting>
  <conditionalFormatting sqref="D2290">
    <cfRule type="expression" dxfId="0" priority="4840">
      <formula>D2291=0</formula>
    </cfRule>
  </conditionalFormatting>
  <conditionalFormatting sqref="D2291">
    <cfRule type="cellIs" dxfId="1" priority="4848" operator="equal">
      <formula>0</formula>
    </cfRule>
  </conditionalFormatting>
  <conditionalFormatting sqref="D2292">
    <cfRule type="cellIs" dxfId="1" priority="4856" operator="equal">
      <formula>0</formula>
    </cfRule>
  </conditionalFormatting>
  <conditionalFormatting sqref="D2293">
    <cfRule type="cellIs" dxfId="1" priority="4858" operator="equal">
      <formula>0</formula>
    </cfRule>
  </conditionalFormatting>
  <conditionalFormatting sqref="D2299">
    <cfRule type="cellIs" dxfId="1" priority="4870" operator="equal">
      <formula>0</formula>
    </cfRule>
  </conditionalFormatting>
  <conditionalFormatting sqref="D2302">
    <cfRule type="cellIs" dxfId="1" priority="4876" operator="equal">
      <formula>0</formula>
    </cfRule>
  </conditionalFormatting>
  <conditionalFormatting sqref="D2309">
    <cfRule type="expression" dxfId="0" priority="4888">
      <formula>D2310=0</formula>
    </cfRule>
  </conditionalFormatting>
  <conditionalFormatting sqref="D2310">
    <cfRule type="cellIs" dxfId="1" priority="4890" operator="equal">
      <formula>0</formula>
    </cfRule>
  </conditionalFormatting>
  <conditionalFormatting sqref="D2319">
    <cfRule type="cellIs" dxfId="1" priority="4900" operator="equal">
      <formula>0</formula>
    </cfRule>
  </conditionalFormatting>
  <conditionalFormatting sqref="D2322">
    <cfRule type="cellIs" dxfId="1" priority="4904" operator="equal">
      <formula>0</formula>
    </cfRule>
  </conditionalFormatting>
  <conditionalFormatting sqref="D2323">
    <cfRule type="cellIs" dxfId="1" priority="4906" operator="equal">
      <formula>0</formula>
    </cfRule>
  </conditionalFormatting>
  <conditionalFormatting sqref="D2325">
    <cfRule type="cellIs" dxfId="1" priority="4908" operator="equal">
      <formula>0</formula>
    </cfRule>
  </conditionalFormatting>
  <conditionalFormatting sqref="D2334">
    <cfRule type="expression" dxfId="0" priority="4911">
      <formula>D2335=0</formula>
    </cfRule>
  </conditionalFormatting>
  <conditionalFormatting sqref="D2335">
    <cfRule type="cellIs" dxfId="1" priority="4921" operator="equal">
      <formula>0</formula>
    </cfRule>
  </conditionalFormatting>
  <conditionalFormatting sqref="D2336">
    <cfRule type="cellIs" dxfId="1" priority="4931" operator="equal">
      <formula>0</formula>
    </cfRule>
  </conditionalFormatting>
  <conditionalFormatting sqref="D2337">
    <cfRule type="cellIs" dxfId="1" priority="4935" operator="equal">
      <formula>0</formula>
    </cfRule>
  </conditionalFormatting>
  <conditionalFormatting sqref="D2338">
    <cfRule type="cellIs" dxfId="1" priority="4940" operator="equal">
      <formula>0</formula>
    </cfRule>
  </conditionalFormatting>
  <conditionalFormatting sqref="D2339">
    <cfRule type="cellIs" dxfId="1" priority="4945" operator="equal">
      <formula>0</formula>
    </cfRule>
  </conditionalFormatting>
  <conditionalFormatting sqref="D2341">
    <cfRule type="cellIs" dxfId="1" priority="4952" operator="equal">
      <formula>0</formula>
    </cfRule>
  </conditionalFormatting>
  <conditionalFormatting sqref="D2342">
    <cfRule type="cellIs" dxfId="1" priority="4957" operator="equal">
      <formula>0</formula>
    </cfRule>
  </conditionalFormatting>
  <conditionalFormatting sqref="D2344">
    <cfRule type="cellIs" dxfId="1" priority="4966" operator="equal">
      <formula>0</formula>
    </cfRule>
  </conditionalFormatting>
  <conditionalFormatting sqref="D2345">
    <cfRule type="cellIs" dxfId="1" priority="4971" operator="equal">
      <formula>0</formula>
    </cfRule>
  </conditionalFormatting>
  <conditionalFormatting sqref="D2346">
    <cfRule type="cellIs" dxfId="1" priority="4976" operator="equal">
      <formula>0</formula>
    </cfRule>
  </conditionalFormatting>
  <conditionalFormatting sqref="D2347">
    <cfRule type="cellIs" dxfId="1" priority="4981" operator="equal">
      <formula>0</formula>
    </cfRule>
  </conditionalFormatting>
  <conditionalFormatting sqref="D2351">
    <cfRule type="expression" dxfId="0" priority="4997">
      <formula>D2352=0</formula>
    </cfRule>
  </conditionalFormatting>
  <conditionalFormatting sqref="D2352">
    <cfRule type="cellIs" dxfId="1" priority="5003" operator="equal">
      <formula>0</formula>
    </cfRule>
  </conditionalFormatting>
  <conditionalFormatting sqref="D2353">
    <cfRule type="cellIs" dxfId="1" priority="5009" operator="equal">
      <formula>0</formula>
    </cfRule>
  </conditionalFormatting>
  <conditionalFormatting sqref="D2354">
    <cfRule type="cellIs" dxfId="1" priority="5010" operator="equal">
      <formula>0</formula>
    </cfRule>
  </conditionalFormatting>
  <conditionalFormatting sqref="D2356">
    <cfRule type="cellIs" dxfId="1" priority="5014" operator="equal">
      <formula>0</formula>
    </cfRule>
  </conditionalFormatting>
  <conditionalFormatting sqref="D2357">
    <cfRule type="cellIs" dxfId="1" priority="5016" operator="equal">
      <formula>0</formula>
    </cfRule>
  </conditionalFormatting>
  <conditionalFormatting sqref="D2360">
    <cfRule type="cellIs" dxfId="1" priority="5019" operator="equal">
      <formula>0</formula>
    </cfRule>
  </conditionalFormatting>
  <conditionalFormatting sqref="D2362">
    <cfRule type="cellIs" dxfId="1" priority="5023" operator="equal">
      <formula>0</formula>
    </cfRule>
  </conditionalFormatting>
  <conditionalFormatting sqref="D2363">
    <cfRule type="cellIs" dxfId="1" priority="5025" operator="equal">
      <formula>0</formula>
    </cfRule>
  </conditionalFormatting>
  <conditionalFormatting sqref="D2364">
    <cfRule type="cellIs" dxfId="1" priority="5027" operator="equal">
      <formula>0</formula>
    </cfRule>
  </conditionalFormatting>
  <conditionalFormatting sqref="D2365">
    <cfRule type="cellIs" dxfId="1" priority="5029" operator="equal">
      <formula>0</formula>
    </cfRule>
  </conditionalFormatting>
  <conditionalFormatting sqref="D2366">
    <cfRule type="cellIs" dxfId="1" priority="5031" operator="equal">
      <formula>0</formula>
    </cfRule>
  </conditionalFormatting>
  <conditionalFormatting sqref="D2368">
    <cfRule type="expression" dxfId="0" priority="5034">
      <formula>D2369=0</formula>
    </cfRule>
  </conditionalFormatting>
  <conditionalFormatting sqref="D2369">
    <cfRule type="cellIs" dxfId="1" priority="5038" operator="equal">
      <formula>0</formula>
    </cfRule>
  </conditionalFormatting>
  <conditionalFormatting sqref="D2372">
    <cfRule type="cellIs" dxfId="1" priority="5043" operator="equal">
      <formula>0</formula>
    </cfRule>
  </conditionalFormatting>
  <conditionalFormatting sqref="D2391">
    <cfRule type="expression" dxfId="0" priority="5059">
      <formula>D2392=0</formula>
    </cfRule>
  </conditionalFormatting>
  <conditionalFormatting sqref="D2392">
    <cfRule type="cellIs" dxfId="1" priority="5069" operator="equal">
      <formula>0</formula>
    </cfRule>
  </conditionalFormatting>
  <conditionalFormatting sqref="D2393">
    <cfRule type="cellIs" dxfId="1" priority="5079" operator="equal">
      <formula>0</formula>
    </cfRule>
  </conditionalFormatting>
  <conditionalFormatting sqref="D2394">
    <cfRule type="cellIs" dxfId="1" priority="5081" operator="equal">
      <formula>0</formula>
    </cfRule>
  </conditionalFormatting>
  <conditionalFormatting sqref="D2396">
    <cfRule type="cellIs" dxfId="1" priority="5089" operator="equal">
      <formula>0</formula>
    </cfRule>
  </conditionalFormatting>
  <conditionalFormatting sqref="D2397">
    <cfRule type="cellIs" dxfId="1" priority="5092" operator="equal">
      <formula>0</formula>
    </cfRule>
  </conditionalFormatting>
  <conditionalFormatting sqref="D2398">
    <cfRule type="cellIs" dxfId="1" priority="5097" operator="equal">
      <formula>0</formula>
    </cfRule>
  </conditionalFormatting>
  <conditionalFormatting sqref="D2399">
    <cfRule type="cellIs" dxfId="1" priority="5101" operator="equal">
      <formula>0</formula>
    </cfRule>
  </conditionalFormatting>
  <conditionalFormatting sqref="D2400">
    <cfRule type="cellIs" dxfId="1" priority="5106" operator="equal">
      <formula>0</formula>
    </cfRule>
  </conditionalFormatting>
  <conditionalFormatting sqref="D2401">
    <cfRule type="cellIs" dxfId="1" priority="5109" operator="equal">
      <formula>0</formula>
    </cfRule>
  </conditionalFormatting>
  <conditionalFormatting sqref="D2404">
    <cfRule type="expression" dxfId="0" priority="5117">
      <formula>D2405=0</formula>
    </cfRule>
  </conditionalFormatting>
  <conditionalFormatting sqref="D2405">
    <cfRule type="cellIs" dxfId="1" priority="5123" operator="equal">
      <formula>0</formula>
    </cfRule>
  </conditionalFormatting>
  <conditionalFormatting sqref="D2408">
    <cfRule type="cellIs" dxfId="1" priority="5129" operator="equal">
      <formula>0</formula>
    </cfRule>
  </conditionalFormatting>
  <conditionalFormatting sqref="D2413">
    <cfRule type="cellIs" dxfId="1" priority="5137" operator="equal">
      <formula>0</formula>
    </cfRule>
  </conditionalFormatting>
  <conditionalFormatting sqref="D2414">
    <cfRule type="cellIs" dxfId="1" priority="5139" operator="equal">
      <formula>0</formula>
    </cfRule>
  </conditionalFormatting>
  <conditionalFormatting sqref="D2417">
    <cfRule type="expression" dxfId="0" priority="5144">
      <formula>D2418=0</formula>
    </cfRule>
  </conditionalFormatting>
  <conditionalFormatting sqref="D2418">
    <cfRule type="cellIs" dxfId="1" priority="5147" operator="equal">
      <formula>0</formula>
    </cfRule>
  </conditionalFormatting>
  <conditionalFormatting sqref="D242">
    <cfRule type="expression" dxfId="0" priority="587">
      <formula>D243=0</formula>
    </cfRule>
  </conditionalFormatting>
  <conditionalFormatting sqref="D2421">
    <cfRule type="cellIs" dxfId="1" priority="5151" operator="equal">
      <formula>0</formula>
    </cfRule>
  </conditionalFormatting>
  <conditionalFormatting sqref="D2422">
    <cfRule type="cellIs" dxfId="1" priority="5153" operator="equal">
      <formula>0</formula>
    </cfRule>
  </conditionalFormatting>
  <conditionalFormatting sqref="D2425">
    <cfRule type="cellIs" dxfId="1" priority="5158" operator="equal">
      <formula>0</formula>
    </cfRule>
  </conditionalFormatting>
  <conditionalFormatting sqref="D2426">
    <cfRule type="cellIs" dxfId="1" priority="5160" operator="equal">
      <formula>0</formula>
    </cfRule>
  </conditionalFormatting>
  <conditionalFormatting sqref="D2427">
    <cfRule type="cellIs" dxfId="1" priority="5162" operator="equal">
      <formula>0</formula>
    </cfRule>
  </conditionalFormatting>
  <conditionalFormatting sqref="D243">
    <cfRule type="cellIs" dxfId="1" priority="590" operator="equal">
      <formula>0</formula>
    </cfRule>
  </conditionalFormatting>
  <conditionalFormatting sqref="D2436">
    <cfRule type="expression" dxfId="0" priority="5165">
      <formula>D2437=0</formula>
    </cfRule>
  </conditionalFormatting>
  <conditionalFormatting sqref="D2437">
    <cfRule type="cellIs" dxfId="1" priority="5170" operator="equal">
      <formula>0</formula>
    </cfRule>
  </conditionalFormatting>
  <conditionalFormatting sqref="D2438">
    <cfRule type="cellIs" dxfId="1" priority="5175" operator="equal">
      <formula>0</formula>
    </cfRule>
  </conditionalFormatting>
  <conditionalFormatting sqref="D2439">
    <cfRule type="cellIs" dxfId="1" priority="5180" operator="equal">
      <formula>0</formula>
    </cfRule>
  </conditionalFormatting>
  <conditionalFormatting sqref="D244">
    <cfRule type="cellIs" dxfId="1" priority="593" operator="equal">
      <formula>0</formula>
    </cfRule>
  </conditionalFormatting>
  <conditionalFormatting sqref="D2440">
    <cfRule type="cellIs" dxfId="1" priority="5184" operator="equal">
      <formula>0</formula>
    </cfRule>
  </conditionalFormatting>
  <conditionalFormatting sqref="D2441">
    <cfRule type="cellIs" dxfId="1" priority="5189" operator="equal">
      <formula>0</formula>
    </cfRule>
  </conditionalFormatting>
  <conditionalFormatting sqref="D2443">
    <cfRule type="expression" dxfId="0" priority="5193">
      <formula>D2444=0</formula>
    </cfRule>
  </conditionalFormatting>
  <conditionalFormatting sqref="D2444">
    <cfRule type="cellIs" dxfId="1" priority="5196" operator="equal">
      <formula>0</formula>
    </cfRule>
  </conditionalFormatting>
  <conditionalFormatting sqref="D2445">
    <cfRule type="cellIs" dxfId="1" priority="5199" operator="equal">
      <formula>0</formula>
    </cfRule>
  </conditionalFormatting>
  <conditionalFormatting sqref="D2446">
    <cfRule type="cellIs" dxfId="1" priority="5200" operator="equal">
      <formula>0</formula>
    </cfRule>
  </conditionalFormatting>
  <conditionalFormatting sqref="D2447">
    <cfRule type="cellIs" dxfId="1" priority="5201" operator="equal">
      <formula>0</formula>
    </cfRule>
  </conditionalFormatting>
  <conditionalFormatting sqref="D2448">
    <cfRule type="cellIs" dxfId="1" priority="5203" operator="equal">
      <formula>0</formula>
    </cfRule>
  </conditionalFormatting>
  <conditionalFormatting sqref="D2450">
    <cfRule type="expression" dxfId="0" priority="5205">
      <formula>D2451=0</formula>
    </cfRule>
  </conditionalFormatting>
  <conditionalFormatting sqref="D2451">
    <cfRule type="cellIs" dxfId="1" priority="5208" operator="equal">
      <formula>0</formula>
    </cfRule>
  </conditionalFormatting>
  <conditionalFormatting sqref="D2452">
    <cfRule type="cellIs" dxfId="1" priority="5211" operator="equal">
      <formula>0</formula>
    </cfRule>
  </conditionalFormatting>
  <conditionalFormatting sqref="D2463">
    <cfRule type="expression" dxfId="0" priority="5217">
      <formula>D2464=0</formula>
    </cfRule>
  </conditionalFormatting>
  <conditionalFormatting sqref="D2464">
    <cfRule type="cellIs" dxfId="1" priority="5222" operator="equal">
      <formula>0</formula>
    </cfRule>
  </conditionalFormatting>
  <conditionalFormatting sqref="D2465">
    <cfRule type="cellIs" dxfId="1" priority="5227" operator="equal">
      <formula>0</formula>
    </cfRule>
  </conditionalFormatting>
  <conditionalFormatting sqref="D2466">
    <cfRule type="cellIs" dxfId="1" priority="5231" operator="equal">
      <formula>0</formula>
    </cfRule>
  </conditionalFormatting>
  <conditionalFormatting sqref="D2467">
    <cfRule type="cellIs" dxfId="1" priority="5235" operator="equal">
      <formula>0</formula>
    </cfRule>
  </conditionalFormatting>
  <conditionalFormatting sqref="D2468">
    <cfRule type="cellIs" dxfId="1" priority="5239" operator="equal">
      <formula>0</formula>
    </cfRule>
  </conditionalFormatting>
  <conditionalFormatting sqref="D2469">
    <cfRule type="cellIs" dxfId="1" priority="5243" operator="equal">
      <formula>0</formula>
    </cfRule>
  </conditionalFormatting>
  <conditionalFormatting sqref="D2470">
    <cfRule type="cellIs" dxfId="1" priority="5247" operator="equal">
      <formula>0</formula>
    </cfRule>
  </conditionalFormatting>
  <conditionalFormatting sqref="D2471">
    <cfRule type="cellIs" dxfId="1" priority="5251" operator="equal">
      <formula>0</formula>
    </cfRule>
  </conditionalFormatting>
  <conditionalFormatting sqref="D2472">
    <cfRule type="cellIs" dxfId="1" priority="5255" operator="equal">
      <formula>0</formula>
    </cfRule>
  </conditionalFormatting>
  <conditionalFormatting sqref="D2473">
    <cfRule type="cellIs" dxfId="1" priority="5258" operator="equal">
      <formula>0</formula>
    </cfRule>
  </conditionalFormatting>
  <conditionalFormatting sqref="D2474">
    <cfRule type="cellIs" dxfId="1" priority="5262" operator="equal">
      <formula>0</formula>
    </cfRule>
  </conditionalFormatting>
  <conditionalFormatting sqref="D2475">
    <cfRule type="cellIs" dxfId="1" priority="5266" operator="equal">
      <formula>0</formula>
    </cfRule>
  </conditionalFormatting>
  <conditionalFormatting sqref="D2477">
    <cfRule type="expression" dxfId="0" priority="5271">
      <formula>D2478=0</formula>
    </cfRule>
  </conditionalFormatting>
  <conditionalFormatting sqref="D2478">
    <cfRule type="cellIs" dxfId="1" priority="5273" operator="equal">
      <formula>0</formula>
    </cfRule>
  </conditionalFormatting>
  <conditionalFormatting sqref="D2479">
    <cfRule type="cellIs" dxfId="1" priority="5275" operator="equal">
      <formula>0</formula>
    </cfRule>
  </conditionalFormatting>
  <conditionalFormatting sqref="D2480">
    <cfRule type="cellIs" dxfId="1" priority="5277" operator="equal">
      <formula>0</formula>
    </cfRule>
  </conditionalFormatting>
  <conditionalFormatting sqref="D2481">
    <cfRule type="cellIs" dxfId="1" priority="5279" operator="equal">
      <formula>0</formula>
    </cfRule>
  </conditionalFormatting>
  <conditionalFormatting sqref="D2482">
    <cfRule type="cellIs" dxfId="1" priority="5281" operator="equal">
      <formula>0</formula>
    </cfRule>
  </conditionalFormatting>
  <conditionalFormatting sqref="D2483">
    <cfRule type="cellIs" dxfId="1" priority="5283" operator="equal">
      <formula>0</formula>
    </cfRule>
  </conditionalFormatting>
  <conditionalFormatting sqref="D2484">
    <cfRule type="cellIs" dxfId="1" priority="5285" operator="equal">
      <formula>0</formula>
    </cfRule>
  </conditionalFormatting>
  <conditionalFormatting sqref="D2485">
    <cfRule type="cellIs" dxfId="1" priority="5287" operator="equal">
      <formula>0</formula>
    </cfRule>
  </conditionalFormatting>
  <conditionalFormatting sqref="D2486">
    <cfRule type="cellIs" dxfId="1" priority="5289" operator="equal">
      <formula>0</formula>
    </cfRule>
  </conditionalFormatting>
  <conditionalFormatting sqref="D2487">
    <cfRule type="cellIs" dxfId="1" priority="5291" operator="equal">
      <formula>0</formula>
    </cfRule>
  </conditionalFormatting>
  <conditionalFormatting sqref="D2488">
    <cfRule type="cellIs" dxfId="1" priority="5293" operator="equal">
      <formula>0</formula>
    </cfRule>
  </conditionalFormatting>
  <conditionalFormatting sqref="D2489">
    <cfRule type="cellIs" dxfId="1" priority="5295" operator="equal">
      <formula>0</formula>
    </cfRule>
  </conditionalFormatting>
  <conditionalFormatting sqref="D2491">
    <cfRule type="expression" dxfId="0" priority="5297">
      <formula>D2492=0</formula>
    </cfRule>
  </conditionalFormatting>
  <conditionalFormatting sqref="D2492">
    <cfRule type="cellIs" dxfId="1" priority="5299" operator="equal">
      <formula>0</formula>
    </cfRule>
  </conditionalFormatting>
  <conditionalFormatting sqref="D2494">
    <cfRule type="cellIs" dxfId="1" priority="5302" operator="equal">
      <formula>0</formula>
    </cfRule>
  </conditionalFormatting>
  <conditionalFormatting sqref="D2495">
    <cfRule type="cellIs" dxfId="1" priority="5304" operator="equal">
      <formula>0</formula>
    </cfRule>
  </conditionalFormatting>
  <conditionalFormatting sqref="D2496">
    <cfRule type="cellIs" dxfId="1" priority="5306" operator="equal">
      <formula>0</formula>
    </cfRule>
  </conditionalFormatting>
  <conditionalFormatting sqref="D2501">
    <cfRule type="cellIs" dxfId="1" priority="5312" operator="equal">
      <formula>0</formula>
    </cfRule>
  </conditionalFormatting>
  <conditionalFormatting sqref="D2502">
    <cfRule type="cellIs" dxfId="1" priority="5314" operator="equal">
      <formula>0</formula>
    </cfRule>
  </conditionalFormatting>
  <conditionalFormatting sqref="D2511">
    <cfRule type="expression" dxfId="0" priority="5317">
      <formula>D2512=0</formula>
    </cfRule>
  </conditionalFormatting>
  <conditionalFormatting sqref="D2512">
    <cfRule type="cellIs" dxfId="1" priority="5321" operator="equal">
      <formula>0</formula>
    </cfRule>
  </conditionalFormatting>
  <conditionalFormatting sqref="D2513">
    <cfRule type="cellIs" dxfId="1" priority="5325" operator="equal">
      <formula>0</formula>
    </cfRule>
  </conditionalFormatting>
  <conditionalFormatting sqref="D2514">
    <cfRule type="cellIs" dxfId="1" priority="5329" operator="equal">
      <formula>0</formula>
    </cfRule>
  </conditionalFormatting>
  <conditionalFormatting sqref="D2515">
    <cfRule type="cellIs" dxfId="1" priority="5332" operator="equal">
      <formula>0</formula>
    </cfRule>
  </conditionalFormatting>
  <conditionalFormatting sqref="D2517">
    <cfRule type="expression" dxfId="0" priority="5336">
      <formula>D2518=0</formula>
    </cfRule>
  </conditionalFormatting>
  <conditionalFormatting sqref="D2518">
    <cfRule type="cellIs" dxfId="1" priority="5338" operator="equal">
      <formula>0</formula>
    </cfRule>
  </conditionalFormatting>
  <conditionalFormatting sqref="D2519">
    <cfRule type="cellIs" dxfId="1" priority="5340" operator="equal">
      <formula>0</formula>
    </cfRule>
  </conditionalFormatting>
  <conditionalFormatting sqref="D2520">
    <cfRule type="cellIs" dxfId="1" priority="5342" operator="equal">
      <formula>0</formula>
    </cfRule>
  </conditionalFormatting>
  <conditionalFormatting sqref="D2521">
    <cfRule type="cellIs" dxfId="1" priority="5344" operator="equal">
      <formula>0</formula>
    </cfRule>
  </conditionalFormatting>
  <conditionalFormatting sqref="D2523">
    <cfRule type="expression" dxfId="0" priority="5346">
      <formula>D2524=0</formula>
    </cfRule>
  </conditionalFormatting>
  <conditionalFormatting sqref="D2524">
    <cfRule type="cellIs" dxfId="1" priority="5348" operator="equal">
      <formula>0</formula>
    </cfRule>
  </conditionalFormatting>
  <conditionalFormatting sqref="D2525">
    <cfRule type="cellIs" dxfId="1" priority="5350" operator="equal">
      <formula>0</formula>
    </cfRule>
  </conditionalFormatting>
  <conditionalFormatting sqref="D2535">
    <cfRule type="expression" dxfId="0" priority="5354">
      <formula>D2536=0</formula>
    </cfRule>
  </conditionalFormatting>
  <conditionalFormatting sqref="D2536">
    <cfRule type="cellIs" dxfId="1" priority="5358" operator="equal">
      <formula>0</formula>
    </cfRule>
  </conditionalFormatting>
  <conditionalFormatting sqref="D2537">
    <cfRule type="cellIs" dxfId="1" priority="5362" operator="equal">
      <formula>0</formula>
    </cfRule>
  </conditionalFormatting>
  <conditionalFormatting sqref="D2538">
    <cfRule type="cellIs" dxfId="1" priority="5366" operator="equal">
      <formula>0</formula>
    </cfRule>
  </conditionalFormatting>
  <conditionalFormatting sqref="D2540">
    <cfRule type="expression" dxfId="0" priority="5370">
      <formula>D2541=0</formula>
    </cfRule>
  </conditionalFormatting>
  <conditionalFormatting sqref="D2541">
    <cfRule type="cellIs" dxfId="1" priority="5373" operator="equal">
      <formula>0</formula>
    </cfRule>
  </conditionalFormatting>
  <conditionalFormatting sqref="D2542">
    <cfRule type="cellIs" dxfId="1" priority="5376" operator="equal">
      <formula>0</formula>
    </cfRule>
  </conditionalFormatting>
  <conditionalFormatting sqref="D2543">
    <cfRule type="cellIs" dxfId="1" priority="5377" operator="equal">
      <formula>0</formula>
    </cfRule>
  </conditionalFormatting>
  <conditionalFormatting sqref="D2556">
    <cfRule type="expression" dxfId="0" priority="5384">
      <formula>D2557=0</formula>
    </cfRule>
  </conditionalFormatting>
  <conditionalFormatting sqref="D2557">
    <cfRule type="cellIs" dxfId="1" priority="5394" operator="equal">
      <formula>0</formula>
    </cfRule>
  </conditionalFormatting>
  <conditionalFormatting sqref="D2558">
    <cfRule type="cellIs" dxfId="1" priority="5404" operator="equal">
      <formula>0</formula>
    </cfRule>
  </conditionalFormatting>
  <conditionalFormatting sqref="D2559">
    <cfRule type="cellIs" dxfId="1" priority="5407" operator="equal">
      <formula>0</formula>
    </cfRule>
  </conditionalFormatting>
  <conditionalFormatting sqref="D2561">
    <cfRule type="cellIs" dxfId="1" priority="5415" operator="equal">
      <formula>0</formula>
    </cfRule>
  </conditionalFormatting>
  <conditionalFormatting sqref="D2563">
    <cfRule type="cellIs" dxfId="1" priority="5423" operator="equal">
      <formula>0</formula>
    </cfRule>
  </conditionalFormatting>
  <conditionalFormatting sqref="D2564">
    <cfRule type="cellIs" dxfId="1" priority="5426" operator="equal">
      <formula>0</formula>
    </cfRule>
  </conditionalFormatting>
  <conditionalFormatting sqref="D2565">
    <cfRule type="cellIs" dxfId="1" priority="5430" operator="equal">
      <formula>0</formula>
    </cfRule>
  </conditionalFormatting>
  <conditionalFormatting sqref="D2566">
    <cfRule type="cellIs" dxfId="1" priority="5435" operator="equal">
      <formula>0</formula>
    </cfRule>
  </conditionalFormatting>
  <conditionalFormatting sqref="D2567">
    <cfRule type="cellIs" dxfId="1" priority="5437" operator="equal">
      <formula>0</formula>
    </cfRule>
  </conditionalFormatting>
  <conditionalFormatting sqref="D2569">
    <cfRule type="expression" dxfId="0" priority="5442">
      <formula>D2570=0</formula>
    </cfRule>
  </conditionalFormatting>
  <conditionalFormatting sqref="D2570">
    <cfRule type="cellIs" dxfId="1" priority="5449" operator="equal">
      <formula>0</formula>
    </cfRule>
  </conditionalFormatting>
  <conditionalFormatting sqref="D2573">
    <cfRule type="cellIs" dxfId="1" priority="5456" operator="equal">
      <formula>0</formula>
    </cfRule>
  </conditionalFormatting>
  <conditionalFormatting sqref="D2574">
    <cfRule type="cellIs" dxfId="1" priority="5457" operator="equal">
      <formula>0</formula>
    </cfRule>
  </conditionalFormatting>
  <conditionalFormatting sqref="D2582">
    <cfRule type="expression" dxfId="0" priority="5470">
      <formula>D2583=0</formula>
    </cfRule>
  </conditionalFormatting>
  <conditionalFormatting sqref="D2583">
    <cfRule type="cellIs" dxfId="1" priority="5472" operator="equal">
      <formula>0</formula>
    </cfRule>
  </conditionalFormatting>
  <conditionalFormatting sqref="D2589">
    <cfRule type="cellIs" dxfId="1" priority="5479" operator="equal">
      <formula>0</formula>
    </cfRule>
  </conditionalFormatting>
  <conditionalFormatting sqref="D259">
    <cfRule type="cellIs" dxfId="1" priority="610" operator="equal">
      <formula>0</formula>
    </cfRule>
  </conditionalFormatting>
  <conditionalFormatting sqref="D2593">
    <cfRule type="cellIs" dxfId="1" priority="5484" operator="equal">
      <formula>0</formula>
    </cfRule>
  </conditionalFormatting>
  <conditionalFormatting sqref="D2601">
    <cfRule type="expression" dxfId="0" priority="5486">
      <formula>D2602=0</formula>
    </cfRule>
  </conditionalFormatting>
  <conditionalFormatting sqref="D2602">
    <cfRule type="cellIs" dxfId="1" priority="5492" operator="equal">
      <formula>0</formula>
    </cfRule>
  </conditionalFormatting>
  <conditionalFormatting sqref="D2603">
    <cfRule type="cellIs" dxfId="1" priority="5498" operator="equal">
      <formula>0</formula>
    </cfRule>
  </conditionalFormatting>
  <conditionalFormatting sqref="D2604">
    <cfRule type="cellIs" dxfId="1" priority="5504" operator="equal">
      <formula>0</formula>
    </cfRule>
  </conditionalFormatting>
  <conditionalFormatting sqref="D2606">
    <cfRule type="expression" dxfId="0" priority="5507">
      <formula>D2607=0</formula>
    </cfRule>
  </conditionalFormatting>
  <conditionalFormatting sqref="D2607">
    <cfRule type="cellIs" dxfId="1" priority="5509" operator="equal">
      <formula>0</formula>
    </cfRule>
  </conditionalFormatting>
  <conditionalFormatting sqref="D2608">
    <cfRule type="cellIs" dxfId="1" priority="5511" operator="equal">
      <formula>0</formula>
    </cfRule>
  </conditionalFormatting>
  <conditionalFormatting sqref="D2609">
    <cfRule type="cellIs" dxfId="1" priority="5512" operator="equal">
      <formula>0</formula>
    </cfRule>
  </conditionalFormatting>
  <conditionalFormatting sqref="D2622">
    <cfRule type="expression" dxfId="0" priority="5518">
      <formula>D2623=0</formula>
    </cfRule>
  </conditionalFormatting>
  <conditionalFormatting sqref="D2623">
    <cfRule type="cellIs" dxfId="1" priority="5522" operator="equal">
      <formula>0</formula>
    </cfRule>
  </conditionalFormatting>
  <conditionalFormatting sqref="D2624">
    <cfRule type="cellIs" dxfId="1" priority="5526" operator="equal">
      <formula>0</formula>
    </cfRule>
  </conditionalFormatting>
  <conditionalFormatting sqref="D2625">
    <cfRule type="cellIs" dxfId="1" priority="5530" operator="equal">
      <formula>0</formula>
    </cfRule>
  </conditionalFormatting>
  <conditionalFormatting sqref="D2626">
    <cfRule type="cellIs" dxfId="1" priority="5534" operator="equal">
      <formula>0</formula>
    </cfRule>
  </conditionalFormatting>
  <conditionalFormatting sqref="D2627">
    <cfRule type="cellIs" dxfId="1" priority="5538" operator="equal">
      <formula>0</formula>
    </cfRule>
  </conditionalFormatting>
  <conditionalFormatting sqref="D2629">
    <cfRule type="expression" dxfId="0" priority="5542">
      <formula>D2630=0</formula>
    </cfRule>
  </conditionalFormatting>
  <conditionalFormatting sqref="D2630">
    <cfRule type="cellIs" dxfId="1" priority="5544" operator="equal">
      <formula>0</formula>
    </cfRule>
  </conditionalFormatting>
  <conditionalFormatting sqref="D2631">
    <cfRule type="cellIs" dxfId="1" priority="5546" operator="equal">
      <formula>0</formula>
    </cfRule>
  </conditionalFormatting>
  <conditionalFormatting sqref="D2632">
    <cfRule type="cellIs" dxfId="1" priority="5548" operator="equal">
      <formula>0</formula>
    </cfRule>
  </conditionalFormatting>
  <conditionalFormatting sqref="D2633">
    <cfRule type="cellIs" dxfId="1" priority="5550" operator="equal">
      <formula>0</formula>
    </cfRule>
  </conditionalFormatting>
  <conditionalFormatting sqref="D2634">
    <cfRule type="cellIs" dxfId="1" priority="5552" operator="equal">
      <formula>0</formula>
    </cfRule>
  </conditionalFormatting>
  <conditionalFormatting sqref="D2649">
    <cfRule type="expression" dxfId="0" priority="5560">
      <formula>D2650=0</formula>
    </cfRule>
  </conditionalFormatting>
  <conditionalFormatting sqref="D2650">
    <cfRule type="cellIs" dxfId="1" priority="5567" operator="equal">
      <formula>0</formula>
    </cfRule>
  </conditionalFormatting>
  <conditionalFormatting sqref="D2651">
    <cfRule type="cellIs" dxfId="1" priority="5574" operator="equal">
      <formula>0</formula>
    </cfRule>
  </conditionalFormatting>
  <conditionalFormatting sqref="D2652">
    <cfRule type="cellIs" dxfId="1" priority="5579" operator="equal">
      <formula>0</formula>
    </cfRule>
  </conditionalFormatting>
  <conditionalFormatting sqref="D2653">
    <cfRule type="cellIs" dxfId="1" priority="5583" operator="equal">
      <formula>0</formula>
    </cfRule>
  </conditionalFormatting>
  <conditionalFormatting sqref="D2654">
    <cfRule type="cellIs" dxfId="1" priority="5587" operator="equal">
      <formula>0</formula>
    </cfRule>
  </conditionalFormatting>
  <conditionalFormatting sqref="D2655">
    <cfRule type="cellIs" dxfId="1" priority="5592" operator="equal">
      <formula>0</formula>
    </cfRule>
  </conditionalFormatting>
  <conditionalFormatting sqref="D2657">
    <cfRule type="expression" dxfId="0" priority="5597">
      <formula>D2658=0</formula>
    </cfRule>
  </conditionalFormatting>
  <conditionalFormatting sqref="D2658">
    <cfRule type="cellIs" dxfId="1" priority="5601" operator="equal">
      <formula>0</formula>
    </cfRule>
  </conditionalFormatting>
  <conditionalFormatting sqref="D2659">
    <cfRule type="cellIs" dxfId="1" priority="5605" operator="equal">
      <formula>0</formula>
    </cfRule>
  </conditionalFormatting>
  <conditionalFormatting sqref="D2665">
    <cfRule type="expression" dxfId="0" priority="5613">
      <formula>D2666=0</formula>
    </cfRule>
  </conditionalFormatting>
  <conditionalFormatting sqref="D2666">
    <cfRule type="cellIs" dxfId="1" priority="5616" operator="equal">
      <formula>0</formula>
    </cfRule>
  </conditionalFormatting>
  <conditionalFormatting sqref="D2667">
    <cfRule type="cellIs" dxfId="1" priority="5619" operator="equal">
      <formula>0</formula>
    </cfRule>
  </conditionalFormatting>
  <conditionalFormatting sqref="D267">
    <cfRule type="expression" dxfId="0" priority="612">
      <formula>D268=0</formula>
    </cfRule>
  </conditionalFormatting>
  <conditionalFormatting sqref="D2671">
    <cfRule type="cellIs" dxfId="1" priority="5625" operator="equal">
      <formula>0</formula>
    </cfRule>
  </conditionalFormatting>
  <conditionalFormatting sqref="D2679">
    <cfRule type="expression" dxfId="0" priority="5627">
      <formula>D2680=0</formula>
    </cfRule>
  </conditionalFormatting>
  <conditionalFormatting sqref="D268">
    <cfRule type="cellIs" dxfId="1" priority="624" operator="equal">
      <formula>0</formula>
    </cfRule>
  </conditionalFormatting>
  <conditionalFormatting sqref="D2680">
    <cfRule type="cellIs" dxfId="1" priority="5632" operator="equal">
      <formula>0</formula>
    </cfRule>
  </conditionalFormatting>
  <conditionalFormatting sqref="D2681">
    <cfRule type="cellIs" dxfId="1" priority="5637" operator="equal">
      <formula>0</formula>
    </cfRule>
  </conditionalFormatting>
  <conditionalFormatting sqref="D2682">
    <cfRule type="cellIs" dxfId="1" priority="5640" operator="equal">
      <formula>0</formula>
    </cfRule>
  </conditionalFormatting>
  <conditionalFormatting sqref="D2683">
    <cfRule type="cellIs" dxfId="1" priority="5644" operator="equal">
      <formula>0</formula>
    </cfRule>
  </conditionalFormatting>
  <conditionalFormatting sqref="D2684">
    <cfRule type="cellIs" dxfId="1" priority="5648" operator="equal">
      <formula>0</formula>
    </cfRule>
  </conditionalFormatting>
  <conditionalFormatting sqref="D2686">
    <cfRule type="expression" dxfId="0" priority="5653">
      <formula>D2687=0</formula>
    </cfRule>
  </conditionalFormatting>
  <conditionalFormatting sqref="D2687">
    <cfRule type="cellIs" dxfId="1" priority="5656" operator="equal">
      <formula>0</formula>
    </cfRule>
  </conditionalFormatting>
  <conditionalFormatting sqref="D2688">
    <cfRule type="cellIs" dxfId="1" priority="5659" operator="equal">
      <formula>0</formula>
    </cfRule>
  </conditionalFormatting>
  <conditionalFormatting sqref="D2689">
    <cfRule type="cellIs" dxfId="1" priority="5661" operator="equal">
      <formula>0</formula>
    </cfRule>
  </conditionalFormatting>
  <conditionalFormatting sqref="D269">
    <cfRule type="cellIs" dxfId="1" priority="636" operator="equal">
      <formula>0</formula>
    </cfRule>
  </conditionalFormatting>
  <conditionalFormatting sqref="D2690">
    <cfRule type="cellIs" dxfId="1" priority="5663" operator="equal">
      <formula>0</formula>
    </cfRule>
  </conditionalFormatting>
  <conditionalFormatting sqref="D2691">
    <cfRule type="cellIs" dxfId="1" priority="5664" operator="equal">
      <formula>0</formula>
    </cfRule>
  </conditionalFormatting>
  <conditionalFormatting sqref="D2693">
    <cfRule type="expression" dxfId="0" priority="5667">
      <formula>D2694=0</formula>
    </cfRule>
  </conditionalFormatting>
  <conditionalFormatting sqref="D2694">
    <cfRule type="cellIs" dxfId="1" priority="5669" operator="equal">
      <formula>0</formula>
    </cfRule>
  </conditionalFormatting>
  <conditionalFormatting sqref="D2695">
    <cfRule type="cellIs" dxfId="1" priority="5671" operator="equal">
      <formula>0</formula>
    </cfRule>
  </conditionalFormatting>
  <conditionalFormatting sqref="D2696">
    <cfRule type="cellIs" dxfId="1" priority="5673" operator="equal">
      <formula>0</formula>
    </cfRule>
  </conditionalFormatting>
  <conditionalFormatting sqref="D2697">
    <cfRule type="cellIs" dxfId="1" priority="5675" operator="equal">
      <formula>0</formula>
    </cfRule>
  </conditionalFormatting>
  <conditionalFormatting sqref="D2698">
    <cfRule type="cellIs" dxfId="1" priority="5676" operator="equal">
      <formula>0</formula>
    </cfRule>
  </conditionalFormatting>
  <conditionalFormatting sqref="D27">
    <cfRule type="expression" dxfId="0" priority="2">
      <formula>D28=0</formula>
    </cfRule>
  </conditionalFormatting>
  <conditionalFormatting sqref="D2706">
    <cfRule type="expression" dxfId="0" priority="5678">
      <formula>D2707=0</formula>
    </cfRule>
  </conditionalFormatting>
  <conditionalFormatting sqref="D2707">
    <cfRule type="cellIs" dxfId="1" priority="5685" operator="equal">
      <formula>0</formula>
    </cfRule>
  </conditionalFormatting>
  <conditionalFormatting sqref="D2708">
    <cfRule type="cellIs" dxfId="1" priority="5692" operator="equal">
      <formula>0</formula>
    </cfRule>
  </conditionalFormatting>
  <conditionalFormatting sqref="D2709">
    <cfRule type="cellIs" dxfId="1" priority="5697" operator="equal">
      <formula>0</formula>
    </cfRule>
  </conditionalFormatting>
  <conditionalFormatting sqref="D271">
    <cfRule type="cellIs" dxfId="1" priority="646" operator="equal">
      <formula>0</formula>
    </cfRule>
  </conditionalFormatting>
  <conditionalFormatting sqref="D2712">
    <cfRule type="expression" dxfId="0" priority="5705">
      <formula>D2713=0</formula>
    </cfRule>
  </conditionalFormatting>
  <conditionalFormatting sqref="D2713">
    <cfRule type="cellIs" dxfId="1" priority="5707" operator="equal">
      <formula>0</formula>
    </cfRule>
  </conditionalFormatting>
  <conditionalFormatting sqref="D2714">
    <cfRule type="cellIs" dxfId="1" priority="5709" operator="equal">
      <formula>0</formula>
    </cfRule>
  </conditionalFormatting>
  <conditionalFormatting sqref="D2715">
    <cfRule type="cellIs" dxfId="1" priority="5711" operator="equal">
      <formula>0</formula>
    </cfRule>
  </conditionalFormatting>
  <conditionalFormatting sqref="D2716">
    <cfRule type="cellIs" dxfId="1" priority="5713" operator="equal">
      <formula>0</formula>
    </cfRule>
  </conditionalFormatting>
  <conditionalFormatting sqref="D272">
    <cfRule type="cellIs" dxfId="1" priority="651" operator="equal">
      <formula>0</formula>
    </cfRule>
  </conditionalFormatting>
  <conditionalFormatting sqref="D273">
    <cfRule type="cellIs" dxfId="1" priority="656" operator="equal">
      <formula>0</formula>
    </cfRule>
  </conditionalFormatting>
  <conditionalFormatting sqref="D2730">
    <cfRule type="expression" dxfId="0" priority="5720">
      <formula>D2731=0</formula>
    </cfRule>
  </conditionalFormatting>
  <conditionalFormatting sqref="D2731">
    <cfRule type="cellIs" dxfId="1" priority="5727" operator="equal">
      <formula>0</formula>
    </cfRule>
  </conditionalFormatting>
  <conditionalFormatting sqref="D2732">
    <cfRule type="cellIs" dxfId="1" priority="5734" operator="equal">
      <formula>0</formula>
    </cfRule>
  </conditionalFormatting>
  <conditionalFormatting sqref="D274">
    <cfRule type="cellIs" dxfId="1" priority="661" operator="equal">
      <formula>0</formula>
    </cfRule>
  </conditionalFormatting>
  <conditionalFormatting sqref="D275">
    <cfRule type="cellIs" dxfId="1" priority="667" operator="equal">
      <formula>0</formula>
    </cfRule>
  </conditionalFormatting>
  <conditionalFormatting sqref="D276">
    <cfRule type="cellIs" dxfId="1" priority="672" operator="equal">
      <formula>0</formula>
    </cfRule>
  </conditionalFormatting>
  <conditionalFormatting sqref="D277">
    <cfRule type="cellIs" dxfId="1" priority="676" operator="equal">
      <formula>0</formula>
    </cfRule>
  </conditionalFormatting>
  <conditionalFormatting sqref="D278">
    <cfRule type="cellIs" dxfId="1" priority="681" operator="equal">
      <formula>0</formula>
    </cfRule>
  </conditionalFormatting>
  <conditionalFormatting sqref="D279">
    <cfRule type="cellIs" dxfId="1" priority="686" operator="equal">
      <formula>0</formula>
    </cfRule>
  </conditionalFormatting>
  <conditionalFormatting sqref="D28">
    <cfRule type="cellIs" dxfId="1" priority="14" operator="equal">
      <formula>0</formula>
    </cfRule>
  </conditionalFormatting>
  <conditionalFormatting sqref="D280">
    <cfRule type="cellIs" dxfId="1" priority="690" operator="equal">
      <formula>0</formula>
    </cfRule>
  </conditionalFormatting>
  <conditionalFormatting sqref="D283">
    <cfRule type="cellIs" dxfId="1" priority="700" operator="equal">
      <formula>0</formula>
    </cfRule>
  </conditionalFormatting>
  <conditionalFormatting sqref="D285">
    <cfRule type="cellIs" dxfId="1" priority="709" operator="equal">
      <formula>0</formula>
    </cfRule>
  </conditionalFormatting>
  <conditionalFormatting sqref="D287">
    <cfRule type="cellIs" dxfId="1" priority="718" operator="equal">
      <formula>0</formula>
    </cfRule>
  </conditionalFormatting>
  <conditionalFormatting sqref="D288">
    <cfRule type="cellIs" dxfId="1" priority="723" operator="equal">
      <formula>0</formula>
    </cfRule>
  </conditionalFormatting>
  <conditionalFormatting sqref="D289">
    <cfRule type="cellIs" dxfId="1" priority="728" operator="equal">
      <formula>0</formula>
    </cfRule>
  </conditionalFormatting>
  <conditionalFormatting sqref="D29">
    <cfRule type="cellIs" dxfId="1" priority="26" operator="equal">
      <formula>0</formula>
    </cfRule>
  </conditionalFormatting>
  <conditionalFormatting sqref="D290">
    <cfRule type="cellIs" dxfId="1" priority="732" operator="equal">
      <formula>0</formula>
    </cfRule>
  </conditionalFormatting>
  <conditionalFormatting sqref="D291">
    <cfRule type="cellIs" dxfId="1" priority="736" operator="equal">
      <formula>0</formula>
    </cfRule>
  </conditionalFormatting>
  <conditionalFormatting sqref="D292">
    <cfRule type="cellIs" dxfId="1" priority="740" operator="equal">
      <formula>0</formula>
    </cfRule>
  </conditionalFormatting>
  <conditionalFormatting sqref="D293">
    <cfRule type="cellIs" dxfId="1" priority="744" operator="equal">
      <formula>0</formula>
    </cfRule>
  </conditionalFormatting>
  <conditionalFormatting sqref="D295">
    <cfRule type="expression" dxfId="0" priority="749">
      <formula>D296=0</formula>
    </cfRule>
  </conditionalFormatting>
  <conditionalFormatting sqref="D296">
    <cfRule type="cellIs" dxfId="1" priority="757" operator="equal">
      <formula>0</formula>
    </cfRule>
  </conditionalFormatting>
  <conditionalFormatting sqref="D297">
    <cfRule type="cellIs" dxfId="1" priority="765" operator="equal">
      <formula>0</formula>
    </cfRule>
  </conditionalFormatting>
  <conditionalFormatting sqref="D298">
    <cfRule type="cellIs" dxfId="1" priority="766" operator="equal">
      <formula>0</formula>
    </cfRule>
  </conditionalFormatting>
  <conditionalFormatting sqref="D30">
    <cfRule type="cellIs" dxfId="1" priority="30" operator="equal">
      <formula>0</formula>
    </cfRule>
  </conditionalFormatting>
  <conditionalFormatting sqref="D301">
    <cfRule type="cellIs" dxfId="1" priority="772" operator="equal">
      <formula>0</formula>
    </cfRule>
  </conditionalFormatting>
  <conditionalFormatting sqref="D303">
    <cfRule type="cellIs" dxfId="1" priority="774" operator="equal">
      <formula>0</formula>
    </cfRule>
  </conditionalFormatting>
  <conditionalFormatting sqref="D305">
    <cfRule type="cellIs" dxfId="1" priority="778" operator="equal">
      <formula>0</formula>
    </cfRule>
  </conditionalFormatting>
  <conditionalFormatting sqref="D31">
    <cfRule type="cellIs" dxfId="1" priority="35" operator="equal">
      <formula>0</formula>
    </cfRule>
  </conditionalFormatting>
  <conditionalFormatting sqref="D311">
    <cfRule type="cellIs" dxfId="1" priority="786" operator="equal">
      <formula>0</formula>
    </cfRule>
  </conditionalFormatting>
  <conditionalFormatting sqref="D315">
    <cfRule type="cellIs" dxfId="1" priority="794" operator="equal">
      <formula>0</formula>
    </cfRule>
  </conditionalFormatting>
  <conditionalFormatting sqref="D319">
    <cfRule type="cellIs" dxfId="1" priority="800" operator="equal">
      <formula>0</formula>
    </cfRule>
  </conditionalFormatting>
  <conditionalFormatting sqref="D32">
    <cfRule type="cellIs" dxfId="1" priority="39" operator="equal">
      <formula>0</formula>
    </cfRule>
  </conditionalFormatting>
  <conditionalFormatting sqref="D320">
    <cfRule type="cellIs" dxfId="1" priority="801" operator="equal">
      <formula>0</formula>
    </cfRule>
  </conditionalFormatting>
  <conditionalFormatting sqref="D323">
    <cfRule type="expression" dxfId="0" priority="805">
      <formula>D324=0</formula>
    </cfRule>
  </conditionalFormatting>
  <conditionalFormatting sqref="D324">
    <cfRule type="cellIs" dxfId="1" priority="809" operator="equal">
      <formula>0</formula>
    </cfRule>
  </conditionalFormatting>
  <conditionalFormatting sqref="D326">
    <cfRule type="cellIs" dxfId="1" priority="814" operator="equal">
      <formula>0</formula>
    </cfRule>
  </conditionalFormatting>
  <conditionalFormatting sqref="D33">
    <cfRule type="cellIs" dxfId="1" priority="44" operator="equal">
      <formula>0</formula>
    </cfRule>
  </conditionalFormatting>
  <conditionalFormatting sqref="D34">
    <cfRule type="cellIs" dxfId="1" priority="48" operator="equal">
      <formula>0</formula>
    </cfRule>
  </conditionalFormatting>
  <conditionalFormatting sqref="D348">
    <cfRule type="cellIs" dxfId="1" priority="838" operator="equal">
      <formula>0</formula>
    </cfRule>
  </conditionalFormatting>
  <conditionalFormatting sqref="D35">
    <cfRule type="cellIs" dxfId="1" priority="53" operator="equal">
      <formula>0</formula>
    </cfRule>
  </conditionalFormatting>
  <conditionalFormatting sqref="D357">
    <cfRule type="expression" dxfId="0" priority="842">
      <formula>D358=0</formula>
    </cfRule>
  </conditionalFormatting>
  <conditionalFormatting sqref="D358">
    <cfRule type="cellIs" dxfId="1" priority="848" operator="equal">
      <formula>0</formula>
    </cfRule>
  </conditionalFormatting>
  <conditionalFormatting sqref="D359">
    <cfRule type="cellIs" dxfId="1" priority="854" operator="equal">
      <formula>0</formula>
    </cfRule>
  </conditionalFormatting>
  <conditionalFormatting sqref="D360">
    <cfRule type="cellIs" dxfId="1" priority="858" operator="equal">
      <formula>0</formula>
    </cfRule>
  </conditionalFormatting>
  <conditionalFormatting sqref="D361">
    <cfRule type="cellIs" dxfId="1" priority="862" operator="equal">
      <formula>0</formula>
    </cfRule>
  </conditionalFormatting>
  <conditionalFormatting sqref="D362">
    <cfRule type="cellIs" dxfId="1" priority="866" operator="equal">
      <formula>0</formula>
    </cfRule>
  </conditionalFormatting>
  <conditionalFormatting sqref="D363">
    <cfRule type="cellIs" dxfId="1" priority="870" operator="equal">
      <formula>0</formula>
    </cfRule>
  </conditionalFormatting>
  <conditionalFormatting sqref="D365">
    <cfRule type="expression" dxfId="0" priority="874">
      <formula>D366=0</formula>
    </cfRule>
  </conditionalFormatting>
  <conditionalFormatting sqref="D366">
    <cfRule type="cellIs" dxfId="1" priority="877" operator="equal">
      <formula>0</formula>
    </cfRule>
  </conditionalFormatting>
  <conditionalFormatting sqref="D367">
    <cfRule type="cellIs" dxfId="1" priority="880" operator="equal">
      <formula>0</formula>
    </cfRule>
  </conditionalFormatting>
  <conditionalFormatting sqref="D368">
    <cfRule type="cellIs" dxfId="1" priority="882" operator="equal">
      <formula>0</formula>
    </cfRule>
  </conditionalFormatting>
  <conditionalFormatting sqref="D369">
    <cfRule type="cellIs" dxfId="1" priority="884" operator="equal">
      <formula>0</formula>
    </cfRule>
  </conditionalFormatting>
  <conditionalFormatting sqref="D37">
    <cfRule type="cellIs" dxfId="1" priority="63" operator="equal">
      <formula>0</formula>
    </cfRule>
  </conditionalFormatting>
  <conditionalFormatting sqref="D371">
    <cfRule type="cellIs" dxfId="1" priority="887" operator="equal">
      <formula>0</formula>
    </cfRule>
  </conditionalFormatting>
  <conditionalFormatting sqref="D373">
    <cfRule type="expression" dxfId="0" priority="889">
      <formula>D374=0</formula>
    </cfRule>
  </conditionalFormatting>
  <conditionalFormatting sqref="D374">
    <cfRule type="cellIs" dxfId="1" priority="891" operator="equal">
      <formula>0</formula>
    </cfRule>
  </conditionalFormatting>
  <conditionalFormatting sqref="D375">
    <cfRule type="cellIs" dxfId="1" priority="893" operator="equal">
      <formula>0</formula>
    </cfRule>
  </conditionalFormatting>
  <conditionalFormatting sqref="D376">
    <cfRule type="cellIs" dxfId="1" priority="895" operator="equal">
      <formula>0</formula>
    </cfRule>
  </conditionalFormatting>
  <conditionalFormatting sqref="D378">
    <cfRule type="cellIs" dxfId="1" priority="897" operator="equal">
      <formula>0</formula>
    </cfRule>
  </conditionalFormatting>
  <conditionalFormatting sqref="D379">
    <cfRule type="cellIs" dxfId="1" priority="899" operator="equal">
      <formula>0</formula>
    </cfRule>
  </conditionalFormatting>
  <conditionalFormatting sqref="D38">
    <cfRule type="cellIs" dxfId="1" priority="68" operator="equal">
      <formula>0</formula>
    </cfRule>
  </conditionalFormatting>
  <conditionalFormatting sqref="D387">
    <cfRule type="expression" dxfId="0" priority="901">
      <formula>D388=0</formula>
    </cfRule>
  </conditionalFormatting>
  <conditionalFormatting sqref="D388">
    <cfRule type="cellIs" dxfId="1" priority="908" operator="equal">
      <formula>0</formula>
    </cfRule>
  </conditionalFormatting>
  <conditionalFormatting sqref="D389">
    <cfRule type="cellIs" dxfId="1" priority="915" operator="equal">
      <formula>0</formula>
    </cfRule>
  </conditionalFormatting>
  <conditionalFormatting sqref="D390">
    <cfRule type="cellIs" dxfId="1" priority="918" operator="equal">
      <formula>0</formula>
    </cfRule>
  </conditionalFormatting>
  <conditionalFormatting sqref="D391">
    <cfRule type="cellIs" dxfId="1" priority="923" operator="equal">
      <formula>0</formula>
    </cfRule>
  </conditionalFormatting>
  <conditionalFormatting sqref="D393">
    <cfRule type="expression" dxfId="0" priority="929">
      <formula>D394=0</formula>
    </cfRule>
  </conditionalFormatting>
  <conditionalFormatting sqref="D394">
    <cfRule type="cellIs" dxfId="1" priority="931" operator="equal">
      <formula>0</formula>
    </cfRule>
  </conditionalFormatting>
  <conditionalFormatting sqref="D396">
    <cfRule type="cellIs" dxfId="1" priority="934" operator="equal">
      <formula>0</formula>
    </cfRule>
  </conditionalFormatting>
  <conditionalFormatting sqref="D41">
    <cfRule type="cellIs" dxfId="1" priority="78" operator="equal">
      <formula>0</formula>
    </cfRule>
  </conditionalFormatting>
  <conditionalFormatting sqref="D411">
    <cfRule type="expression" dxfId="0" priority="942">
      <formula>D412=0</formula>
    </cfRule>
  </conditionalFormatting>
  <conditionalFormatting sqref="D412">
    <cfRule type="cellIs" dxfId="1" priority="946" operator="equal">
      <formula>0</formula>
    </cfRule>
  </conditionalFormatting>
  <conditionalFormatting sqref="D413">
    <cfRule type="cellIs" dxfId="1" priority="950" operator="equal">
      <formula>0</formula>
    </cfRule>
  </conditionalFormatting>
  <conditionalFormatting sqref="D42">
    <cfRule type="cellIs" dxfId="1" priority="83" operator="equal">
      <formula>0</formula>
    </cfRule>
  </conditionalFormatting>
  <conditionalFormatting sqref="D429">
    <cfRule type="expression" dxfId="0" priority="960">
      <formula>D430=0</formula>
    </cfRule>
  </conditionalFormatting>
  <conditionalFormatting sqref="D43">
    <cfRule type="cellIs" dxfId="1" priority="87" operator="equal">
      <formula>0</formula>
    </cfRule>
  </conditionalFormatting>
  <conditionalFormatting sqref="D430">
    <cfRule type="cellIs" dxfId="1" priority="970" operator="equal">
      <formula>0</formula>
    </cfRule>
  </conditionalFormatting>
  <conditionalFormatting sqref="D431">
    <cfRule type="cellIs" dxfId="1" priority="980" operator="equal">
      <formula>0</formula>
    </cfRule>
  </conditionalFormatting>
  <conditionalFormatting sqref="D432">
    <cfRule type="cellIs" dxfId="1" priority="985" operator="equal">
      <formula>0</formula>
    </cfRule>
  </conditionalFormatting>
  <conditionalFormatting sqref="D433">
    <cfRule type="cellIs" dxfId="1" priority="990" operator="equal">
      <formula>0</formula>
    </cfRule>
  </conditionalFormatting>
  <conditionalFormatting sqref="D434">
    <cfRule type="cellIs" dxfId="1" priority="994" operator="equal">
      <formula>0</formula>
    </cfRule>
  </conditionalFormatting>
  <conditionalFormatting sqref="D435">
    <cfRule type="cellIs" dxfId="1" priority="999" operator="equal">
      <formula>0</formula>
    </cfRule>
  </conditionalFormatting>
  <conditionalFormatting sqref="D436">
    <cfRule type="cellIs" dxfId="1" priority="1004" operator="equal">
      <formula>0</formula>
    </cfRule>
  </conditionalFormatting>
  <conditionalFormatting sqref="D437">
    <cfRule type="cellIs" dxfId="1" priority="1010" operator="equal">
      <formula>0</formula>
    </cfRule>
  </conditionalFormatting>
  <conditionalFormatting sqref="D438">
    <cfRule type="cellIs" dxfId="1" priority="1015" operator="equal">
      <formula>0</formula>
    </cfRule>
  </conditionalFormatting>
  <conditionalFormatting sqref="D44">
    <cfRule type="cellIs" dxfId="1" priority="92" operator="equal">
      <formula>0</formula>
    </cfRule>
  </conditionalFormatting>
  <conditionalFormatting sqref="D440">
    <cfRule type="expression" dxfId="0" priority="1019">
      <formula>D441=0</formula>
    </cfRule>
  </conditionalFormatting>
  <conditionalFormatting sqref="D441">
    <cfRule type="cellIs" dxfId="1" priority="1024" operator="equal">
      <formula>0</formula>
    </cfRule>
  </conditionalFormatting>
  <conditionalFormatting sqref="D442">
    <cfRule type="cellIs" dxfId="1" priority="1029" operator="equal">
      <formula>0</formula>
    </cfRule>
  </conditionalFormatting>
  <conditionalFormatting sqref="D449">
    <cfRule type="cellIs" dxfId="1" priority="1042" operator="equal">
      <formula>0</formula>
    </cfRule>
  </conditionalFormatting>
  <conditionalFormatting sqref="D45">
    <cfRule type="cellIs" dxfId="1" priority="96" operator="equal">
      <formula>0</formula>
    </cfRule>
  </conditionalFormatting>
  <conditionalFormatting sqref="D451">
    <cfRule type="expression" dxfId="0" priority="1045">
      <formula>D452=0</formula>
    </cfRule>
  </conditionalFormatting>
  <conditionalFormatting sqref="D452">
    <cfRule type="cellIs" dxfId="1" priority="1048" operator="equal">
      <formula>0</formula>
    </cfRule>
  </conditionalFormatting>
  <conditionalFormatting sqref="D454">
    <cfRule type="cellIs" dxfId="1" priority="1051" operator="equal">
      <formula>0</formula>
    </cfRule>
  </conditionalFormatting>
  <conditionalFormatting sqref="D455">
    <cfRule type="cellIs" dxfId="1" priority="1052" operator="equal">
      <formula>0</formula>
    </cfRule>
  </conditionalFormatting>
  <conditionalFormatting sqref="D456">
    <cfRule type="cellIs" dxfId="1" priority="1053" operator="equal">
      <formula>0</formula>
    </cfRule>
  </conditionalFormatting>
  <conditionalFormatting sqref="D457">
    <cfRule type="cellIs" dxfId="1" priority="1054" operator="equal">
      <formula>0</formula>
    </cfRule>
  </conditionalFormatting>
  <conditionalFormatting sqref="D458">
    <cfRule type="cellIs" dxfId="1" priority="1055" operator="equal">
      <formula>0</formula>
    </cfRule>
  </conditionalFormatting>
  <conditionalFormatting sqref="D459">
    <cfRule type="cellIs" dxfId="1" priority="1056" operator="equal">
      <formula>0</formula>
    </cfRule>
  </conditionalFormatting>
  <conditionalFormatting sqref="D460">
    <cfRule type="cellIs" dxfId="1" priority="1057" operator="equal">
      <formula>0</formula>
    </cfRule>
  </conditionalFormatting>
  <conditionalFormatting sqref="D468">
    <cfRule type="expression" dxfId="0" priority="1060">
      <formula>D469=0</formula>
    </cfRule>
  </conditionalFormatting>
  <conditionalFormatting sqref="D469">
    <cfRule type="cellIs" dxfId="1" priority="1069" operator="equal">
      <formula>0</formula>
    </cfRule>
  </conditionalFormatting>
  <conditionalFormatting sqref="D47">
    <cfRule type="cellIs" dxfId="1" priority="105" operator="equal">
      <formula>0</formula>
    </cfRule>
  </conditionalFormatting>
  <conditionalFormatting sqref="D470">
    <cfRule type="cellIs" dxfId="1" priority="1078" operator="equal">
      <formula>0</formula>
    </cfRule>
  </conditionalFormatting>
  <conditionalFormatting sqref="D471">
    <cfRule type="cellIs" dxfId="1" priority="1083" operator="equal">
      <formula>0</formula>
    </cfRule>
  </conditionalFormatting>
  <conditionalFormatting sqref="D472">
    <cfRule type="cellIs" dxfId="1" priority="1088" operator="equal">
      <formula>0</formula>
    </cfRule>
  </conditionalFormatting>
  <conditionalFormatting sqref="D473">
    <cfRule type="cellIs" dxfId="1" priority="1092" operator="equal">
      <formula>0</formula>
    </cfRule>
  </conditionalFormatting>
  <conditionalFormatting sqref="D474">
    <cfRule type="cellIs" dxfId="1" priority="1096" operator="equal">
      <formula>0</formula>
    </cfRule>
  </conditionalFormatting>
  <conditionalFormatting sqref="D476">
    <cfRule type="cellIs" dxfId="1" priority="1105" operator="equal">
      <formula>0</formula>
    </cfRule>
  </conditionalFormatting>
  <conditionalFormatting sqref="D478">
    <cfRule type="expression" dxfId="0" priority="1110">
      <formula>D479=0</formula>
    </cfRule>
  </conditionalFormatting>
  <conditionalFormatting sqref="D479">
    <cfRule type="cellIs" dxfId="1" priority="1116" operator="equal">
      <formula>0</formula>
    </cfRule>
  </conditionalFormatting>
  <conditionalFormatting sqref="D48">
    <cfRule type="cellIs" dxfId="1" priority="110" operator="equal">
      <formula>0</formula>
    </cfRule>
  </conditionalFormatting>
  <conditionalFormatting sqref="D480">
    <cfRule type="cellIs" dxfId="1" priority="1122" operator="equal">
      <formula>0</formula>
    </cfRule>
  </conditionalFormatting>
  <conditionalFormatting sqref="D482">
    <cfRule type="cellIs" dxfId="1" priority="1125" operator="equal">
      <formula>0</formula>
    </cfRule>
  </conditionalFormatting>
  <conditionalFormatting sqref="D488">
    <cfRule type="expression" dxfId="0" priority="1133">
      <formula>D489=0</formula>
    </cfRule>
  </conditionalFormatting>
  <conditionalFormatting sqref="D489">
    <cfRule type="cellIs" dxfId="1" priority="1135" operator="equal">
      <formula>0</formula>
    </cfRule>
  </conditionalFormatting>
  <conditionalFormatting sqref="D49">
    <cfRule type="cellIs" dxfId="1" priority="116" operator="equal">
      <formula>0</formula>
    </cfRule>
  </conditionalFormatting>
  <conditionalFormatting sqref="D493">
    <cfRule type="cellIs" dxfId="1" priority="1139" operator="equal">
      <formula>0</formula>
    </cfRule>
  </conditionalFormatting>
  <conditionalFormatting sqref="D496">
    <cfRule type="cellIs" dxfId="1" priority="1143" operator="equal">
      <formula>0</formula>
    </cfRule>
  </conditionalFormatting>
  <conditionalFormatting sqref="D50">
    <cfRule type="cellIs" dxfId="1" priority="121" operator="equal">
      <formula>0</formula>
    </cfRule>
  </conditionalFormatting>
  <conditionalFormatting sqref="D504">
    <cfRule type="expression" dxfId="0" priority="1145">
      <formula>D505=0</formula>
    </cfRule>
  </conditionalFormatting>
  <conditionalFormatting sqref="D505">
    <cfRule type="cellIs" dxfId="1" priority="1151" operator="equal">
      <formula>0</formula>
    </cfRule>
  </conditionalFormatting>
  <conditionalFormatting sqref="D506">
    <cfRule type="cellIs" dxfId="1" priority="1157" operator="equal">
      <formula>0</formula>
    </cfRule>
  </conditionalFormatting>
  <conditionalFormatting sqref="D507">
    <cfRule type="cellIs" dxfId="1" priority="1161" operator="equal">
      <formula>0</formula>
    </cfRule>
  </conditionalFormatting>
  <conditionalFormatting sqref="D508">
    <cfRule type="cellIs" dxfId="1" priority="1166" operator="equal">
      <formula>0</formula>
    </cfRule>
  </conditionalFormatting>
  <conditionalFormatting sqref="D509">
    <cfRule type="cellIs" dxfId="1" priority="1171" operator="equal">
      <formula>0</formula>
    </cfRule>
  </conditionalFormatting>
  <conditionalFormatting sqref="D510">
    <cfRule type="cellIs" dxfId="1" priority="1175" operator="equal">
      <formula>0</formula>
    </cfRule>
  </conditionalFormatting>
  <conditionalFormatting sqref="D512">
    <cfRule type="expression" dxfId="0" priority="1179">
      <formula>D513=0</formula>
    </cfRule>
  </conditionalFormatting>
  <conditionalFormatting sqref="D513">
    <cfRule type="cellIs" dxfId="1" priority="1183" operator="equal">
      <formula>0</formula>
    </cfRule>
  </conditionalFormatting>
  <conditionalFormatting sqref="D514">
    <cfRule type="cellIs" dxfId="1" priority="1187" operator="equal">
      <formula>0</formula>
    </cfRule>
  </conditionalFormatting>
  <conditionalFormatting sqref="D515">
    <cfRule type="cellIs" dxfId="1" priority="1189" operator="equal">
      <formula>0</formula>
    </cfRule>
  </conditionalFormatting>
  <conditionalFormatting sqref="D517">
    <cfRule type="cellIs" dxfId="1" priority="1193" operator="equal">
      <formula>0</formula>
    </cfRule>
  </conditionalFormatting>
  <conditionalFormatting sqref="D518">
    <cfRule type="cellIs" dxfId="1" priority="1195" operator="equal">
      <formula>0</formula>
    </cfRule>
  </conditionalFormatting>
  <conditionalFormatting sqref="D52">
    <cfRule type="cellIs" dxfId="1" priority="130" operator="equal">
      <formula>0</formula>
    </cfRule>
  </conditionalFormatting>
  <conditionalFormatting sqref="D520">
    <cfRule type="expression" dxfId="0" priority="1197">
      <formula>D521=0</formula>
    </cfRule>
  </conditionalFormatting>
  <conditionalFormatting sqref="D521">
    <cfRule type="cellIs" dxfId="1" priority="1199" operator="equal">
      <formula>0</formula>
    </cfRule>
  </conditionalFormatting>
  <conditionalFormatting sqref="D522">
    <cfRule type="cellIs" dxfId="1" priority="1201" operator="equal">
      <formula>0</formula>
    </cfRule>
  </conditionalFormatting>
  <conditionalFormatting sqref="D524">
    <cfRule type="cellIs" dxfId="1" priority="1203" operator="equal">
      <formula>0</formula>
    </cfRule>
  </conditionalFormatting>
  <conditionalFormatting sqref="D525">
    <cfRule type="cellIs" dxfId="1" priority="1205" operator="equal">
      <formula>0</formula>
    </cfRule>
  </conditionalFormatting>
  <conditionalFormatting sqref="D526">
    <cfRule type="cellIs" dxfId="1" priority="1207" operator="equal">
      <formula>0</formula>
    </cfRule>
  </conditionalFormatting>
  <conditionalFormatting sqref="D53">
    <cfRule type="cellIs" dxfId="1" priority="135" operator="equal">
      <formula>0</formula>
    </cfRule>
  </conditionalFormatting>
  <conditionalFormatting sqref="D534">
    <cfRule type="expression" dxfId="0" priority="1209">
      <formula>D535=0</formula>
    </cfRule>
  </conditionalFormatting>
  <conditionalFormatting sqref="D535">
    <cfRule type="cellIs" dxfId="1" priority="1214" operator="equal">
      <formula>0</formula>
    </cfRule>
  </conditionalFormatting>
  <conditionalFormatting sqref="D536">
    <cfRule type="cellIs" dxfId="1" priority="1219" operator="equal">
      <formula>0</formula>
    </cfRule>
  </conditionalFormatting>
  <conditionalFormatting sqref="D538">
    <cfRule type="expression" dxfId="0" priority="1224">
      <formula>D539=0</formula>
    </cfRule>
  </conditionalFormatting>
  <conditionalFormatting sqref="D539">
    <cfRule type="cellIs" dxfId="1" priority="1226" operator="equal">
      <formula>0</formula>
    </cfRule>
  </conditionalFormatting>
  <conditionalFormatting sqref="D540">
    <cfRule type="cellIs" dxfId="1" priority="1228" operator="equal">
      <formula>0</formula>
    </cfRule>
  </conditionalFormatting>
  <conditionalFormatting sqref="D542">
    <cfRule type="expression" dxfId="0" priority="1230">
      <formula>D543=0</formula>
    </cfRule>
  </conditionalFormatting>
  <conditionalFormatting sqref="D543">
    <cfRule type="cellIs" dxfId="1" priority="1232" operator="equal">
      <formula>0</formula>
    </cfRule>
  </conditionalFormatting>
  <conditionalFormatting sqref="D544">
    <cfRule type="cellIs" dxfId="1" priority="1234" operator="equal">
      <formula>0</formula>
    </cfRule>
  </conditionalFormatting>
  <conditionalFormatting sqref="D55">
    <cfRule type="expression" dxfId="0" priority="139">
      <formula>D56=0</formula>
    </cfRule>
  </conditionalFormatting>
  <conditionalFormatting sqref="D552">
    <cfRule type="expression" dxfId="0" priority="1236">
      <formula>D553=0</formula>
    </cfRule>
  </conditionalFormatting>
  <conditionalFormatting sqref="D553">
    <cfRule type="cellIs" dxfId="1" priority="1245" operator="equal">
      <formula>0</formula>
    </cfRule>
  </conditionalFormatting>
  <conditionalFormatting sqref="D554">
    <cfRule type="cellIs" dxfId="1" priority="1254" operator="equal">
      <formula>0</formula>
    </cfRule>
  </conditionalFormatting>
  <conditionalFormatting sqref="D555">
    <cfRule type="cellIs" dxfId="1" priority="1258" operator="equal">
      <formula>0</formula>
    </cfRule>
  </conditionalFormatting>
  <conditionalFormatting sqref="D556">
    <cfRule type="cellIs" dxfId="1" priority="1263" operator="equal">
      <formula>0</formula>
    </cfRule>
  </conditionalFormatting>
  <conditionalFormatting sqref="D557">
    <cfRule type="cellIs" dxfId="1" priority="1268" operator="equal">
      <formula>0</formula>
    </cfRule>
  </conditionalFormatting>
  <conditionalFormatting sqref="D558">
    <cfRule type="cellIs" dxfId="1" priority="1273" operator="equal">
      <formula>0</formula>
    </cfRule>
  </conditionalFormatting>
  <conditionalFormatting sqref="D559">
    <cfRule type="cellIs" dxfId="1" priority="1278" operator="equal">
      <formula>0</formula>
    </cfRule>
  </conditionalFormatting>
  <conditionalFormatting sqref="D56">
    <cfRule type="cellIs" dxfId="1" priority="147" operator="equal">
      <formula>0</formula>
    </cfRule>
  </conditionalFormatting>
  <conditionalFormatting sqref="D562">
    <cfRule type="expression" dxfId="0" priority="1287">
      <formula>D563=0</formula>
    </cfRule>
  </conditionalFormatting>
  <conditionalFormatting sqref="D563">
    <cfRule type="cellIs" dxfId="1" priority="1291" operator="equal">
      <formula>0</formula>
    </cfRule>
  </conditionalFormatting>
  <conditionalFormatting sqref="D564">
    <cfRule type="cellIs" dxfId="1" priority="1295" operator="equal">
      <formula>0</formula>
    </cfRule>
  </conditionalFormatting>
  <conditionalFormatting sqref="D566">
    <cfRule type="cellIs" dxfId="1" priority="1298" operator="equal">
      <formula>0</formula>
    </cfRule>
  </conditionalFormatting>
  <conditionalFormatting sqref="D567">
    <cfRule type="cellIs" dxfId="1" priority="1300" operator="equal">
      <formula>0</formula>
    </cfRule>
  </conditionalFormatting>
  <conditionalFormatting sqref="D57">
    <cfRule type="cellIs" dxfId="1" priority="155" operator="equal">
      <formula>0</formula>
    </cfRule>
  </conditionalFormatting>
  <conditionalFormatting sqref="D570">
    <cfRule type="cellIs" dxfId="1" priority="1305" operator="equal">
      <formula>0</formula>
    </cfRule>
  </conditionalFormatting>
  <conditionalFormatting sqref="D58">
    <cfRule type="cellIs" dxfId="1" priority="156" operator="equal">
      <formula>0</formula>
    </cfRule>
  </conditionalFormatting>
  <conditionalFormatting sqref="D588">
    <cfRule type="expression" dxfId="0" priority="1316">
      <formula>D589=0</formula>
    </cfRule>
  </conditionalFormatting>
  <conditionalFormatting sqref="D589">
    <cfRule type="cellIs" dxfId="1" priority="1323" operator="equal">
      <formula>0</formula>
    </cfRule>
  </conditionalFormatting>
  <conditionalFormatting sqref="D590">
    <cfRule type="cellIs" dxfId="1" priority="1330" operator="equal">
      <formula>0</formula>
    </cfRule>
  </conditionalFormatting>
  <conditionalFormatting sqref="D591">
    <cfRule type="cellIs" dxfId="1" priority="1335" operator="equal">
      <formula>0</formula>
    </cfRule>
  </conditionalFormatting>
  <conditionalFormatting sqref="D592">
    <cfRule type="cellIs" dxfId="1" priority="1339" operator="equal">
      <formula>0</formula>
    </cfRule>
  </conditionalFormatting>
  <conditionalFormatting sqref="D593">
    <cfRule type="cellIs" dxfId="1" priority="1344" operator="equal">
      <formula>0</formula>
    </cfRule>
  </conditionalFormatting>
  <conditionalFormatting sqref="D594">
    <cfRule type="cellIs" dxfId="1" priority="1348" operator="equal">
      <formula>0</formula>
    </cfRule>
  </conditionalFormatting>
  <conditionalFormatting sqref="D596">
    <cfRule type="expression" dxfId="0" priority="1353">
      <formula>D597=0</formula>
    </cfRule>
  </conditionalFormatting>
  <conditionalFormatting sqref="D597">
    <cfRule type="cellIs" dxfId="1" priority="1357" operator="equal">
      <formula>0</formula>
    </cfRule>
  </conditionalFormatting>
  <conditionalFormatting sqref="D598">
    <cfRule type="cellIs" dxfId="1" priority="1361" operator="equal">
      <formula>0</formula>
    </cfRule>
  </conditionalFormatting>
  <conditionalFormatting sqref="D604">
    <cfRule type="expression" dxfId="0" priority="1369">
      <formula>D605=0</formula>
    </cfRule>
  </conditionalFormatting>
  <conditionalFormatting sqref="D605">
    <cfRule type="cellIs" dxfId="1" priority="1372" operator="equal">
      <formula>0</formula>
    </cfRule>
  </conditionalFormatting>
  <conditionalFormatting sqref="D606">
    <cfRule type="cellIs" dxfId="1" priority="1375" operator="equal">
      <formula>0</formula>
    </cfRule>
  </conditionalFormatting>
  <conditionalFormatting sqref="D61">
    <cfRule type="cellIs" dxfId="1" priority="162" operator="equal">
      <formula>0</formula>
    </cfRule>
  </conditionalFormatting>
  <conditionalFormatting sqref="D610">
    <cfRule type="cellIs" dxfId="1" priority="1381" operator="equal">
      <formula>0</formula>
    </cfRule>
  </conditionalFormatting>
  <conditionalFormatting sqref="D618">
    <cfRule type="expression" dxfId="0" priority="1383">
      <formula>D619=0</formula>
    </cfRule>
  </conditionalFormatting>
  <conditionalFormatting sqref="D619">
    <cfRule type="cellIs" dxfId="1" priority="1389" operator="equal">
      <formula>0</formula>
    </cfRule>
  </conditionalFormatting>
  <conditionalFormatting sqref="D620">
    <cfRule type="cellIs" dxfId="1" priority="1395" operator="equal">
      <formula>0</formula>
    </cfRule>
  </conditionalFormatting>
  <conditionalFormatting sqref="D621">
    <cfRule type="cellIs" dxfId="1" priority="1399" operator="equal">
      <formula>0</formula>
    </cfRule>
  </conditionalFormatting>
  <conditionalFormatting sqref="D622">
    <cfRule type="cellIs" dxfId="1" priority="1403" operator="equal">
      <formula>0</formula>
    </cfRule>
  </conditionalFormatting>
  <conditionalFormatting sqref="D623">
    <cfRule type="cellIs" dxfId="1" priority="1407" operator="equal">
      <formula>0</formula>
    </cfRule>
  </conditionalFormatting>
  <conditionalFormatting sqref="D624">
    <cfRule type="cellIs" dxfId="1" priority="1411" operator="equal">
      <formula>0</formula>
    </cfRule>
  </conditionalFormatting>
  <conditionalFormatting sqref="D625">
    <cfRule type="cellIs" dxfId="1" priority="1415" operator="equal">
      <formula>0</formula>
    </cfRule>
  </conditionalFormatting>
  <conditionalFormatting sqref="D626">
    <cfRule type="cellIs" dxfId="1" priority="1420" operator="equal">
      <formula>0</formula>
    </cfRule>
  </conditionalFormatting>
  <conditionalFormatting sqref="D627">
    <cfRule type="cellIs" dxfId="1" priority="1423" operator="equal">
      <formula>0</formula>
    </cfRule>
  </conditionalFormatting>
  <conditionalFormatting sqref="D629">
    <cfRule type="expression" dxfId="0" priority="1427">
      <formula>D630=0</formula>
    </cfRule>
  </conditionalFormatting>
  <conditionalFormatting sqref="D63">
    <cfRule type="cellIs" dxfId="1" priority="164" operator="equal">
      <formula>0</formula>
    </cfRule>
  </conditionalFormatting>
  <conditionalFormatting sqref="D630">
    <cfRule type="cellIs" dxfId="1" priority="1435" operator="equal">
      <formula>0</formula>
    </cfRule>
  </conditionalFormatting>
  <conditionalFormatting sqref="D631">
    <cfRule type="cellIs" dxfId="1" priority="1443" operator="equal">
      <formula>0</formula>
    </cfRule>
  </conditionalFormatting>
  <conditionalFormatting sqref="D633">
    <cfRule type="cellIs" dxfId="1" priority="1446" operator="equal">
      <formula>0</formula>
    </cfRule>
  </conditionalFormatting>
  <conditionalFormatting sqref="D640">
    <cfRule type="expression" dxfId="0" priority="1457">
      <formula>D641=0</formula>
    </cfRule>
  </conditionalFormatting>
  <conditionalFormatting sqref="D641">
    <cfRule type="cellIs" dxfId="1" priority="1461" operator="equal">
      <formula>0</formula>
    </cfRule>
  </conditionalFormatting>
  <conditionalFormatting sqref="D643">
    <cfRule type="cellIs" dxfId="1" priority="1465" operator="equal">
      <formula>0</formula>
    </cfRule>
  </conditionalFormatting>
  <conditionalFormatting sqref="D644">
    <cfRule type="cellIs" dxfId="1" priority="1466" operator="equal">
      <formula>0</formula>
    </cfRule>
  </conditionalFormatting>
  <conditionalFormatting sqref="D645">
    <cfRule type="cellIs" dxfId="1" priority="1467" operator="equal">
      <formula>0</formula>
    </cfRule>
  </conditionalFormatting>
  <conditionalFormatting sqref="D646">
    <cfRule type="cellIs" dxfId="1" priority="1468" operator="equal">
      <formula>0</formula>
    </cfRule>
  </conditionalFormatting>
  <conditionalFormatting sqref="D648">
    <cfRule type="cellIs" dxfId="1" priority="1470" operator="equal">
      <formula>0</formula>
    </cfRule>
  </conditionalFormatting>
  <conditionalFormatting sqref="D649">
    <cfRule type="cellIs" dxfId="1" priority="1471" operator="equal">
      <formula>0</formula>
    </cfRule>
  </conditionalFormatting>
  <conditionalFormatting sqref="D65">
    <cfRule type="cellIs" dxfId="1" priority="168" operator="equal">
      <formula>0</formula>
    </cfRule>
  </conditionalFormatting>
  <conditionalFormatting sqref="D657">
    <cfRule type="expression" dxfId="0" priority="1474">
      <formula>D658=0</formula>
    </cfRule>
  </conditionalFormatting>
  <conditionalFormatting sqref="D658">
    <cfRule type="cellIs" dxfId="1" priority="1485" operator="equal">
      <formula>0</formula>
    </cfRule>
  </conditionalFormatting>
  <conditionalFormatting sqref="D659">
    <cfRule type="cellIs" dxfId="1" priority="1496" operator="equal">
      <formula>0</formula>
    </cfRule>
  </conditionalFormatting>
  <conditionalFormatting sqref="D660">
    <cfRule type="cellIs" dxfId="1" priority="1500" operator="equal">
      <formula>0</formula>
    </cfRule>
  </conditionalFormatting>
  <conditionalFormatting sqref="D662">
    <cfRule type="cellIs" dxfId="1" priority="1508" operator="equal">
      <formula>0</formula>
    </cfRule>
  </conditionalFormatting>
  <conditionalFormatting sqref="D663">
    <cfRule type="cellIs" dxfId="1" priority="1513" operator="equal">
      <formula>0</formula>
    </cfRule>
  </conditionalFormatting>
  <conditionalFormatting sqref="D664">
    <cfRule type="cellIs" dxfId="1" priority="1518" operator="equal">
      <formula>0</formula>
    </cfRule>
  </conditionalFormatting>
  <conditionalFormatting sqref="D666">
    <cfRule type="cellIs" dxfId="1" priority="1527" operator="equal">
      <formula>0</formula>
    </cfRule>
  </conditionalFormatting>
  <conditionalFormatting sqref="D667">
    <cfRule type="cellIs" dxfId="1" priority="1532" operator="equal">
      <formula>0</formula>
    </cfRule>
  </conditionalFormatting>
  <conditionalFormatting sqref="D674">
    <cfRule type="expression" dxfId="0" priority="1555">
      <formula>D675=0</formula>
    </cfRule>
  </conditionalFormatting>
  <conditionalFormatting sqref="D675">
    <cfRule type="cellIs" dxfId="1" priority="1561" operator="equal">
      <formula>0</formula>
    </cfRule>
  </conditionalFormatting>
  <conditionalFormatting sqref="D676">
    <cfRule type="cellIs" dxfId="1" priority="1567" operator="equal">
      <formula>0</formula>
    </cfRule>
  </conditionalFormatting>
  <conditionalFormatting sqref="D680">
    <cfRule type="cellIs" dxfId="1" priority="1572" operator="equal">
      <formula>0</formula>
    </cfRule>
  </conditionalFormatting>
  <conditionalFormatting sqref="D687">
    <cfRule type="cellIs" dxfId="1" priority="1582" operator="equal">
      <formula>0</formula>
    </cfRule>
  </conditionalFormatting>
  <conditionalFormatting sqref="D691">
    <cfRule type="expression" dxfId="0" priority="1588">
      <formula>D692=0</formula>
    </cfRule>
  </conditionalFormatting>
  <conditionalFormatting sqref="D692">
    <cfRule type="cellIs" dxfId="1" priority="1590" operator="equal">
      <formula>0</formula>
    </cfRule>
  </conditionalFormatting>
  <conditionalFormatting sqref="D693">
    <cfRule type="cellIs" dxfId="1" priority="1592" operator="equal">
      <formula>0</formula>
    </cfRule>
  </conditionalFormatting>
  <conditionalFormatting sqref="D694">
    <cfRule type="cellIs" dxfId="1" priority="1593" operator="equal">
      <formula>0</formula>
    </cfRule>
  </conditionalFormatting>
  <conditionalFormatting sqref="D695">
    <cfRule type="cellIs" dxfId="1" priority="1594" operator="equal">
      <formula>0</formula>
    </cfRule>
  </conditionalFormatting>
  <conditionalFormatting sqref="D696">
    <cfRule type="cellIs" dxfId="1" priority="1595" operator="equal">
      <formula>0</formula>
    </cfRule>
  </conditionalFormatting>
  <conditionalFormatting sqref="D697">
    <cfRule type="cellIs" dxfId="1" priority="1596" operator="equal">
      <formula>0</formula>
    </cfRule>
  </conditionalFormatting>
  <conditionalFormatting sqref="D698">
    <cfRule type="cellIs" dxfId="1" priority="1597" operator="equal">
      <formula>0</formula>
    </cfRule>
  </conditionalFormatting>
  <conditionalFormatting sqref="D699">
    <cfRule type="cellIs" dxfId="1" priority="1598" operator="equal">
      <formula>0</formula>
    </cfRule>
  </conditionalFormatting>
  <conditionalFormatting sqref="D700">
    <cfRule type="cellIs" dxfId="1" priority="1599" operator="equal">
      <formula>0</formula>
    </cfRule>
  </conditionalFormatting>
  <conditionalFormatting sqref="D701">
    <cfRule type="cellIs" dxfId="1" priority="1600" operator="equal">
      <formula>0</formula>
    </cfRule>
  </conditionalFormatting>
  <conditionalFormatting sqref="D702">
    <cfRule type="cellIs" dxfId="1" priority="1601" operator="equal">
      <formula>0</formula>
    </cfRule>
  </conditionalFormatting>
  <conditionalFormatting sqref="D703">
    <cfRule type="cellIs" dxfId="1" priority="1602" operator="equal">
      <formula>0</formula>
    </cfRule>
  </conditionalFormatting>
  <conditionalFormatting sqref="D704">
    <cfRule type="cellIs" dxfId="1" priority="1603" operator="equal">
      <formula>0</formula>
    </cfRule>
  </conditionalFormatting>
  <conditionalFormatting sqref="D705">
    <cfRule type="cellIs" dxfId="1" priority="1604" operator="equal">
      <formula>0</formula>
    </cfRule>
  </conditionalFormatting>
  <conditionalFormatting sqref="D706">
    <cfRule type="cellIs" dxfId="1" priority="1605" operator="equal">
      <formula>0</formula>
    </cfRule>
  </conditionalFormatting>
  <conditionalFormatting sqref="D71">
    <cfRule type="cellIs" dxfId="1" priority="176" operator="equal">
      <formula>0</formula>
    </cfRule>
  </conditionalFormatting>
  <conditionalFormatting sqref="D714">
    <cfRule type="expression" dxfId="0" priority="1607">
      <formula>D715=0</formula>
    </cfRule>
  </conditionalFormatting>
  <conditionalFormatting sqref="D715">
    <cfRule type="cellIs" dxfId="1" priority="1612" operator="equal">
      <formula>0</formula>
    </cfRule>
  </conditionalFormatting>
  <conditionalFormatting sqref="D716">
    <cfRule type="cellIs" dxfId="1" priority="1617" operator="equal">
      <formula>0</formula>
    </cfRule>
  </conditionalFormatting>
  <conditionalFormatting sqref="D732">
    <cfRule type="expression" dxfId="0" priority="1628">
      <formula>D733=0</formula>
    </cfRule>
  </conditionalFormatting>
  <conditionalFormatting sqref="D733">
    <cfRule type="cellIs" dxfId="1" priority="1633" operator="equal">
      <formula>0</formula>
    </cfRule>
  </conditionalFormatting>
  <conditionalFormatting sqref="D734">
    <cfRule type="cellIs" dxfId="1" priority="1638" operator="equal">
      <formula>0</formula>
    </cfRule>
  </conditionalFormatting>
  <conditionalFormatting sqref="D75">
    <cfRule type="cellIs" dxfId="1" priority="184" operator="equal">
      <formula>0</formula>
    </cfRule>
  </conditionalFormatting>
  <conditionalFormatting sqref="D750">
    <cfRule type="expression" dxfId="0" priority="1649">
      <formula>D751=0</formula>
    </cfRule>
  </conditionalFormatting>
  <conditionalFormatting sqref="D751">
    <cfRule type="cellIs" dxfId="1" priority="1655" operator="equal">
      <formula>0</formula>
    </cfRule>
  </conditionalFormatting>
  <conditionalFormatting sqref="D752">
    <cfRule type="cellIs" dxfId="1" priority="1661" operator="equal">
      <formula>0</formula>
    </cfRule>
  </conditionalFormatting>
  <conditionalFormatting sqref="D753">
    <cfRule type="cellIs" dxfId="1" priority="1667" operator="equal">
      <formula>0</formula>
    </cfRule>
  </conditionalFormatting>
  <conditionalFormatting sqref="D755">
    <cfRule type="expression" dxfId="0" priority="1670">
      <formula>D756=0</formula>
    </cfRule>
  </conditionalFormatting>
  <conditionalFormatting sqref="D756">
    <cfRule type="cellIs" dxfId="1" priority="1672" operator="equal">
      <formula>0</formula>
    </cfRule>
  </conditionalFormatting>
  <conditionalFormatting sqref="D757">
    <cfRule type="cellIs" dxfId="1" priority="1674" operator="equal">
      <formula>0</formula>
    </cfRule>
  </conditionalFormatting>
  <conditionalFormatting sqref="D758">
    <cfRule type="cellIs" dxfId="1" priority="1675" operator="equal">
      <formula>0</formula>
    </cfRule>
  </conditionalFormatting>
  <conditionalFormatting sqref="D771">
    <cfRule type="expression" dxfId="0" priority="1681">
      <formula>D772=0</formula>
    </cfRule>
  </conditionalFormatting>
  <conditionalFormatting sqref="D772">
    <cfRule type="cellIs" dxfId="1" priority="1685" operator="equal">
      <formula>0</formula>
    </cfRule>
  </conditionalFormatting>
  <conditionalFormatting sqref="D773">
    <cfRule type="cellIs" dxfId="1" priority="1689" operator="equal">
      <formula>0</formula>
    </cfRule>
  </conditionalFormatting>
  <conditionalFormatting sqref="D774">
    <cfRule type="cellIs" dxfId="1" priority="1693" operator="equal">
      <formula>0</formula>
    </cfRule>
  </conditionalFormatting>
  <conditionalFormatting sqref="D776">
    <cfRule type="expression" dxfId="0" priority="1697">
      <formula>D777=0</formula>
    </cfRule>
  </conditionalFormatting>
  <conditionalFormatting sqref="D777">
    <cfRule type="cellIs" dxfId="1" priority="1699" operator="equal">
      <formula>0</formula>
    </cfRule>
  </conditionalFormatting>
  <conditionalFormatting sqref="D778">
    <cfRule type="cellIs" dxfId="1" priority="1701" operator="equal">
      <formula>0</formula>
    </cfRule>
  </conditionalFormatting>
  <conditionalFormatting sqref="D779">
    <cfRule type="cellIs" dxfId="1" priority="1703" operator="equal">
      <formula>0</formula>
    </cfRule>
  </conditionalFormatting>
  <conditionalFormatting sqref="D781">
    <cfRule type="expression" dxfId="0" priority="1705">
      <formula>D782=0</formula>
    </cfRule>
  </conditionalFormatting>
  <conditionalFormatting sqref="D782">
    <cfRule type="cellIs" dxfId="1" priority="1707" operator="equal">
      <formula>0</formula>
    </cfRule>
  </conditionalFormatting>
  <conditionalFormatting sqref="D784">
    <cfRule type="cellIs" dxfId="1" priority="1710" operator="equal">
      <formula>0</formula>
    </cfRule>
  </conditionalFormatting>
  <conditionalFormatting sqref="D79">
    <cfRule type="cellIs" dxfId="1" priority="190" operator="equal">
      <formula>0</formula>
    </cfRule>
  </conditionalFormatting>
  <conditionalFormatting sqref="D792">
    <cfRule type="expression" dxfId="0" priority="1712">
      <formula>D793=0</formula>
    </cfRule>
  </conditionalFormatting>
  <conditionalFormatting sqref="D793">
    <cfRule type="cellIs" dxfId="1" priority="1720" operator="equal">
      <formula>0</formula>
    </cfRule>
  </conditionalFormatting>
  <conditionalFormatting sqref="D794">
    <cfRule type="cellIs" dxfId="1" priority="1728" operator="equal">
      <formula>0</formula>
    </cfRule>
  </conditionalFormatting>
  <conditionalFormatting sqref="D795">
    <cfRule type="cellIs" dxfId="1" priority="1734" operator="equal">
      <formula>0</formula>
    </cfRule>
  </conditionalFormatting>
  <conditionalFormatting sqref="D796">
    <cfRule type="cellIs" dxfId="1" priority="1738" operator="equal">
      <formula>0</formula>
    </cfRule>
  </conditionalFormatting>
  <conditionalFormatting sqref="D797">
    <cfRule type="cellIs" dxfId="1" priority="1742" operator="equal">
      <formula>0</formula>
    </cfRule>
  </conditionalFormatting>
  <conditionalFormatting sqref="D798">
    <cfRule type="cellIs" dxfId="1" priority="1746" operator="equal">
      <formula>0</formula>
    </cfRule>
  </conditionalFormatting>
  <conditionalFormatting sqref="D799">
    <cfRule type="cellIs" dxfId="1" priority="1750" operator="equal">
      <formula>0</formula>
    </cfRule>
  </conditionalFormatting>
  <conditionalFormatting sqref="D80">
    <cfRule type="cellIs" dxfId="1" priority="191" operator="equal">
      <formula>0</formula>
    </cfRule>
  </conditionalFormatting>
  <conditionalFormatting sqref="D800">
    <cfRule type="cellIs" dxfId="1" priority="1754" operator="equal">
      <formula>0</formula>
    </cfRule>
  </conditionalFormatting>
  <conditionalFormatting sqref="D801">
    <cfRule type="cellIs" dxfId="1" priority="1758" operator="equal">
      <formula>0</formula>
    </cfRule>
  </conditionalFormatting>
  <conditionalFormatting sqref="D802">
    <cfRule type="cellIs" dxfId="1" priority="1762" operator="equal">
      <formula>0</formula>
    </cfRule>
  </conditionalFormatting>
  <conditionalFormatting sqref="D803">
    <cfRule type="cellIs" dxfId="1" priority="1765" operator="equal">
      <formula>0</formula>
    </cfRule>
  </conditionalFormatting>
  <conditionalFormatting sqref="D804">
    <cfRule type="cellIs" dxfId="1" priority="1769" operator="equal">
      <formula>0</formula>
    </cfRule>
  </conditionalFormatting>
  <conditionalFormatting sqref="D805">
    <cfRule type="cellIs" dxfId="1" priority="1773" operator="equal">
      <formula>0</formula>
    </cfRule>
  </conditionalFormatting>
  <conditionalFormatting sqref="D806">
    <cfRule type="cellIs" dxfId="1" priority="1777" operator="equal">
      <formula>0</formula>
    </cfRule>
  </conditionalFormatting>
  <conditionalFormatting sqref="D807">
    <cfRule type="cellIs" dxfId="1" priority="1781" operator="equal">
      <formula>0</formula>
    </cfRule>
  </conditionalFormatting>
  <conditionalFormatting sqref="D808">
    <cfRule type="cellIs" dxfId="1" priority="1784" operator="equal">
      <formula>0</formula>
    </cfRule>
  </conditionalFormatting>
  <conditionalFormatting sqref="D809">
    <cfRule type="cellIs" dxfId="1" priority="1788" operator="equal">
      <formula>0</formula>
    </cfRule>
  </conditionalFormatting>
  <conditionalFormatting sqref="D810">
    <cfRule type="cellIs" dxfId="1" priority="1793" operator="equal">
      <formula>0</formula>
    </cfRule>
  </conditionalFormatting>
  <conditionalFormatting sqref="D811">
    <cfRule type="cellIs" dxfId="1" priority="1798" operator="equal">
      <formula>0</formula>
    </cfRule>
  </conditionalFormatting>
  <conditionalFormatting sqref="D812">
    <cfRule type="cellIs" dxfId="1" priority="1802" operator="equal">
      <formula>0</formula>
    </cfRule>
  </conditionalFormatting>
  <conditionalFormatting sqref="D813">
    <cfRule type="cellIs" dxfId="1" priority="1806" operator="equal">
      <formula>0</formula>
    </cfRule>
  </conditionalFormatting>
  <conditionalFormatting sqref="D814">
    <cfRule type="cellIs" dxfId="1" priority="1810" operator="equal">
      <formula>0</formula>
    </cfRule>
  </conditionalFormatting>
  <conditionalFormatting sqref="D815">
    <cfRule type="cellIs" dxfId="1" priority="1815" operator="equal">
      <formula>0</formula>
    </cfRule>
  </conditionalFormatting>
  <conditionalFormatting sqref="D816">
    <cfRule type="cellIs" dxfId="1" priority="1819" operator="equal">
      <formula>0</formula>
    </cfRule>
  </conditionalFormatting>
  <conditionalFormatting sqref="D817">
    <cfRule type="cellIs" dxfId="1" priority="1823" operator="equal">
      <formula>0</formula>
    </cfRule>
  </conditionalFormatting>
  <conditionalFormatting sqref="D818">
    <cfRule type="cellIs" dxfId="1" priority="1827" operator="equal">
      <formula>0</formula>
    </cfRule>
  </conditionalFormatting>
  <conditionalFormatting sqref="D820">
    <cfRule type="expression" dxfId="0" priority="1832">
      <formula>D821=0</formula>
    </cfRule>
  </conditionalFormatting>
  <conditionalFormatting sqref="D821">
    <cfRule type="cellIs" dxfId="1" priority="1840" operator="equal">
      <formula>0</formula>
    </cfRule>
  </conditionalFormatting>
  <conditionalFormatting sqref="D822">
    <cfRule type="cellIs" dxfId="1" priority="1848" operator="equal">
      <formula>0</formula>
    </cfRule>
  </conditionalFormatting>
  <conditionalFormatting sqref="D824">
    <cfRule type="cellIs" dxfId="1" priority="1852" operator="equal">
      <formula>0</formula>
    </cfRule>
  </conditionalFormatting>
  <conditionalFormatting sqref="D83">
    <cfRule type="expression" dxfId="0" priority="195">
      <formula>D84=0</formula>
    </cfRule>
  </conditionalFormatting>
  <conditionalFormatting sqref="D834">
    <cfRule type="cellIs" dxfId="1" priority="1872" operator="equal">
      <formula>0</formula>
    </cfRule>
  </conditionalFormatting>
  <conditionalFormatting sqref="D84">
    <cfRule type="cellIs" dxfId="1" priority="199" operator="equal">
      <formula>0</formula>
    </cfRule>
  </conditionalFormatting>
  <conditionalFormatting sqref="D841">
    <cfRule type="cellIs" dxfId="1" priority="1885" operator="equal">
      <formula>0</formula>
    </cfRule>
  </conditionalFormatting>
  <conditionalFormatting sqref="D848">
    <cfRule type="expression" dxfId="0" priority="1897">
      <formula>D849=0</formula>
    </cfRule>
  </conditionalFormatting>
  <conditionalFormatting sqref="D849">
    <cfRule type="cellIs" dxfId="1" priority="1899" operator="equal">
      <formula>0</formula>
    </cfRule>
  </conditionalFormatting>
  <conditionalFormatting sqref="D86">
    <cfRule type="cellIs" dxfId="1" priority="204" operator="equal">
      <formula>0</formula>
    </cfRule>
  </conditionalFormatting>
  <conditionalFormatting sqref="D863">
    <cfRule type="cellIs" dxfId="1" priority="1914" operator="equal">
      <formula>0</formula>
    </cfRule>
  </conditionalFormatting>
  <conditionalFormatting sqref="D870">
    <cfRule type="cellIs" dxfId="1" priority="1922" operator="equal">
      <formula>0</formula>
    </cfRule>
  </conditionalFormatting>
  <conditionalFormatting sqref="D871">
    <cfRule type="cellIs" dxfId="1" priority="1924" operator="equal">
      <formula>0</formula>
    </cfRule>
  </conditionalFormatting>
  <conditionalFormatting sqref="D873">
    <cfRule type="cellIs" dxfId="1" priority="1926" operator="equal">
      <formula>0</formula>
    </cfRule>
  </conditionalFormatting>
  <conditionalFormatting sqref="D882">
    <cfRule type="expression" dxfId="0" priority="1929">
      <formula>D883=0</formula>
    </cfRule>
  </conditionalFormatting>
  <conditionalFormatting sqref="D883">
    <cfRule type="cellIs" dxfId="1" priority="1936" operator="equal">
      <formula>0</formula>
    </cfRule>
  </conditionalFormatting>
  <conditionalFormatting sqref="D884">
    <cfRule type="cellIs" dxfId="1" priority="1943" operator="equal">
      <formula>0</formula>
    </cfRule>
  </conditionalFormatting>
  <conditionalFormatting sqref="D885">
    <cfRule type="cellIs" dxfId="1" priority="1947" operator="equal">
      <formula>0</formula>
    </cfRule>
  </conditionalFormatting>
  <conditionalFormatting sqref="D886">
    <cfRule type="cellIs" dxfId="1" priority="1953" operator="equal">
      <formula>0</formula>
    </cfRule>
  </conditionalFormatting>
  <conditionalFormatting sqref="D887">
    <cfRule type="cellIs" dxfId="1" priority="1957" operator="equal">
      <formula>0</formula>
    </cfRule>
  </conditionalFormatting>
  <conditionalFormatting sqref="D888">
    <cfRule type="cellIs" dxfId="1" priority="1961" operator="equal">
      <formula>0</formula>
    </cfRule>
  </conditionalFormatting>
  <conditionalFormatting sqref="D890">
    <cfRule type="expression" dxfId="0" priority="1965">
      <formula>D891=0</formula>
    </cfRule>
  </conditionalFormatting>
  <conditionalFormatting sqref="D891">
    <cfRule type="cellIs" dxfId="1" priority="1968" operator="equal">
      <formula>0</formula>
    </cfRule>
  </conditionalFormatting>
  <conditionalFormatting sqref="D893">
    <cfRule type="cellIs" dxfId="1" priority="1971" operator="equal">
      <formula>0</formula>
    </cfRule>
  </conditionalFormatting>
  <conditionalFormatting sqref="D898">
    <cfRule type="expression" dxfId="0" priority="1977">
      <formula>D899=0</formula>
    </cfRule>
  </conditionalFormatting>
  <conditionalFormatting sqref="D899">
    <cfRule type="cellIs" dxfId="1" priority="1979" operator="equal">
      <formula>0</formula>
    </cfRule>
  </conditionalFormatting>
  <conditionalFormatting sqref="D901">
    <cfRule type="cellIs" dxfId="1" priority="1981" operator="equal">
      <formula>0</formula>
    </cfRule>
  </conditionalFormatting>
  <conditionalFormatting sqref="D912">
    <cfRule type="expression" dxfId="0" priority="1986">
      <formula>D913=0</formula>
    </cfRule>
  </conditionalFormatting>
  <conditionalFormatting sqref="D913">
    <cfRule type="cellIs" dxfId="1" priority="1990" operator="equal">
      <formula>0</formula>
    </cfRule>
  </conditionalFormatting>
  <conditionalFormatting sqref="D914">
    <cfRule type="cellIs" dxfId="1" priority="1994" operator="equal">
      <formula>0</formula>
    </cfRule>
  </conditionalFormatting>
  <conditionalFormatting sqref="D930">
    <cfRule type="expression" dxfId="0" priority="2004">
      <formula>D931=0</formula>
    </cfRule>
  </conditionalFormatting>
  <conditionalFormatting sqref="D931">
    <cfRule type="cellIs" dxfId="1" priority="2008" operator="equal">
      <formula>0</formula>
    </cfRule>
  </conditionalFormatting>
  <conditionalFormatting sqref="D932">
    <cfRule type="cellIs" dxfId="1" priority="2012" operator="equal">
      <formula>0</formula>
    </cfRule>
  </conditionalFormatting>
  <conditionalFormatting sqref="D948">
    <cfRule type="expression" dxfId="0" priority="2022">
      <formula>D949=0</formula>
    </cfRule>
  </conditionalFormatting>
  <conditionalFormatting sqref="D949">
    <cfRule type="cellIs" dxfId="1" priority="2032" operator="equal">
      <formula>0</formula>
    </cfRule>
  </conditionalFormatting>
  <conditionalFormatting sqref="D950">
    <cfRule type="cellIs" dxfId="1" priority="2042" operator="equal">
      <formula>0</formula>
    </cfRule>
  </conditionalFormatting>
  <conditionalFormatting sqref="D951">
    <cfRule type="cellIs" dxfId="1" priority="2045" operator="equal">
      <formula>0</formula>
    </cfRule>
  </conditionalFormatting>
  <conditionalFormatting sqref="D953">
    <cfRule type="cellIs" dxfId="1" priority="2053" operator="equal">
      <formula>0</formula>
    </cfRule>
  </conditionalFormatting>
  <conditionalFormatting sqref="D954">
    <cfRule type="cellIs" dxfId="1" priority="2057" operator="equal">
      <formula>0</formula>
    </cfRule>
  </conditionalFormatting>
  <conditionalFormatting sqref="D955">
    <cfRule type="cellIs" dxfId="1" priority="2059" operator="equal">
      <formula>0</formula>
    </cfRule>
  </conditionalFormatting>
  <conditionalFormatting sqref="D957">
    <cfRule type="cellIs" dxfId="1" priority="2069" operator="equal">
      <formula>0</formula>
    </cfRule>
  </conditionalFormatting>
  <conditionalFormatting sqref="D959">
    <cfRule type="expression" dxfId="0" priority="2072">
      <formula>D960=0</formula>
    </cfRule>
  </conditionalFormatting>
  <conditionalFormatting sqref="D960">
    <cfRule type="cellIs" dxfId="1" priority="2077" operator="equal">
      <formula>0</formula>
    </cfRule>
  </conditionalFormatting>
  <conditionalFormatting sqref="D963">
    <cfRule type="cellIs" dxfId="1" priority="2082" operator="equal">
      <formula>0</formula>
    </cfRule>
  </conditionalFormatting>
  <conditionalFormatting sqref="D968">
    <cfRule type="cellIs" dxfId="1" priority="2090" operator="equal">
      <formula>0</formula>
    </cfRule>
  </conditionalFormatting>
  <conditionalFormatting sqref="D970">
    <cfRule type="expression" dxfId="0" priority="2093">
      <formula>D971=0</formula>
    </cfRule>
  </conditionalFormatting>
  <conditionalFormatting sqref="D971">
    <cfRule type="cellIs" dxfId="1" priority="2096" operator="equal">
      <formula>0</formula>
    </cfRule>
  </conditionalFormatting>
  <conditionalFormatting sqref="D974">
    <cfRule type="cellIs" dxfId="1" priority="2100" operator="equal">
      <formula>0</formula>
    </cfRule>
  </conditionalFormatting>
  <conditionalFormatting sqref="D976">
    <cfRule type="cellIs" dxfId="1" priority="2103" operator="equal">
      <formula>0</formula>
    </cfRule>
  </conditionalFormatting>
  <conditionalFormatting sqref="D978">
    <cfRule type="cellIs" dxfId="1" priority="2106" operator="equal">
      <formula>0</formula>
    </cfRule>
  </conditionalFormatting>
  <conditionalFormatting sqref="D979">
    <cfRule type="cellIs" dxfId="1" priority="2108" operator="equal">
      <formula>0</formula>
    </cfRule>
  </conditionalFormatting>
  <conditionalFormatting sqref="D987">
    <cfRule type="expression" dxfId="0" priority="2110">
      <formula>D988=0</formula>
    </cfRule>
  </conditionalFormatting>
  <conditionalFormatting sqref="D988">
    <cfRule type="cellIs" dxfId="1" priority="2119" operator="equal">
      <formula>0</formula>
    </cfRule>
  </conditionalFormatting>
  <conditionalFormatting sqref="D989">
    <cfRule type="cellIs" dxfId="1" priority="2128" operator="equal">
      <formula>0</formula>
    </cfRule>
  </conditionalFormatting>
  <conditionalFormatting sqref="D990">
    <cfRule type="cellIs" dxfId="1" priority="2132" operator="equal">
      <formula>0</formula>
    </cfRule>
  </conditionalFormatting>
  <conditionalFormatting sqref="D991">
    <cfRule type="cellIs" dxfId="1" priority="2135" operator="equal">
      <formula>0</formula>
    </cfRule>
  </conditionalFormatting>
  <conditionalFormatting sqref="D993">
    <cfRule type="cellIs" dxfId="1" priority="2145" operator="equal">
      <formula>0</formula>
    </cfRule>
  </conditionalFormatting>
  <conditionalFormatting sqref="D994">
    <cfRule type="cellIs" dxfId="1" priority="2150" operator="equal">
      <formula>0</formula>
    </cfRule>
  </conditionalFormatting>
  <conditionalFormatting sqref="D996">
    <cfRule type="expression" dxfId="0" priority="2154">
      <formula>D997=0</formula>
    </cfRule>
  </conditionalFormatting>
  <conditionalFormatting sqref="D997">
    <cfRule type="cellIs" dxfId="1" priority="2157" operator="equal">
      <formula>0</formula>
    </cfRule>
  </conditionalFormatting>
  <conditionalFormatting sqref="D998">
    <cfRule type="cellIs" dxfId="1" priority="2160" operator="equal">
      <formula>0</formula>
    </cfRule>
  </conditionalFormatting>
  <conditionalFormatting sqref="D999">
    <cfRule type="cellIs" dxfId="1" priority="2161" operator="equal">
      <formula>0</formula>
    </cfRule>
  </conditionalFormatting>
  <conditionalFormatting sqref="E1002">
    <cfRule type="cellIs" dxfId="1" priority="2166" operator="equal">
      <formula>0</formula>
    </cfRule>
  </conditionalFormatting>
  <conditionalFormatting sqref="E1020">
    <cfRule type="expression" dxfId="0" priority="2184">
      <formula>E1021=0</formula>
    </cfRule>
  </conditionalFormatting>
  <conditionalFormatting sqref="E1021">
    <cfRule type="cellIs" dxfId="1" priority="2188" operator="equal">
      <formula>0</formula>
    </cfRule>
  </conditionalFormatting>
  <conditionalFormatting sqref="E1022">
    <cfRule type="cellIs" dxfId="1" priority="2192" operator="equal">
      <formula>0</formula>
    </cfRule>
  </conditionalFormatting>
  <conditionalFormatting sqref="E1038">
    <cfRule type="expression" dxfId="0" priority="2205">
      <formula>E1039=0</formula>
    </cfRule>
  </conditionalFormatting>
  <conditionalFormatting sqref="E1039">
    <cfRule type="cellIs" dxfId="1" priority="2209" operator="equal">
      <formula>0</formula>
    </cfRule>
  </conditionalFormatting>
  <conditionalFormatting sqref="E1040">
    <cfRule type="cellIs" dxfId="1" priority="2213" operator="equal">
      <formula>0</formula>
    </cfRule>
  </conditionalFormatting>
  <conditionalFormatting sqref="E1041">
    <cfRule type="cellIs" dxfId="1" priority="2217" operator="equal">
      <formula>0</formula>
    </cfRule>
  </conditionalFormatting>
  <conditionalFormatting sqref="E1042">
    <cfRule type="cellIs" dxfId="1" priority="2221" operator="equal">
      <formula>0</formula>
    </cfRule>
  </conditionalFormatting>
  <conditionalFormatting sqref="E1043">
    <cfRule type="cellIs" dxfId="1" priority="2225" operator="equal">
      <formula>0</formula>
    </cfRule>
  </conditionalFormatting>
  <conditionalFormatting sqref="E1065">
    <cfRule type="expression" dxfId="0" priority="2251">
      <formula>E1066=0</formula>
    </cfRule>
  </conditionalFormatting>
  <conditionalFormatting sqref="E1066">
    <cfRule type="cellIs" dxfId="1" priority="2257" operator="equal">
      <formula>0</formula>
    </cfRule>
  </conditionalFormatting>
  <conditionalFormatting sqref="E1067">
    <cfRule type="cellIs" dxfId="1" priority="2263" operator="equal">
      <formula>0</formula>
    </cfRule>
  </conditionalFormatting>
  <conditionalFormatting sqref="E1083">
    <cfRule type="expression" dxfId="0" priority="2275">
      <formula>E1084=0</formula>
    </cfRule>
  </conditionalFormatting>
  <conditionalFormatting sqref="E1084">
    <cfRule type="cellIs" dxfId="1" priority="2286" operator="equal">
      <formula>0</formula>
    </cfRule>
  </conditionalFormatting>
  <conditionalFormatting sqref="E1085">
    <cfRule type="cellIs" dxfId="1" priority="2297" operator="equal">
      <formula>0</formula>
    </cfRule>
  </conditionalFormatting>
  <conditionalFormatting sqref="E1086">
    <cfRule type="cellIs" dxfId="1" priority="2301" operator="equal">
      <formula>0</formula>
    </cfRule>
  </conditionalFormatting>
  <conditionalFormatting sqref="E1087">
    <cfRule type="cellIs" dxfId="1" priority="2306" operator="equal">
      <formula>0</formula>
    </cfRule>
  </conditionalFormatting>
  <conditionalFormatting sqref="E1088">
    <cfRule type="cellIs" dxfId="1" priority="2310" operator="equal">
      <formula>0</formula>
    </cfRule>
  </conditionalFormatting>
  <conditionalFormatting sqref="E1089">
    <cfRule type="cellIs" dxfId="1" priority="2314" operator="equal">
      <formula>0</formula>
    </cfRule>
  </conditionalFormatting>
  <conditionalFormatting sqref="E1090">
    <cfRule type="cellIs" dxfId="1" priority="2318" operator="equal">
      <formula>0</formula>
    </cfRule>
  </conditionalFormatting>
  <conditionalFormatting sqref="E1092">
    <cfRule type="cellIs" dxfId="1" priority="2325" operator="equal">
      <formula>0</formula>
    </cfRule>
  </conditionalFormatting>
  <conditionalFormatting sqref="E1093">
    <cfRule type="cellIs" dxfId="1" priority="2329" operator="equal">
      <formula>0</formula>
    </cfRule>
  </conditionalFormatting>
  <conditionalFormatting sqref="E1094">
    <cfRule type="cellIs" dxfId="1" priority="2333" operator="equal">
      <formula>0</formula>
    </cfRule>
  </conditionalFormatting>
  <conditionalFormatting sqref="E1095">
    <cfRule type="cellIs" dxfId="1" priority="2337" operator="equal">
      <formula>0</formula>
    </cfRule>
  </conditionalFormatting>
  <conditionalFormatting sqref="E1096">
    <cfRule type="cellIs" dxfId="1" priority="2341" operator="equal">
      <formula>0</formula>
    </cfRule>
  </conditionalFormatting>
  <conditionalFormatting sqref="E1097">
    <cfRule type="cellIs" dxfId="1" priority="2345" operator="equal">
      <formula>0</formula>
    </cfRule>
  </conditionalFormatting>
  <conditionalFormatting sqref="E1098">
    <cfRule type="cellIs" dxfId="1" priority="2349" operator="equal">
      <formula>0</formula>
    </cfRule>
  </conditionalFormatting>
  <conditionalFormatting sqref="E1099">
    <cfRule type="cellIs" dxfId="1" priority="2352" operator="equal">
      <formula>0</formula>
    </cfRule>
  </conditionalFormatting>
  <conditionalFormatting sqref="E1100">
    <cfRule type="cellIs" dxfId="1" priority="2356" operator="equal">
      <formula>0</formula>
    </cfRule>
  </conditionalFormatting>
  <conditionalFormatting sqref="E1101">
    <cfRule type="cellIs" dxfId="1" priority="2361" operator="equal">
      <formula>0</formula>
    </cfRule>
  </conditionalFormatting>
  <conditionalFormatting sqref="E1102">
    <cfRule type="cellIs" dxfId="1" priority="2366" operator="equal">
      <formula>0</formula>
    </cfRule>
  </conditionalFormatting>
  <conditionalFormatting sqref="E1103">
    <cfRule type="cellIs" dxfId="1" priority="2371" operator="equal">
      <formula>0</formula>
    </cfRule>
  </conditionalFormatting>
  <conditionalFormatting sqref="E1104">
    <cfRule type="cellIs" dxfId="1" priority="2375" operator="equal">
      <formula>0</formula>
    </cfRule>
  </conditionalFormatting>
  <conditionalFormatting sqref="E1105">
    <cfRule type="cellIs" dxfId="1" priority="2379" operator="equal">
      <formula>0</formula>
    </cfRule>
  </conditionalFormatting>
  <conditionalFormatting sqref="E1106">
    <cfRule type="cellIs" dxfId="1" priority="2383" operator="equal">
      <formula>0</formula>
    </cfRule>
  </conditionalFormatting>
  <conditionalFormatting sqref="E1107">
    <cfRule type="cellIs" dxfId="1" priority="2387" operator="equal">
      <formula>0</formula>
    </cfRule>
  </conditionalFormatting>
  <conditionalFormatting sqref="E1108">
    <cfRule type="cellIs" dxfId="1" priority="2391" operator="equal">
      <formula>0</formula>
    </cfRule>
  </conditionalFormatting>
  <conditionalFormatting sqref="E1109">
    <cfRule type="cellIs" dxfId="1" priority="2395" operator="equal">
      <formula>0</formula>
    </cfRule>
  </conditionalFormatting>
  <conditionalFormatting sqref="E1110">
    <cfRule type="cellIs" dxfId="1" priority="2399" operator="equal">
      <formula>0</formula>
    </cfRule>
  </conditionalFormatting>
  <conditionalFormatting sqref="E1111">
    <cfRule type="cellIs" dxfId="1" priority="2403" operator="equal">
      <formula>0</formula>
    </cfRule>
  </conditionalFormatting>
  <conditionalFormatting sqref="E1113">
    <cfRule type="expression" dxfId="0" priority="2408">
      <formula>E1114=0</formula>
    </cfRule>
  </conditionalFormatting>
  <conditionalFormatting sqref="E1114">
    <cfRule type="cellIs" dxfId="1" priority="2418" operator="equal">
      <formula>0</formula>
    </cfRule>
  </conditionalFormatting>
  <conditionalFormatting sqref="E1116">
    <cfRule type="cellIs" dxfId="1" priority="2429" operator="equal">
      <formula>0</formula>
    </cfRule>
  </conditionalFormatting>
  <conditionalFormatting sqref="E1120">
    <cfRule type="cellIs" dxfId="1" priority="2437" operator="equal">
      <formula>0</formula>
    </cfRule>
  </conditionalFormatting>
  <conditionalFormatting sqref="E1135">
    <cfRule type="cellIs" dxfId="1" priority="2464" operator="equal">
      <formula>0</formula>
    </cfRule>
  </conditionalFormatting>
  <conditionalFormatting sqref="E1137">
    <cfRule type="cellIs" dxfId="1" priority="2468" operator="equal">
      <formula>0</formula>
    </cfRule>
  </conditionalFormatting>
  <conditionalFormatting sqref="E1141">
    <cfRule type="cellIs" dxfId="1" priority="2476" operator="equal">
      <formula>0</formula>
    </cfRule>
  </conditionalFormatting>
  <conditionalFormatting sqref="E1143">
    <cfRule type="expression" dxfId="0" priority="2479">
      <formula>E1144=0</formula>
    </cfRule>
  </conditionalFormatting>
  <conditionalFormatting sqref="E1144">
    <cfRule type="cellIs" dxfId="1" priority="2485" operator="equal">
      <formula>0</formula>
    </cfRule>
  </conditionalFormatting>
  <conditionalFormatting sqref="E1149">
    <cfRule type="cellIs" dxfId="1" priority="2493" operator="equal">
      <formula>0</formula>
    </cfRule>
  </conditionalFormatting>
  <conditionalFormatting sqref="E117">
    <cfRule type="expression" dxfId="0" priority="233">
      <formula>E118=0</formula>
    </cfRule>
  </conditionalFormatting>
  <conditionalFormatting sqref="E1179">
    <cfRule type="expression" dxfId="0" priority="2522">
      <formula>E1180=0</formula>
    </cfRule>
  </conditionalFormatting>
  <conditionalFormatting sqref="E118">
    <cfRule type="cellIs" dxfId="1" priority="245" operator="equal">
      <formula>0</formula>
    </cfRule>
  </conditionalFormatting>
  <conditionalFormatting sqref="E1180">
    <cfRule type="cellIs" dxfId="1" priority="2527" operator="equal">
      <formula>0</formula>
    </cfRule>
  </conditionalFormatting>
  <conditionalFormatting sqref="E1181">
    <cfRule type="cellIs" dxfId="1" priority="2532" operator="equal">
      <formula>0</formula>
    </cfRule>
  </conditionalFormatting>
  <conditionalFormatting sqref="E119">
    <cfRule type="cellIs" dxfId="1" priority="257" operator="equal">
      <formula>0</formula>
    </cfRule>
  </conditionalFormatting>
  <conditionalFormatting sqref="E1197">
    <cfRule type="expression" dxfId="0" priority="2549">
      <formula>E1198=0</formula>
    </cfRule>
  </conditionalFormatting>
  <conditionalFormatting sqref="E1198">
    <cfRule type="cellIs" dxfId="1" priority="2559" operator="equal">
      <formula>0</formula>
    </cfRule>
  </conditionalFormatting>
  <conditionalFormatting sqref="E120">
    <cfRule type="cellIs" dxfId="1" priority="262" operator="equal">
      <formula>0</formula>
    </cfRule>
  </conditionalFormatting>
  <conditionalFormatting sqref="E1200">
    <cfRule type="cellIs" dxfId="1" priority="2571" operator="equal">
      <formula>0</formula>
    </cfRule>
  </conditionalFormatting>
  <conditionalFormatting sqref="E1202">
    <cfRule type="cellIs" dxfId="1" priority="2578" operator="equal">
      <formula>0</formula>
    </cfRule>
  </conditionalFormatting>
  <conditionalFormatting sqref="E1203">
    <cfRule type="cellIs" dxfId="1" priority="2581" operator="equal">
      <formula>0</formula>
    </cfRule>
  </conditionalFormatting>
  <conditionalFormatting sqref="E1204">
    <cfRule type="cellIs" dxfId="1" priority="2586" operator="equal">
      <formula>0</formula>
    </cfRule>
  </conditionalFormatting>
  <conditionalFormatting sqref="E1205">
    <cfRule type="cellIs" dxfId="1" priority="2589" operator="equal">
      <formula>0</formula>
    </cfRule>
  </conditionalFormatting>
  <conditionalFormatting sqref="E1207">
    <cfRule type="expression" dxfId="0" priority="2595">
      <formula>E1208=0</formula>
    </cfRule>
  </conditionalFormatting>
  <conditionalFormatting sqref="E1208">
    <cfRule type="cellIs" dxfId="1" priority="2600" operator="equal">
      <formula>0</formula>
    </cfRule>
  </conditionalFormatting>
  <conditionalFormatting sqref="E1212">
    <cfRule type="cellIs" dxfId="1" priority="2606" operator="equal">
      <formula>0</formula>
    </cfRule>
  </conditionalFormatting>
  <conditionalFormatting sqref="E122">
    <cfRule type="cellIs" dxfId="1" priority="271" operator="equal">
      <formula>0</formula>
    </cfRule>
  </conditionalFormatting>
  <conditionalFormatting sqref="E123">
    <cfRule type="cellIs" dxfId="1" priority="275" operator="equal">
      <formula>0</formula>
    </cfRule>
  </conditionalFormatting>
  <conditionalFormatting sqref="E1233">
    <cfRule type="expression" dxfId="0" priority="2625">
      <formula>E1234=0</formula>
    </cfRule>
  </conditionalFormatting>
  <conditionalFormatting sqref="E1234">
    <cfRule type="cellIs" dxfId="1" priority="2630" operator="equal">
      <formula>0</formula>
    </cfRule>
  </conditionalFormatting>
  <conditionalFormatting sqref="E1235">
    <cfRule type="cellIs" dxfId="1" priority="2635" operator="equal">
      <formula>0</formula>
    </cfRule>
  </conditionalFormatting>
  <conditionalFormatting sqref="E1236">
    <cfRule type="cellIs" dxfId="1" priority="2639" operator="equal">
      <formula>0</formula>
    </cfRule>
  </conditionalFormatting>
  <conditionalFormatting sqref="E1237">
    <cfRule type="cellIs" dxfId="1" priority="2643" operator="equal">
      <formula>0</formula>
    </cfRule>
  </conditionalFormatting>
  <conditionalFormatting sqref="E1238">
    <cfRule type="cellIs" dxfId="1" priority="2647" operator="equal">
      <formula>0</formula>
    </cfRule>
  </conditionalFormatting>
  <conditionalFormatting sqref="E1239">
    <cfRule type="cellIs" dxfId="1" priority="2651" operator="equal">
      <formula>0</formula>
    </cfRule>
  </conditionalFormatting>
  <conditionalFormatting sqref="E124">
    <cfRule type="cellIs" dxfId="1" priority="280" operator="equal">
      <formula>0</formula>
    </cfRule>
  </conditionalFormatting>
  <conditionalFormatting sqref="E1240">
    <cfRule type="cellIs" dxfId="1" priority="2655" operator="equal">
      <formula>0</formula>
    </cfRule>
  </conditionalFormatting>
  <conditionalFormatting sqref="E1241">
    <cfRule type="cellIs" dxfId="1" priority="2659" operator="equal">
      <formula>0</formula>
    </cfRule>
  </conditionalFormatting>
  <conditionalFormatting sqref="E1242">
    <cfRule type="cellIs" dxfId="1" priority="2663" operator="equal">
      <formula>0</formula>
    </cfRule>
  </conditionalFormatting>
  <conditionalFormatting sqref="E1243">
    <cfRule type="cellIs" dxfId="1" priority="2667" operator="equal">
      <formula>0</formula>
    </cfRule>
  </conditionalFormatting>
  <conditionalFormatting sqref="E1244">
    <cfRule type="cellIs" dxfId="1" priority="2671" operator="equal">
      <formula>0</formula>
    </cfRule>
  </conditionalFormatting>
  <conditionalFormatting sqref="E1246">
    <cfRule type="expression" dxfId="0" priority="2675">
      <formula>E1247=0</formula>
    </cfRule>
  </conditionalFormatting>
  <conditionalFormatting sqref="E1247">
    <cfRule type="cellIs" dxfId="1" priority="2683" operator="equal">
      <formula>0</formula>
    </cfRule>
  </conditionalFormatting>
  <conditionalFormatting sqref="E1249">
    <cfRule type="cellIs" dxfId="1" priority="2691" operator="equal">
      <formula>0</formula>
    </cfRule>
  </conditionalFormatting>
  <conditionalFormatting sqref="E125">
    <cfRule type="cellIs" dxfId="1" priority="283" operator="equal">
      <formula>0</formula>
    </cfRule>
  </conditionalFormatting>
  <conditionalFormatting sqref="E1251">
    <cfRule type="cellIs" dxfId="1" priority="2696" operator="equal">
      <formula>0</formula>
    </cfRule>
  </conditionalFormatting>
  <conditionalFormatting sqref="E1259">
    <cfRule type="expression" dxfId="0" priority="2709">
      <formula>E1260=0</formula>
    </cfRule>
  </conditionalFormatting>
  <conditionalFormatting sqref="E126">
    <cfRule type="cellIs" dxfId="1" priority="290" operator="equal">
      <formula>0</formula>
    </cfRule>
  </conditionalFormatting>
  <conditionalFormatting sqref="E1260">
    <cfRule type="cellIs" dxfId="1" priority="2712" operator="equal">
      <formula>0</formula>
    </cfRule>
  </conditionalFormatting>
  <conditionalFormatting sqref="E1269">
    <cfRule type="cellIs" dxfId="1" priority="2721" operator="equal">
      <formula>0</formula>
    </cfRule>
  </conditionalFormatting>
  <conditionalFormatting sqref="E1278">
    <cfRule type="expression" dxfId="0" priority="2725">
      <formula>E1279=0</formula>
    </cfRule>
  </conditionalFormatting>
  <conditionalFormatting sqref="E1279">
    <cfRule type="cellIs" dxfId="1" priority="2732" operator="equal">
      <formula>0</formula>
    </cfRule>
  </conditionalFormatting>
  <conditionalFormatting sqref="E1280">
    <cfRule type="cellIs" dxfId="1" priority="2739" operator="equal">
      <formula>0</formula>
    </cfRule>
  </conditionalFormatting>
  <conditionalFormatting sqref="E1281">
    <cfRule type="cellIs" dxfId="1" priority="2744" operator="equal">
      <formula>0</formula>
    </cfRule>
  </conditionalFormatting>
  <conditionalFormatting sqref="E1282">
    <cfRule type="cellIs" dxfId="1" priority="2748" operator="equal">
      <formula>0</formula>
    </cfRule>
  </conditionalFormatting>
  <conditionalFormatting sqref="E1283">
    <cfRule type="cellIs" dxfId="1" priority="2753" operator="equal">
      <formula>0</formula>
    </cfRule>
  </conditionalFormatting>
  <conditionalFormatting sqref="E1285">
    <cfRule type="expression" dxfId="0" priority="2758">
      <formula>E1286=0</formula>
    </cfRule>
  </conditionalFormatting>
  <conditionalFormatting sqref="E1286">
    <cfRule type="cellIs" dxfId="1" priority="2761" operator="equal">
      <formula>0</formula>
    </cfRule>
  </conditionalFormatting>
  <conditionalFormatting sqref="E1289">
    <cfRule type="cellIs" dxfId="1" priority="2766" operator="equal">
      <formula>0</formula>
    </cfRule>
  </conditionalFormatting>
  <conditionalFormatting sqref="E129">
    <cfRule type="cellIs" dxfId="1" priority="300" operator="equal">
      <formula>0</formula>
    </cfRule>
  </conditionalFormatting>
  <conditionalFormatting sqref="E130">
    <cfRule type="cellIs" dxfId="1" priority="305" operator="equal">
      <formula>0</formula>
    </cfRule>
  </conditionalFormatting>
  <conditionalFormatting sqref="E1305">
    <cfRule type="expression" dxfId="0" priority="2780">
      <formula>E1306=0</formula>
    </cfRule>
  </conditionalFormatting>
  <conditionalFormatting sqref="E1306">
    <cfRule type="cellIs" dxfId="1" priority="2787" operator="equal">
      <formula>0</formula>
    </cfRule>
  </conditionalFormatting>
  <conditionalFormatting sqref="E1307">
    <cfRule type="cellIs" dxfId="1" priority="2794" operator="equal">
      <formula>0</formula>
    </cfRule>
  </conditionalFormatting>
  <conditionalFormatting sqref="E1308">
    <cfRule type="cellIs" dxfId="1" priority="2799" operator="equal">
      <formula>0</formula>
    </cfRule>
  </conditionalFormatting>
  <conditionalFormatting sqref="E1309">
    <cfRule type="cellIs" dxfId="1" priority="2804" operator="equal">
      <formula>0</formula>
    </cfRule>
  </conditionalFormatting>
  <conditionalFormatting sqref="E131">
    <cfRule type="cellIs" dxfId="1" priority="309" operator="equal">
      <formula>0</formula>
    </cfRule>
  </conditionalFormatting>
  <conditionalFormatting sqref="E1310">
    <cfRule type="cellIs" dxfId="1" priority="2809" operator="equal">
      <formula>0</formula>
    </cfRule>
  </conditionalFormatting>
  <conditionalFormatting sqref="E1311">
    <cfRule type="cellIs" dxfId="1" priority="2813" operator="equal">
      <formula>0</formula>
    </cfRule>
  </conditionalFormatting>
  <conditionalFormatting sqref="E1313">
    <cfRule type="expression" dxfId="0" priority="2817">
      <formula>E1314=0</formula>
    </cfRule>
  </conditionalFormatting>
  <conditionalFormatting sqref="E1314">
    <cfRule type="cellIs" dxfId="1" priority="2821" operator="equal">
      <formula>0</formula>
    </cfRule>
  </conditionalFormatting>
  <conditionalFormatting sqref="E1316">
    <cfRule type="cellIs" dxfId="1" priority="2826" operator="equal">
      <formula>0</formula>
    </cfRule>
  </conditionalFormatting>
  <conditionalFormatting sqref="E132">
    <cfRule type="cellIs" dxfId="1" priority="314" operator="equal">
      <formula>0</formula>
    </cfRule>
  </conditionalFormatting>
  <conditionalFormatting sqref="E1321">
    <cfRule type="expression" dxfId="0" priority="2833">
      <formula>E1322=0</formula>
    </cfRule>
  </conditionalFormatting>
  <conditionalFormatting sqref="E1322">
    <cfRule type="cellIs" dxfId="1" priority="2836" operator="equal">
      <formula>0</formula>
    </cfRule>
  </conditionalFormatting>
  <conditionalFormatting sqref="E1324">
    <cfRule type="cellIs" dxfId="1" priority="2840" operator="equal">
      <formula>0</formula>
    </cfRule>
  </conditionalFormatting>
  <conditionalFormatting sqref="E133">
    <cfRule type="cellIs" dxfId="1" priority="317" operator="equal">
      <formula>0</formula>
    </cfRule>
  </conditionalFormatting>
  <conditionalFormatting sqref="E1335">
    <cfRule type="expression" dxfId="0" priority="2847">
      <formula>E1336=0</formula>
    </cfRule>
  </conditionalFormatting>
  <conditionalFormatting sqref="E1336">
    <cfRule type="cellIs" dxfId="1" priority="2854" operator="equal">
      <formula>0</formula>
    </cfRule>
  </conditionalFormatting>
  <conditionalFormatting sqref="E1337">
    <cfRule type="cellIs" dxfId="1" priority="2861" operator="equal">
      <formula>0</formula>
    </cfRule>
  </conditionalFormatting>
  <conditionalFormatting sqref="E1339">
    <cfRule type="cellIs" dxfId="1" priority="2869" operator="equal">
      <formula>0</formula>
    </cfRule>
  </conditionalFormatting>
  <conditionalFormatting sqref="E134">
    <cfRule type="cellIs" dxfId="1" priority="322" operator="equal">
      <formula>0</formula>
    </cfRule>
  </conditionalFormatting>
  <conditionalFormatting sqref="E1340">
    <cfRule type="cellIs" dxfId="1" priority="2873" operator="equal">
      <formula>0</formula>
    </cfRule>
  </conditionalFormatting>
  <conditionalFormatting sqref="E1342">
    <cfRule type="expression" dxfId="0" priority="2877">
      <formula>E1343=0</formula>
    </cfRule>
  </conditionalFormatting>
  <conditionalFormatting sqref="E1343">
    <cfRule type="cellIs" dxfId="1" priority="2881" operator="equal">
      <formula>0</formula>
    </cfRule>
  </conditionalFormatting>
  <conditionalFormatting sqref="E1347">
    <cfRule type="cellIs" dxfId="1" priority="2889" operator="equal">
      <formula>0</formula>
    </cfRule>
  </conditionalFormatting>
  <conditionalFormatting sqref="E1349">
    <cfRule type="expression" dxfId="0" priority="2893">
      <formula>E1350=0</formula>
    </cfRule>
  </conditionalFormatting>
  <conditionalFormatting sqref="E1350">
    <cfRule type="cellIs" dxfId="1" priority="2896" operator="equal">
      <formula>0</formula>
    </cfRule>
  </conditionalFormatting>
  <conditionalFormatting sqref="E1352">
    <cfRule type="cellIs" dxfId="1" priority="2900" operator="equal">
      <formula>0</formula>
    </cfRule>
  </conditionalFormatting>
  <conditionalFormatting sqref="E1354">
    <cfRule type="cellIs" dxfId="1" priority="2903" operator="equal">
      <formula>0</formula>
    </cfRule>
  </conditionalFormatting>
  <conditionalFormatting sqref="E136">
    <cfRule type="cellIs" dxfId="1" priority="331" operator="equal">
      <formula>0</formula>
    </cfRule>
  </conditionalFormatting>
  <conditionalFormatting sqref="E1362">
    <cfRule type="expression" dxfId="0" priority="2906">
      <formula>E1363=0</formula>
    </cfRule>
  </conditionalFormatting>
  <conditionalFormatting sqref="E1363">
    <cfRule type="cellIs" dxfId="1" priority="2913" operator="equal">
      <formula>0</formula>
    </cfRule>
  </conditionalFormatting>
  <conditionalFormatting sqref="E1365">
    <cfRule type="cellIs" dxfId="1" priority="2924" operator="equal">
      <formula>0</formula>
    </cfRule>
  </conditionalFormatting>
  <conditionalFormatting sqref="E1366">
    <cfRule type="cellIs" dxfId="1" priority="2929" operator="equal">
      <formula>0</formula>
    </cfRule>
  </conditionalFormatting>
  <conditionalFormatting sqref="E1368">
    <cfRule type="expression" dxfId="0" priority="2933">
      <formula>E1369=0</formula>
    </cfRule>
  </conditionalFormatting>
  <conditionalFormatting sqref="E1369">
    <cfRule type="cellIs" dxfId="1" priority="2937" operator="equal">
      <formula>0</formula>
    </cfRule>
  </conditionalFormatting>
  <conditionalFormatting sqref="E137">
    <cfRule type="cellIs" dxfId="1" priority="336" operator="equal">
      <formula>0</formula>
    </cfRule>
  </conditionalFormatting>
  <conditionalFormatting sqref="E1372">
    <cfRule type="cellIs" dxfId="1" priority="2943" operator="equal">
      <formula>0</formula>
    </cfRule>
  </conditionalFormatting>
  <conditionalFormatting sqref="E1386">
    <cfRule type="expression" dxfId="0" priority="2955">
      <formula>E1387=0</formula>
    </cfRule>
  </conditionalFormatting>
  <conditionalFormatting sqref="E1387">
    <cfRule type="cellIs" dxfId="1" priority="2963" operator="equal">
      <formula>0</formula>
    </cfRule>
  </conditionalFormatting>
  <conditionalFormatting sqref="E1389">
    <cfRule type="cellIs" dxfId="1" priority="2975" operator="equal">
      <formula>0</formula>
    </cfRule>
  </conditionalFormatting>
  <conditionalFormatting sqref="E1390">
    <cfRule type="cellIs" dxfId="1" priority="2979" operator="equal">
      <formula>0</formula>
    </cfRule>
  </conditionalFormatting>
  <conditionalFormatting sqref="E1391">
    <cfRule type="cellIs" dxfId="1" priority="2984" operator="equal">
      <formula>0</formula>
    </cfRule>
  </conditionalFormatting>
  <conditionalFormatting sqref="E1394">
    <cfRule type="cellIs" dxfId="1" priority="2998" operator="equal">
      <formula>0</formula>
    </cfRule>
  </conditionalFormatting>
  <conditionalFormatting sqref="E1396">
    <cfRule type="expression" dxfId="0" priority="3002">
      <formula>E1397=0</formula>
    </cfRule>
  </conditionalFormatting>
  <conditionalFormatting sqref="E1397">
    <cfRule type="cellIs" dxfId="1" priority="3008" operator="equal">
      <formula>0</formula>
    </cfRule>
  </conditionalFormatting>
  <conditionalFormatting sqref="E1400">
    <cfRule type="cellIs" dxfId="1" priority="3016" operator="equal">
      <formula>0</formula>
    </cfRule>
  </conditionalFormatting>
  <conditionalFormatting sqref="E1422">
    <cfRule type="expression" dxfId="0" priority="3039">
      <formula>E1423=0</formula>
    </cfRule>
  </conditionalFormatting>
  <conditionalFormatting sqref="E1423">
    <cfRule type="cellIs" dxfId="1" priority="3050" operator="equal">
      <formula>0</formula>
    </cfRule>
  </conditionalFormatting>
  <conditionalFormatting sqref="E1424">
    <cfRule type="cellIs" dxfId="1" priority="3061" operator="equal">
      <formula>0</formula>
    </cfRule>
  </conditionalFormatting>
  <conditionalFormatting sqref="E1428">
    <cfRule type="cellIs" dxfId="1" priority="3080" operator="equal">
      <formula>0</formula>
    </cfRule>
  </conditionalFormatting>
  <conditionalFormatting sqref="E1432">
    <cfRule type="cellIs" dxfId="1" priority="3098" operator="equal">
      <formula>0</formula>
    </cfRule>
  </conditionalFormatting>
  <conditionalFormatting sqref="E1433">
    <cfRule type="cellIs" dxfId="1" priority="3104" operator="equal">
      <formula>0</formula>
    </cfRule>
  </conditionalFormatting>
  <conditionalFormatting sqref="E1434">
    <cfRule type="cellIs" dxfId="1" priority="3108" operator="equal">
      <formula>0</formula>
    </cfRule>
  </conditionalFormatting>
  <conditionalFormatting sqref="E1437">
    <cfRule type="cellIs" dxfId="1" priority="3120" operator="equal">
      <formula>0</formula>
    </cfRule>
  </conditionalFormatting>
  <conditionalFormatting sqref="E1439">
    <cfRule type="cellIs" dxfId="1" priority="3130" operator="equal">
      <formula>0</formula>
    </cfRule>
  </conditionalFormatting>
  <conditionalFormatting sqref="E144">
    <cfRule type="expression" dxfId="0" priority="365">
      <formula>E145=0</formula>
    </cfRule>
  </conditionalFormatting>
  <conditionalFormatting sqref="E1440">
    <cfRule type="cellIs" dxfId="1" priority="3135" operator="equal">
      <formula>0</formula>
    </cfRule>
  </conditionalFormatting>
  <conditionalFormatting sqref="E1443">
    <cfRule type="expression" dxfId="0" priority="3144">
      <formula>E1444=0</formula>
    </cfRule>
  </conditionalFormatting>
  <conditionalFormatting sqref="E1444">
    <cfRule type="cellIs" dxfId="1" priority="3151" operator="equal">
      <formula>0</formula>
    </cfRule>
  </conditionalFormatting>
  <conditionalFormatting sqref="E1446">
    <cfRule type="cellIs" dxfId="1" priority="3159" operator="equal">
      <formula>0</formula>
    </cfRule>
  </conditionalFormatting>
  <conditionalFormatting sqref="E1448">
    <cfRule type="cellIs" dxfId="1" priority="3161" operator="equal">
      <formula>0</formula>
    </cfRule>
  </conditionalFormatting>
  <conditionalFormatting sqref="E145">
    <cfRule type="cellIs" dxfId="1" priority="373" operator="equal">
      <formula>0</formula>
    </cfRule>
  </conditionalFormatting>
  <conditionalFormatting sqref="E1451">
    <cfRule type="cellIs" dxfId="1" priority="3167" operator="equal">
      <formula>0</formula>
    </cfRule>
  </conditionalFormatting>
  <conditionalFormatting sqref="E1453">
    <cfRule type="cellIs" dxfId="1" priority="3169" operator="equal">
      <formula>0</formula>
    </cfRule>
  </conditionalFormatting>
  <conditionalFormatting sqref="E1454">
    <cfRule type="cellIs" dxfId="1" priority="3171" operator="equal">
      <formula>0</formula>
    </cfRule>
  </conditionalFormatting>
  <conditionalFormatting sqref="E1456">
    <cfRule type="cellIs" dxfId="1" priority="3175" operator="equal">
      <formula>0</formula>
    </cfRule>
  </conditionalFormatting>
  <conditionalFormatting sqref="E147">
    <cfRule type="cellIs" dxfId="1" priority="382" operator="equal">
      <formula>0</formula>
    </cfRule>
  </conditionalFormatting>
  <conditionalFormatting sqref="E149">
    <cfRule type="cellIs" dxfId="1" priority="385" operator="equal">
      <formula>0</formula>
    </cfRule>
  </conditionalFormatting>
  <conditionalFormatting sqref="E1491">
    <cfRule type="expression" dxfId="0" priority="3212">
      <formula>E1492=0</formula>
    </cfRule>
  </conditionalFormatting>
  <conditionalFormatting sqref="E1492">
    <cfRule type="cellIs" dxfId="1" priority="3219" operator="equal">
      <formula>0</formula>
    </cfRule>
  </conditionalFormatting>
  <conditionalFormatting sqref="E1493">
    <cfRule type="cellIs" dxfId="1" priority="3226" operator="equal">
      <formula>0</formula>
    </cfRule>
  </conditionalFormatting>
  <conditionalFormatting sqref="E1494">
    <cfRule type="cellIs" dxfId="1" priority="3230" operator="equal">
      <formula>0</formula>
    </cfRule>
  </conditionalFormatting>
  <conditionalFormatting sqref="E1495">
    <cfRule type="cellIs" dxfId="1" priority="3235" operator="equal">
      <formula>0</formula>
    </cfRule>
  </conditionalFormatting>
  <conditionalFormatting sqref="E1496">
    <cfRule type="cellIs" dxfId="1" priority="3240" operator="equal">
      <formula>0</formula>
    </cfRule>
  </conditionalFormatting>
  <conditionalFormatting sqref="E1497">
    <cfRule type="cellIs" dxfId="1" priority="3245" operator="equal">
      <formula>0</formula>
    </cfRule>
  </conditionalFormatting>
  <conditionalFormatting sqref="E1499">
    <cfRule type="expression" dxfId="0" priority="3249">
      <formula>E1500=0</formula>
    </cfRule>
  </conditionalFormatting>
  <conditionalFormatting sqref="E1500">
    <cfRule type="cellIs" dxfId="1" priority="3253" operator="equal">
      <formula>0</formula>
    </cfRule>
  </conditionalFormatting>
  <conditionalFormatting sqref="E1502">
    <cfRule type="cellIs" dxfId="1" priority="3258" operator="equal">
      <formula>0</formula>
    </cfRule>
  </conditionalFormatting>
  <conditionalFormatting sqref="E1507">
    <cfRule type="expression" dxfId="0" priority="3265">
      <formula>E1508=0</formula>
    </cfRule>
  </conditionalFormatting>
  <conditionalFormatting sqref="E1508">
    <cfRule type="cellIs" dxfId="1" priority="3268" operator="equal">
      <formula>0</formula>
    </cfRule>
  </conditionalFormatting>
  <conditionalFormatting sqref="E1510">
    <cfRule type="cellIs" dxfId="1" priority="3272" operator="equal">
      <formula>0</formula>
    </cfRule>
  </conditionalFormatting>
  <conditionalFormatting sqref="E1521">
    <cfRule type="expression" dxfId="0" priority="3279">
      <formula>E1522=0</formula>
    </cfRule>
  </conditionalFormatting>
  <conditionalFormatting sqref="E1522">
    <cfRule type="cellIs" dxfId="1" priority="3285" operator="equal">
      <formula>0</formula>
    </cfRule>
  </conditionalFormatting>
  <conditionalFormatting sqref="E1523">
    <cfRule type="cellIs" dxfId="1" priority="3291" operator="equal">
      <formula>0</formula>
    </cfRule>
  </conditionalFormatting>
  <conditionalFormatting sqref="E1524">
    <cfRule type="cellIs" dxfId="1" priority="3295" operator="equal">
      <formula>0</formula>
    </cfRule>
  </conditionalFormatting>
  <conditionalFormatting sqref="E1525">
    <cfRule type="cellIs" dxfId="1" priority="3300" operator="equal">
      <formula>0</formula>
    </cfRule>
  </conditionalFormatting>
  <conditionalFormatting sqref="E1526">
    <cfRule type="cellIs" dxfId="1" priority="3304" operator="equal">
      <formula>0</formula>
    </cfRule>
  </conditionalFormatting>
  <conditionalFormatting sqref="E1527">
    <cfRule type="cellIs" dxfId="1" priority="3308" operator="equal">
      <formula>0</formula>
    </cfRule>
  </conditionalFormatting>
  <conditionalFormatting sqref="E1528">
    <cfRule type="cellIs" dxfId="1" priority="3312" operator="equal">
      <formula>0</formula>
    </cfRule>
  </conditionalFormatting>
  <conditionalFormatting sqref="E1554">
    <cfRule type="expression" dxfId="0" priority="3339">
      <formula>E1555=0</formula>
    </cfRule>
  </conditionalFormatting>
  <conditionalFormatting sqref="E1555">
    <cfRule type="cellIs" dxfId="1" priority="3350" operator="equal">
      <formula>0</formula>
    </cfRule>
  </conditionalFormatting>
  <conditionalFormatting sqref="E1556">
    <cfRule type="cellIs" dxfId="1" priority="3360" operator="equal">
      <formula>0</formula>
    </cfRule>
  </conditionalFormatting>
  <conditionalFormatting sqref="E1557">
    <cfRule type="cellIs" dxfId="1" priority="3364" operator="equal">
      <formula>0</formula>
    </cfRule>
  </conditionalFormatting>
  <conditionalFormatting sqref="E1561">
    <cfRule type="cellIs" dxfId="1" priority="3381" operator="equal">
      <formula>0</formula>
    </cfRule>
  </conditionalFormatting>
  <conditionalFormatting sqref="E1562">
    <cfRule type="cellIs" dxfId="1" priority="3385" operator="equal">
      <formula>0</formula>
    </cfRule>
  </conditionalFormatting>
  <conditionalFormatting sqref="E1563">
    <cfRule type="cellIs" dxfId="1" priority="3389" operator="equal">
      <formula>0</formula>
    </cfRule>
  </conditionalFormatting>
  <conditionalFormatting sqref="E1564">
    <cfRule type="cellIs" dxfId="1" priority="3394" operator="equal">
      <formula>0</formula>
    </cfRule>
  </conditionalFormatting>
  <conditionalFormatting sqref="E1565">
    <cfRule type="cellIs" dxfId="1" priority="3398" operator="equal">
      <formula>0</formula>
    </cfRule>
  </conditionalFormatting>
  <conditionalFormatting sqref="E1566">
    <cfRule type="cellIs" dxfId="1" priority="3402" operator="equal">
      <formula>0</formula>
    </cfRule>
  </conditionalFormatting>
  <conditionalFormatting sqref="E1567">
    <cfRule type="cellIs" dxfId="1" priority="3406" operator="equal">
      <formula>0</formula>
    </cfRule>
  </conditionalFormatting>
  <conditionalFormatting sqref="E1568">
    <cfRule type="cellIs" dxfId="1" priority="3411" operator="equal">
      <formula>0</formula>
    </cfRule>
  </conditionalFormatting>
  <conditionalFormatting sqref="E1569">
    <cfRule type="cellIs" dxfId="1" priority="3416" operator="equal">
      <formula>0</formula>
    </cfRule>
  </conditionalFormatting>
  <conditionalFormatting sqref="E1571">
    <cfRule type="cellIs" dxfId="1" priority="3425" operator="equal">
      <formula>0</formula>
    </cfRule>
  </conditionalFormatting>
  <conditionalFormatting sqref="E1573">
    <cfRule type="expression" dxfId="0" priority="3430">
      <formula>E1574=0</formula>
    </cfRule>
  </conditionalFormatting>
  <conditionalFormatting sqref="E1574">
    <cfRule type="cellIs" dxfId="1" priority="3437" operator="equal">
      <formula>0</formula>
    </cfRule>
  </conditionalFormatting>
  <conditionalFormatting sqref="E1576">
    <cfRule type="cellIs" dxfId="1" priority="3444" operator="equal">
      <formula>0</formula>
    </cfRule>
  </conditionalFormatting>
  <conditionalFormatting sqref="E1577">
    <cfRule type="cellIs" dxfId="1" priority="3446" operator="equal">
      <formula>0</formula>
    </cfRule>
  </conditionalFormatting>
  <conditionalFormatting sqref="E1578">
    <cfRule type="cellIs" dxfId="1" priority="3448" operator="equal">
      <formula>0</formula>
    </cfRule>
  </conditionalFormatting>
  <conditionalFormatting sqref="E1579">
    <cfRule type="cellIs" dxfId="1" priority="3450" operator="equal">
      <formula>0</formula>
    </cfRule>
  </conditionalFormatting>
  <conditionalFormatting sqref="E1580">
    <cfRule type="cellIs" dxfId="1" priority="3452" operator="equal">
      <formula>0</formula>
    </cfRule>
  </conditionalFormatting>
  <conditionalFormatting sqref="E1582">
    <cfRule type="cellIs" dxfId="1" priority="3455" operator="equal">
      <formula>0</formula>
    </cfRule>
  </conditionalFormatting>
  <conditionalFormatting sqref="E1583">
    <cfRule type="cellIs" dxfId="1" priority="3457" operator="equal">
      <formula>0</formula>
    </cfRule>
  </conditionalFormatting>
  <conditionalFormatting sqref="E1584">
    <cfRule type="cellIs" dxfId="1" priority="3459" operator="equal">
      <formula>0</formula>
    </cfRule>
  </conditionalFormatting>
  <conditionalFormatting sqref="E1586">
    <cfRule type="cellIs" dxfId="1" priority="3462" operator="equal">
      <formula>0</formula>
    </cfRule>
  </conditionalFormatting>
  <conditionalFormatting sqref="E1588">
    <cfRule type="cellIs" dxfId="1" priority="3466" operator="equal">
      <formula>0</formula>
    </cfRule>
  </conditionalFormatting>
  <conditionalFormatting sqref="E1590">
    <cfRule type="cellIs" dxfId="1" priority="3470" operator="equal">
      <formula>0</formula>
    </cfRule>
  </conditionalFormatting>
  <conditionalFormatting sqref="E1592">
    <cfRule type="expression" dxfId="0" priority="3474">
      <formula>E1593=0</formula>
    </cfRule>
  </conditionalFormatting>
  <conditionalFormatting sqref="E1593">
    <cfRule type="cellIs" dxfId="1" priority="3477" operator="equal">
      <formula>0</formula>
    </cfRule>
  </conditionalFormatting>
  <conditionalFormatting sqref="E1596">
    <cfRule type="cellIs" dxfId="1" priority="3482" operator="equal">
      <formula>0</formula>
    </cfRule>
  </conditionalFormatting>
  <conditionalFormatting sqref="E1597">
    <cfRule type="cellIs" dxfId="1" priority="3484" operator="equal">
      <formula>0</formula>
    </cfRule>
  </conditionalFormatting>
  <conditionalFormatting sqref="E1598">
    <cfRule type="cellIs" dxfId="1" priority="3485" operator="equal">
      <formula>0</formula>
    </cfRule>
  </conditionalFormatting>
  <conditionalFormatting sqref="E1599">
    <cfRule type="cellIs" dxfId="1" priority="3486" operator="equal">
      <formula>0</formula>
    </cfRule>
  </conditionalFormatting>
  <conditionalFormatting sqref="E1601">
    <cfRule type="cellIs" dxfId="1" priority="3489" operator="equal">
      <formula>0</formula>
    </cfRule>
  </conditionalFormatting>
  <conditionalFormatting sqref="E1602">
    <cfRule type="cellIs" dxfId="1" priority="3491" operator="equal">
      <formula>0</formula>
    </cfRule>
  </conditionalFormatting>
  <conditionalFormatting sqref="E1603">
    <cfRule type="cellIs" dxfId="1" priority="3493" operator="equal">
      <formula>0</formula>
    </cfRule>
  </conditionalFormatting>
  <conditionalFormatting sqref="E1604">
    <cfRule type="cellIs" dxfId="1" priority="3494" operator="equal">
      <formula>0</formula>
    </cfRule>
  </conditionalFormatting>
  <conditionalFormatting sqref="E1605">
    <cfRule type="cellIs" dxfId="1" priority="3496" operator="equal">
      <formula>0</formula>
    </cfRule>
  </conditionalFormatting>
  <conditionalFormatting sqref="E1607">
    <cfRule type="cellIs" dxfId="1" priority="3499" operator="equal">
      <formula>0</formula>
    </cfRule>
  </conditionalFormatting>
  <conditionalFormatting sqref="E1609">
    <cfRule type="cellIs" dxfId="1" priority="3502" operator="equal">
      <formula>0</formula>
    </cfRule>
  </conditionalFormatting>
  <conditionalFormatting sqref="E1617">
    <cfRule type="expression" dxfId="0" priority="3505">
      <formula>E1618=0</formula>
    </cfRule>
  </conditionalFormatting>
  <conditionalFormatting sqref="E1618">
    <cfRule type="cellIs" dxfId="1" priority="3509" operator="equal">
      <formula>0</formula>
    </cfRule>
  </conditionalFormatting>
  <conditionalFormatting sqref="E1619">
    <cfRule type="cellIs" dxfId="1" priority="3513" operator="equal">
      <formula>0</formula>
    </cfRule>
  </conditionalFormatting>
  <conditionalFormatting sqref="E1620">
    <cfRule type="cellIs" dxfId="1" priority="3517" operator="equal">
      <formula>0</formula>
    </cfRule>
  </conditionalFormatting>
  <conditionalFormatting sqref="E1621">
    <cfRule type="cellIs" dxfId="1" priority="3521" operator="equal">
      <formula>0</formula>
    </cfRule>
  </conditionalFormatting>
  <conditionalFormatting sqref="E1622">
    <cfRule type="cellIs" dxfId="1" priority="3525" operator="equal">
      <formula>0</formula>
    </cfRule>
  </conditionalFormatting>
  <conditionalFormatting sqref="E1644">
    <cfRule type="expression" dxfId="0" priority="3547">
      <formula>E1645=0</formula>
    </cfRule>
  </conditionalFormatting>
  <conditionalFormatting sqref="E1645">
    <cfRule type="cellIs" dxfId="1" priority="3556" operator="equal">
      <formula>0</formula>
    </cfRule>
  </conditionalFormatting>
  <conditionalFormatting sqref="E1646">
    <cfRule type="cellIs" dxfId="1" priority="3565" operator="equal">
      <formula>0</formula>
    </cfRule>
  </conditionalFormatting>
  <conditionalFormatting sqref="E1647">
    <cfRule type="cellIs" dxfId="1" priority="3569" operator="equal">
      <formula>0</formula>
    </cfRule>
  </conditionalFormatting>
  <conditionalFormatting sqref="E1649">
    <cfRule type="cellIs" dxfId="1" priority="3578" operator="equal">
      <formula>0</formula>
    </cfRule>
  </conditionalFormatting>
  <conditionalFormatting sqref="E165">
    <cfRule type="cellIs" dxfId="1" priority="409" operator="equal">
      <formula>0</formula>
    </cfRule>
  </conditionalFormatting>
  <conditionalFormatting sqref="E1650">
    <cfRule type="cellIs" dxfId="1" priority="3583" operator="equal">
      <formula>0</formula>
    </cfRule>
  </conditionalFormatting>
  <conditionalFormatting sqref="E1651">
    <cfRule type="cellIs" dxfId="1" priority="3587" operator="equal">
      <formula>0</formula>
    </cfRule>
  </conditionalFormatting>
  <conditionalFormatting sqref="E1653">
    <cfRule type="expression" dxfId="0" priority="3591">
      <formula>E1654=0</formula>
    </cfRule>
  </conditionalFormatting>
  <conditionalFormatting sqref="E1654">
    <cfRule type="cellIs" dxfId="1" priority="3598" operator="equal">
      <formula>0</formula>
    </cfRule>
  </conditionalFormatting>
  <conditionalFormatting sqref="E1656">
    <cfRule type="cellIs" dxfId="1" priority="3605" operator="equal">
      <formula>0</formula>
    </cfRule>
  </conditionalFormatting>
  <conditionalFormatting sqref="E1662">
    <cfRule type="expression" dxfId="0" priority="3616">
      <formula>E1663=0</formula>
    </cfRule>
  </conditionalFormatting>
  <conditionalFormatting sqref="E1663">
    <cfRule type="cellIs" dxfId="1" priority="3619" operator="equal">
      <formula>0</formula>
    </cfRule>
  </conditionalFormatting>
  <conditionalFormatting sqref="E1666">
    <cfRule type="cellIs" dxfId="1" priority="3623" operator="equal">
      <formula>0</formula>
    </cfRule>
  </conditionalFormatting>
  <conditionalFormatting sqref="E1677">
    <cfRule type="expression" dxfId="0" priority="3629">
      <formula>E1678=0</formula>
    </cfRule>
  </conditionalFormatting>
  <conditionalFormatting sqref="E1678">
    <cfRule type="cellIs" dxfId="1" priority="3635" operator="equal">
      <formula>0</formula>
    </cfRule>
  </conditionalFormatting>
  <conditionalFormatting sqref="E1679">
    <cfRule type="cellIs" dxfId="1" priority="3641" operator="equal">
      <formula>0</formula>
    </cfRule>
  </conditionalFormatting>
  <conditionalFormatting sqref="E1681">
    <cfRule type="cellIs" dxfId="1" priority="3648" operator="equal">
      <formula>0</formula>
    </cfRule>
  </conditionalFormatting>
  <conditionalFormatting sqref="E1682">
    <cfRule type="cellIs" dxfId="1" priority="3652" operator="equal">
      <formula>0</formula>
    </cfRule>
  </conditionalFormatting>
  <conditionalFormatting sqref="E1683">
    <cfRule type="cellIs" dxfId="1" priority="3657" operator="equal">
      <formula>0</formula>
    </cfRule>
  </conditionalFormatting>
  <conditionalFormatting sqref="E1684">
    <cfRule type="cellIs" dxfId="1" priority="3661" operator="equal">
      <formula>0</formula>
    </cfRule>
  </conditionalFormatting>
  <conditionalFormatting sqref="E169">
    <cfRule type="cellIs" dxfId="1" priority="415" operator="equal">
      <formula>0</formula>
    </cfRule>
  </conditionalFormatting>
  <conditionalFormatting sqref="E171">
    <cfRule type="expression" dxfId="0" priority="419">
      <formula>E172=0</formula>
    </cfRule>
  </conditionalFormatting>
  <conditionalFormatting sqref="E1710">
    <cfRule type="expression" dxfId="0" priority="3687">
      <formula>E1711=0</formula>
    </cfRule>
  </conditionalFormatting>
  <conditionalFormatting sqref="E1711">
    <cfRule type="cellIs" dxfId="1" priority="3692" operator="equal">
      <formula>0</formula>
    </cfRule>
  </conditionalFormatting>
  <conditionalFormatting sqref="E1712">
    <cfRule type="cellIs" dxfId="1" priority="3697" operator="equal">
      <formula>0</formula>
    </cfRule>
  </conditionalFormatting>
  <conditionalFormatting sqref="E1713">
    <cfRule type="cellIs" dxfId="1" priority="3702" operator="equal">
      <formula>0</formula>
    </cfRule>
  </conditionalFormatting>
  <conditionalFormatting sqref="E172">
    <cfRule type="cellIs" dxfId="1" priority="423" operator="equal">
      <formula>0</formula>
    </cfRule>
  </conditionalFormatting>
  <conditionalFormatting sqref="E1731">
    <cfRule type="expression" dxfId="0" priority="3718">
      <formula>E1732=0</formula>
    </cfRule>
  </conditionalFormatting>
  <conditionalFormatting sqref="E1732">
    <cfRule type="cellIs" dxfId="1" priority="3723" operator="equal">
      <formula>0</formula>
    </cfRule>
  </conditionalFormatting>
  <conditionalFormatting sqref="E1733">
    <cfRule type="cellIs" dxfId="1" priority="3728" operator="equal">
      <formula>0</formula>
    </cfRule>
  </conditionalFormatting>
  <conditionalFormatting sqref="E1734">
    <cfRule type="cellIs" dxfId="1" priority="3733" operator="equal">
      <formula>0</formula>
    </cfRule>
  </conditionalFormatting>
  <conditionalFormatting sqref="E1752">
    <cfRule type="expression" dxfId="0" priority="3746">
      <formula>E1753=0</formula>
    </cfRule>
  </conditionalFormatting>
  <conditionalFormatting sqref="E1753">
    <cfRule type="cellIs" dxfId="1" priority="3752" operator="equal">
      <formula>0</formula>
    </cfRule>
  </conditionalFormatting>
  <conditionalFormatting sqref="E1754">
    <cfRule type="cellIs" dxfId="1" priority="3758" operator="equal">
      <formula>0</formula>
    </cfRule>
  </conditionalFormatting>
  <conditionalFormatting sqref="E1755">
    <cfRule type="cellIs" dxfId="1" priority="3763" operator="equal">
      <formula>0</formula>
    </cfRule>
  </conditionalFormatting>
  <conditionalFormatting sqref="E1756">
    <cfRule type="cellIs" dxfId="1" priority="3768" operator="equal">
      <formula>0</formula>
    </cfRule>
  </conditionalFormatting>
  <conditionalFormatting sqref="E1757">
    <cfRule type="cellIs" dxfId="1" priority="3772" operator="equal">
      <formula>0</formula>
    </cfRule>
  </conditionalFormatting>
  <conditionalFormatting sqref="E1758">
    <cfRule type="cellIs" dxfId="1" priority="3776" operator="equal">
      <formula>0</formula>
    </cfRule>
  </conditionalFormatting>
  <conditionalFormatting sqref="E177">
    <cfRule type="cellIs" dxfId="1" priority="431" operator="equal">
      <formula>0</formula>
    </cfRule>
  </conditionalFormatting>
  <conditionalFormatting sqref="E1782">
    <cfRule type="expression" dxfId="0" priority="3799">
      <formula>E1783=0</formula>
    </cfRule>
  </conditionalFormatting>
  <conditionalFormatting sqref="E1783">
    <cfRule type="cellIs" dxfId="1" priority="3807" operator="equal">
      <formula>0</formula>
    </cfRule>
  </conditionalFormatting>
  <conditionalFormatting sqref="E1784">
    <cfRule type="cellIs" dxfId="1" priority="3815" operator="equal">
      <formula>0</formula>
    </cfRule>
  </conditionalFormatting>
  <conditionalFormatting sqref="E1785">
    <cfRule type="cellIs" dxfId="1" priority="3818" operator="equal">
      <formula>0</formula>
    </cfRule>
  </conditionalFormatting>
  <conditionalFormatting sqref="E1786">
    <cfRule type="cellIs" dxfId="1" priority="3824" operator="equal">
      <formula>0</formula>
    </cfRule>
  </conditionalFormatting>
  <conditionalFormatting sqref="E1787">
    <cfRule type="cellIs" dxfId="1" priority="3828" operator="equal">
      <formula>0</formula>
    </cfRule>
  </conditionalFormatting>
  <conditionalFormatting sqref="E1788">
    <cfRule type="cellIs" dxfId="1" priority="3832" operator="equal">
      <formula>0</formula>
    </cfRule>
  </conditionalFormatting>
  <conditionalFormatting sqref="E1789">
    <cfRule type="cellIs" dxfId="1" priority="3836" operator="equal">
      <formula>0</formula>
    </cfRule>
  </conditionalFormatting>
  <conditionalFormatting sqref="E1790">
    <cfRule type="cellIs" dxfId="1" priority="3840" operator="equal">
      <formula>0</formula>
    </cfRule>
  </conditionalFormatting>
  <conditionalFormatting sqref="E1791">
    <cfRule type="cellIs" dxfId="1" priority="3844" operator="equal">
      <formula>0</formula>
    </cfRule>
  </conditionalFormatting>
  <conditionalFormatting sqref="E1792">
    <cfRule type="cellIs" dxfId="1" priority="3848" operator="equal">
      <formula>0</formula>
    </cfRule>
  </conditionalFormatting>
  <conditionalFormatting sqref="E1794">
    <cfRule type="cellIs" dxfId="1" priority="3857" operator="equal">
      <formula>0</formula>
    </cfRule>
  </conditionalFormatting>
  <conditionalFormatting sqref="E1796">
    <cfRule type="cellIs" dxfId="1" priority="3865" operator="equal">
      <formula>0</formula>
    </cfRule>
  </conditionalFormatting>
  <conditionalFormatting sqref="E1797">
    <cfRule type="cellIs" dxfId="1" priority="3870" operator="equal">
      <formula>0</formula>
    </cfRule>
  </conditionalFormatting>
  <conditionalFormatting sqref="E1801">
    <cfRule type="expression" dxfId="0" priority="3882">
      <formula>E1802=0</formula>
    </cfRule>
  </conditionalFormatting>
  <conditionalFormatting sqref="E1802">
    <cfRule type="cellIs" dxfId="1" priority="3887" operator="equal">
      <formula>0</formula>
    </cfRule>
  </conditionalFormatting>
  <conditionalFormatting sqref="E1804">
    <cfRule type="cellIs" dxfId="1" priority="3893" operator="equal">
      <formula>0</formula>
    </cfRule>
  </conditionalFormatting>
  <conditionalFormatting sqref="E1820">
    <cfRule type="expression" dxfId="0" priority="3923">
      <formula>E1821=0</formula>
    </cfRule>
  </conditionalFormatting>
  <conditionalFormatting sqref="E1821">
    <cfRule type="cellIs" dxfId="1" priority="3926" operator="equal">
      <formula>0</formula>
    </cfRule>
  </conditionalFormatting>
  <conditionalFormatting sqref="E1823">
    <cfRule type="cellIs" dxfId="1" priority="3930" operator="equal">
      <formula>0</formula>
    </cfRule>
  </conditionalFormatting>
  <conditionalFormatting sqref="E1845">
    <cfRule type="expression" dxfId="0" priority="3954">
      <formula>E1846=0</formula>
    </cfRule>
  </conditionalFormatting>
  <conditionalFormatting sqref="E1846">
    <cfRule type="cellIs" dxfId="1" priority="3960" operator="equal">
      <formula>0</formula>
    </cfRule>
  </conditionalFormatting>
  <conditionalFormatting sqref="E1847">
    <cfRule type="cellIs" dxfId="1" priority="3966" operator="equal">
      <formula>0</formula>
    </cfRule>
  </conditionalFormatting>
  <conditionalFormatting sqref="E1848">
    <cfRule type="cellIs" dxfId="1" priority="3970" operator="equal">
      <formula>0</formula>
    </cfRule>
  </conditionalFormatting>
  <conditionalFormatting sqref="E1849">
    <cfRule type="cellIs" dxfId="1" priority="3975" operator="equal">
      <formula>0</formula>
    </cfRule>
  </conditionalFormatting>
  <conditionalFormatting sqref="E1850">
    <cfRule type="cellIs" dxfId="1" priority="3980" operator="equal">
      <formula>0</formula>
    </cfRule>
  </conditionalFormatting>
  <conditionalFormatting sqref="E1852">
    <cfRule type="expression" dxfId="0" priority="3984">
      <formula>E1853=0</formula>
    </cfRule>
  </conditionalFormatting>
  <conditionalFormatting sqref="E1853">
    <cfRule type="cellIs" dxfId="1" priority="3989" operator="equal">
      <formula>0</formula>
    </cfRule>
  </conditionalFormatting>
  <conditionalFormatting sqref="E1856">
    <cfRule type="cellIs" dxfId="1" priority="3997" operator="equal">
      <formula>0</formula>
    </cfRule>
  </conditionalFormatting>
  <conditionalFormatting sqref="E1872">
    <cfRule type="expression" dxfId="0" priority="4011">
      <formula>E1873=0</formula>
    </cfRule>
  </conditionalFormatting>
  <conditionalFormatting sqref="E1873">
    <cfRule type="cellIs" dxfId="1" priority="4015" operator="equal">
      <formula>0</formula>
    </cfRule>
  </conditionalFormatting>
  <conditionalFormatting sqref="E1874">
    <cfRule type="cellIs" dxfId="1" priority="4019" operator="equal">
      <formula>0</formula>
    </cfRule>
  </conditionalFormatting>
  <conditionalFormatting sqref="E1890">
    <cfRule type="expression" dxfId="0" priority="4029">
      <formula>E1891=0</formula>
    </cfRule>
  </conditionalFormatting>
  <conditionalFormatting sqref="E1891">
    <cfRule type="cellIs" dxfId="1" priority="4036" operator="equal">
      <formula>0</formula>
    </cfRule>
  </conditionalFormatting>
  <conditionalFormatting sqref="E1892">
    <cfRule type="cellIs" dxfId="1" priority="4043" operator="equal">
      <formula>0</formula>
    </cfRule>
  </conditionalFormatting>
  <conditionalFormatting sqref="E1894">
    <cfRule type="cellIs" dxfId="1" priority="4050" operator="equal">
      <formula>0</formula>
    </cfRule>
  </conditionalFormatting>
  <conditionalFormatting sqref="E1895">
    <cfRule type="cellIs" dxfId="1" priority="4054" operator="equal">
      <formula>0</formula>
    </cfRule>
  </conditionalFormatting>
  <conditionalFormatting sqref="E1896">
    <cfRule type="cellIs" dxfId="1" priority="4058" operator="equal">
      <formula>0</formula>
    </cfRule>
  </conditionalFormatting>
  <conditionalFormatting sqref="E1897">
    <cfRule type="cellIs" dxfId="1" priority="4062" operator="equal">
      <formula>0</formula>
    </cfRule>
  </conditionalFormatting>
  <conditionalFormatting sqref="E1898">
    <cfRule type="cellIs" dxfId="1" priority="4067" operator="equal">
      <formula>0</formula>
    </cfRule>
  </conditionalFormatting>
  <conditionalFormatting sqref="E1926">
    <cfRule type="expression" dxfId="0" priority="4096">
      <formula>E1927=0</formula>
    </cfRule>
  </conditionalFormatting>
  <conditionalFormatting sqref="E1927">
    <cfRule type="cellIs" dxfId="1" priority="4102" operator="equal">
      <formula>0</formula>
    </cfRule>
  </conditionalFormatting>
  <conditionalFormatting sqref="E1928">
    <cfRule type="cellIs" dxfId="1" priority="4108" operator="equal">
      <formula>0</formula>
    </cfRule>
  </conditionalFormatting>
  <conditionalFormatting sqref="E1929">
    <cfRule type="cellIs" dxfId="1" priority="4112" operator="equal">
      <formula>0</formula>
    </cfRule>
  </conditionalFormatting>
  <conditionalFormatting sqref="E1930">
    <cfRule type="cellIs" dxfId="1" priority="4118" operator="equal">
      <formula>0</formula>
    </cfRule>
  </conditionalFormatting>
  <conditionalFormatting sqref="E1931">
    <cfRule type="cellIs" dxfId="1" priority="4121" operator="equal">
      <formula>0</formula>
    </cfRule>
  </conditionalFormatting>
  <conditionalFormatting sqref="E1932">
    <cfRule type="cellIs" dxfId="1" priority="4125" operator="equal">
      <formula>0</formula>
    </cfRule>
  </conditionalFormatting>
  <conditionalFormatting sqref="E1933">
    <cfRule type="cellIs" dxfId="1" priority="4129" operator="equal">
      <formula>0</formula>
    </cfRule>
  </conditionalFormatting>
  <conditionalFormatting sqref="E1959">
    <cfRule type="expression" dxfId="0" priority="4155">
      <formula>E1960=0</formula>
    </cfRule>
  </conditionalFormatting>
  <conditionalFormatting sqref="E1960">
    <cfRule type="cellIs" dxfId="1" priority="4162" operator="equal">
      <formula>0</formula>
    </cfRule>
  </conditionalFormatting>
  <conditionalFormatting sqref="E1961">
    <cfRule type="cellIs" dxfId="1" priority="4169" operator="equal">
      <formula>0</formula>
    </cfRule>
  </conditionalFormatting>
  <conditionalFormatting sqref="E1962">
    <cfRule type="cellIs" dxfId="1" priority="4173" operator="equal">
      <formula>0</formula>
    </cfRule>
  </conditionalFormatting>
  <conditionalFormatting sqref="E1963">
    <cfRule type="cellIs" dxfId="1" priority="4178" operator="equal">
      <formula>0</formula>
    </cfRule>
  </conditionalFormatting>
  <conditionalFormatting sqref="E1965">
    <cfRule type="cellIs" dxfId="1" priority="4185" operator="equal">
      <formula>0</formula>
    </cfRule>
  </conditionalFormatting>
  <conditionalFormatting sqref="E1966">
    <cfRule type="cellIs" dxfId="1" priority="4190" operator="equal">
      <formula>0</formula>
    </cfRule>
  </conditionalFormatting>
  <conditionalFormatting sqref="E1967">
    <cfRule type="cellIs" dxfId="1" priority="4194" operator="equal">
      <formula>0</formula>
    </cfRule>
  </conditionalFormatting>
  <conditionalFormatting sqref="E1995">
    <cfRule type="expression" dxfId="0" priority="4222">
      <formula>E1996=0</formula>
    </cfRule>
  </conditionalFormatting>
  <conditionalFormatting sqref="E1996">
    <cfRule type="cellIs" dxfId="1" priority="4231" operator="equal">
      <formula>0</formula>
    </cfRule>
  </conditionalFormatting>
  <conditionalFormatting sqref="E1997">
    <cfRule type="cellIs" dxfId="1" priority="4240" operator="equal">
      <formula>0</formula>
    </cfRule>
  </conditionalFormatting>
  <conditionalFormatting sqref="E2000">
    <cfRule type="cellIs" dxfId="1" priority="4254" operator="equal">
      <formula>0</formula>
    </cfRule>
  </conditionalFormatting>
  <conditionalFormatting sqref="E2002">
    <cfRule type="expression" dxfId="0" priority="4260">
      <formula>E2003=0</formula>
    </cfRule>
  </conditionalFormatting>
  <conditionalFormatting sqref="E2003">
    <cfRule type="cellIs" dxfId="1" priority="4263" operator="equal">
      <formula>0</formula>
    </cfRule>
  </conditionalFormatting>
  <conditionalFormatting sqref="E2006">
    <cfRule type="cellIs" dxfId="1" priority="4268" operator="equal">
      <formula>0</formula>
    </cfRule>
  </conditionalFormatting>
  <conditionalFormatting sqref="E2022">
    <cfRule type="expression" dxfId="0" priority="4278">
      <formula>E2023=0</formula>
    </cfRule>
  </conditionalFormatting>
  <conditionalFormatting sqref="E2023">
    <cfRule type="cellIs" dxfId="1" priority="4285" operator="equal">
      <formula>0</formula>
    </cfRule>
  </conditionalFormatting>
  <conditionalFormatting sqref="E2024">
    <cfRule type="cellIs" dxfId="1" priority="4292" operator="equal">
      <formula>0</formula>
    </cfRule>
  </conditionalFormatting>
  <conditionalFormatting sqref="E2025">
    <cfRule type="cellIs" dxfId="1" priority="4296" operator="equal">
      <formula>0</formula>
    </cfRule>
  </conditionalFormatting>
  <conditionalFormatting sqref="E2026">
    <cfRule type="cellIs" dxfId="1" priority="4300" operator="equal">
      <formula>0</formula>
    </cfRule>
  </conditionalFormatting>
  <conditionalFormatting sqref="E2028">
    <cfRule type="cellIs" dxfId="1" priority="4307" operator="equal">
      <formula>0</formula>
    </cfRule>
  </conditionalFormatting>
  <conditionalFormatting sqref="E2029">
    <cfRule type="cellIs" dxfId="1" priority="4311" operator="equal">
      <formula>0</formula>
    </cfRule>
  </conditionalFormatting>
  <conditionalFormatting sqref="E2030">
    <cfRule type="cellIs" dxfId="1" priority="4315" operator="equal">
      <formula>0</formula>
    </cfRule>
  </conditionalFormatting>
  <conditionalFormatting sqref="E2032">
    <cfRule type="cellIs" dxfId="1" priority="4322" operator="equal">
      <formula>0</formula>
    </cfRule>
  </conditionalFormatting>
  <conditionalFormatting sqref="E2033">
    <cfRule type="cellIs" dxfId="1" priority="4327" operator="equal">
      <formula>0</formula>
    </cfRule>
  </conditionalFormatting>
  <conditionalFormatting sqref="E2034">
    <cfRule type="cellIs" dxfId="1" priority="4332" operator="equal">
      <formula>0</formula>
    </cfRule>
  </conditionalFormatting>
  <conditionalFormatting sqref="E2035">
    <cfRule type="cellIs" dxfId="1" priority="4336" operator="equal">
      <formula>0</formula>
    </cfRule>
  </conditionalFormatting>
  <conditionalFormatting sqref="E2036">
    <cfRule type="cellIs" dxfId="1" priority="4340" operator="equal">
      <formula>0</formula>
    </cfRule>
  </conditionalFormatting>
  <conditionalFormatting sqref="E2037">
    <cfRule type="cellIs" dxfId="1" priority="4344" operator="equal">
      <formula>0</formula>
    </cfRule>
  </conditionalFormatting>
  <conditionalFormatting sqref="E2038">
    <cfRule type="cellIs" dxfId="1" priority="4348" operator="equal">
      <formula>0</formula>
    </cfRule>
  </conditionalFormatting>
  <conditionalFormatting sqref="E2039">
    <cfRule type="cellIs" dxfId="1" priority="4353" operator="equal">
      <formula>0</formula>
    </cfRule>
  </conditionalFormatting>
  <conditionalFormatting sqref="E204">
    <cfRule type="expression" dxfId="0" priority="455">
      <formula>E205=0</formula>
    </cfRule>
  </conditionalFormatting>
  <conditionalFormatting sqref="E2041">
    <cfRule type="expression" dxfId="0" priority="4358">
      <formula>E2042=0</formula>
    </cfRule>
  </conditionalFormatting>
  <conditionalFormatting sqref="E2042">
    <cfRule type="cellIs" dxfId="1" priority="4367" operator="equal">
      <formula>0</formula>
    </cfRule>
  </conditionalFormatting>
  <conditionalFormatting sqref="E2044">
    <cfRule type="cellIs" dxfId="1" priority="4376" operator="equal">
      <formula>0</formula>
    </cfRule>
  </conditionalFormatting>
  <conditionalFormatting sqref="E2046">
    <cfRule type="cellIs" dxfId="1" priority="4381" operator="equal">
      <formula>0</formula>
    </cfRule>
  </conditionalFormatting>
  <conditionalFormatting sqref="E205">
    <cfRule type="cellIs" dxfId="1" priority="467" operator="equal">
      <formula>0</formula>
    </cfRule>
  </conditionalFormatting>
  <conditionalFormatting sqref="E206">
    <cfRule type="cellIs" dxfId="1" priority="479" operator="equal">
      <formula>0</formula>
    </cfRule>
  </conditionalFormatting>
  <conditionalFormatting sqref="E2060">
    <cfRule type="expression" dxfId="0" priority="4407">
      <formula>E2061=0</formula>
    </cfRule>
  </conditionalFormatting>
  <conditionalFormatting sqref="E2061">
    <cfRule type="cellIs" dxfId="1" priority="4410" operator="equal">
      <formula>0</formula>
    </cfRule>
  </conditionalFormatting>
  <conditionalFormatting sqref="E207">
    <cfRule type="cellIs" dxfId="1" priority="484" operator="equal">
      <formula>0</formula>
    </cfRule>
  </conditionalFormatting>
  <conditionalFormatting sqref="E2073">
    <cfRule type="cellIs" dxfId="1" priority="4423" operator="equal">
      <formula>0</formula>
    </cfRule>
  </conditionalFormatting>
  <conditionalFormatting sqref="E2074">
    <cfRule type="cellIs" dxfId="1" priority="4425" operator="equal">
      <formula>0</formula>
    </cfRule>
  </conditionalFormatting>
  <conditionalFormatting sqref="E2076">
    <cfRule type="cellIs" dxfId="1" priority="4427" operator="equal">
      <formula>0</formula>
    </cfRule>
  </conditionalFormatting>
  <conditionalFormatting sqref="E208">
    <cfRule type="cellIs" dxfId="1" priority="488" operator="equal">
      <formula>0</formula>
    </cfRule>
  </conditionalFormatting>
  <conditionalFormatting sqref="E2085">
    <cfRule type="expression" dxfId="0" priority="4431">
      <formula>E2086=0</formula>
    </cfRule>
  </conditionalFormatting>
  <conditionalFormatting sqref="E2086">
    <cfRule type="cellIs" dxfId="1" priority="4440" operator="equal">
      <formula>0</formula>
    </cfRule>
  </conditionalFormatting>
  <conditionalFormatting sqref="E2087">
    <cfRule type="cellIs" dxfId="1" priority="4449" operator="equal">
      <formula>0</formula>
    </cfRule>
  </conditionalFormatting>
  <conditionalFormatting sqref="E2089">
    <cfRule type="cellIs" dxfId="1" priority="4458" operator="equal">
      <formula>0</formula>
    </cfRule>
  </conditionalFormatting>
  <conditionalFormatting sqref="E209">
    <cfRule type="cellIs" dxfId="1" priority="492" operator="equal">
      <formula>0</formula>
    </cfRule>
  </conditionalFormatting>
  <conditionalFormatting sqref="E2090">
    <cfRule type="cellIs" dxfId="1" priority="4463" operator="equal">
      <formula>0</formula>
    </cfRule>
  </conditionalFormatting>
  <conditionalFormatting sqref="E2091">
    <cfRule type="cellIs" dxfId="1" priority="4468" operator="equal">
      <formula>0</formula>
    </cfRule>
  </conditionalFormatting>
  <conditionalFormatting sqref="E2093">
    <cfRule type="expression" dxfId="0" priority="4473">
      <formula>E2094=0</formula>
    </cfRule>
  </conditionalFormatting>
  <conditionalFormatting sqref="E2094">
    <cfRule type="cellIs" dxfId="1" priority="4478" operator="equal">
      <formula>0</formula>
    </cfRule>
  </conditionalFormatting>
  <conditionalFormatting sqref="E2096">
    <cfRule type="cellIs" dxfId="1" priority="4483" operator="equal">
      <formula>0</formula>
    </cfRule>
  </conditionalFormatting>
  <conditionalFormatting sqref="E210">
    <cfRule type="cellIs" dxfId="1" priority="497" operator="equal">
      <formula>0</formula>
    </cfRule>
  </conditionalFormatting>
  <conditionalFormatting sqref="E211">
    <cfRule type="cellIs" dxfId="1" priority="501" operator="equal">
      <formula>0</formula>
    </cfRule>
  </conditionalFormatting>
  <conditionalFormatting sqref="E2115">
    <cfRule type="expression" dxfId="0" priority="4498">
      <formula>E2116=0</formula>
    </cfRule>
  </conditionalFormatting>
  <conditionalFormatting sqref="E2116">
    <cfRule type="cellIs" dxfId="1" priority="4505" operator="equal">
      <formula>0</formula>
    </cfRule>
  </conditionalFormatting>
  <conditionalFormatting sqref="E2118">
    <cfRule type="cellIs" dxfId="1" priority="4516" operator="equal">
      <formula>0</formula>
    </cfRule>
  </conditionalFormatting>
  <conditionalFormatting sqref="E213">
    <cfRule type="cellIs" dxfId="1" priority="508" operator="equal">
      <formula>0</formula>
    </cfRule>
  </conditionalFormatting>
  <conditionalFormatting sqref="E2136">
    <cfRule type="expression" dxfId="0" priority="4528">
      <formula>E2137=0</formula>
    </cfRule>
  </conditionalFormatting>
  <conditionalFormatting sqref="E2137">
    <cfRule type="cellIs" dxfId="1" priority="4533" operator="equal">
      <formula>0</formula>
    </cfRule>
  </conditionalFormatting>
  <conditionalFormatting sqref="E2138">
    <cfRule type="cellIs" dxfId="1" priority="4538" operator="equal">
      <formula>0</formula>
    </cfRule>
  </conditionalFormatting>
  <conditionalFormatting sqref="E2139">
    <cfRule type="cellIs" dxfId="1" priority="4542" operator="equal">
      <formula>0</formula>
    </cfRule>
  </conditionalFormatting>
  <conditionalFormatting sqref="E214">
    <cfRule type="cellIs" dxfId="1" priority="513" operator="equal">
      <formula>0</formula>
    </cfRule>
  </conditionalFormatting>
  <conditionalFormatting sqref="E2140">
    <cfRule type="cellIs" dxfId="1" priority="4546" operator="equal">
      <formula>0</formula>
    </cfRule>
  </conditionalFormatting>
  <conditionalFormatting sqref="E2141">
    <cfRule type="cellIs" dxfId="1" priority="4550" operator="equal">
      <formula>0</formula>
    </cfRule>
  </conditionalFormatting>
  <conditionalFormatting sqref="E2142">
    <cfRule type="cellIs" dxfId="1" priority="4554" operator="equal">
      <formula>0</formula>
    </cfRule>
  </conditionalFormatting>
  <conditionalFormatting sqref="E2143">
    <cfRule type="cellIs" dxfId="1" priority="4558" operator="equal">
      <formula>0</formula>
    </cfRule>
  </conditionalFormatting>
  <conditionalFormatting sqref="E2144">
    <cfRule type="cellIs" dxfId="1" priority="4562" operator="equal">
      <formula>0</formula>
    </cfRule>
  </conditionalFormatting>
  <conditionalFormatting sqref="E2145">
    <cfRule type="cellIs" dxfId="1" priority="4566" operator="equal">
      <formula>0</formula>
    </cfRule>
  </conditionalFormatting>
  <conditionalFormatting sqref="E2148">
    <cfRule type="cellIs" dxfId="1" priority="4576" operator="equal">
      <formula>0</formula>
    </cfRule>
  </conditionalFormatting>
  <conditionalFormatting sqref="E2149">
    <cfRule type="cellIs" dxfId="1" priority="4580" operator="equal">
      <formula>0</formula>
    </cfRule>
  </conditionalFormatting>
  <conditionalFormatting sqref="E215">
    <cfRule type="cellIs" dxfId="1" priority="517" operator="equal">
      <formula>0</formula>
    </cfRule>
  </conditionalFormatting>
  <conditionalFormatting sqref="E2166">
    <cfRule type="expression" dxfId="0" priority="4610">
      <formula>E2167=0</formula>
    </cfRule>
  </conditionalFormatting>
  <conditionalFormatting sqref="E2167">
    <cfRule type="cellIs" dxfId="1" priority="4613" operator="equal">
      <formula>0</formula>
    </cfRule>
  </conditionalFormatting>
  <conditionalFormatting sqref="E217">
    <cfRule type="cellIs" dxfId="1" priority="526" operator="equal">
      <formula>0</formula>
    </cfRule>
  </conditionalFormatting>
  <conditionalFormatting sqref="E2171">
    <cfRule type="cellIs" dxfId="1" priority="4621" operator="equal">
      <formula>0</formula>
    </cfRule>
  </conditionalFormatting>
  <conditionalFormatting sqref="E218">
    <cfRule type="cellIs" dxfId="1" priority="530" operator="equal">
      <formula>0</formula>
    </cfRule>
  </conditionalFormatting>
  <conditionalFormatting sqref="E2187">
    <cfRule type="expression" dxfId="0" priority="4638">
      <formula>E2188=0</formula>
    </cfRule>
  </conditionalFormatting>
  <conditionalFormatting sqref="E2188">
    <cfRule type="cellIs" dxfId="1" priority="4642" operator="equal">
      <formula>0</formula>
    </cfRule>
  </conditionalFormatting>
  <conditionalFormatting sqref="E2189">
    <cfRule type="cellIs" dxfId="1" priority="4646" operator="equal">
      <formula>0</formula>
    </cfRule>
  </conditionalFormatting>
  <conditionalFormatting sqref="E220">
    <cfRule type="cellIs" dxfId="1" priority="540" operator="equal">
      <formula>0</formula>
    </cfRule>
  </conditionalFormatting>
  <conditionalFormatting sqref="E2205">
    <cfRule type="expression" dxfId="0" priority="4659">
      <formula>E2206=0</formula>
    </cfRule>
  </conditionalFormatting>
  <conditionalFormatting sqref="E2206">
    <cfRule type="cellIs" dxfId="1" priority="4663" operator="equal">
      <formula>0</formula>
    </cfRule>
  </conditionalFormatting>
  <conditionalFormatting sqref="E2207">
    <cfRule type="cellIs" dxfId="1" priority="4667" operator="equal">
      <formula>0</formula>
    </cfRule>
  </conditionalFormatting>
  <conditionalFormatting sqref="E2223">
    <cfRule type="expression" dxfId="0" priority="4683">
      <formula>E2224=0</formula>
    </cfRule>
  </conditionalFormatting>
  <conditionalFormatting sqref="E2224">
    <cfRule type="cellIs" dxfId="1" priority="4687" operator="equal">
      <formula>0</formula>
    </cfRule>
  </conditionalFormatting>
  <conditionalFormatting sqref="E2225">
    <cfRule type="cellIs" dxfId="1" priority="4691" operator="equal">
      <formula>0</formula>
    </cfRule>
  </conditionalFormatting>
  <conditionalFormatting sqref="E2226">
    <cfRule type="cellIs" dxfId="1" priority="4695" operator="equal">
      <formula>0</formula>
    </cfRule>
  </conditionalFormatting>
  <conditionalFormatting sqref="E2227">
    <cfRule type="cellIs" dxfId="1" priority="4699" operator="equal">
      <formula>0</formula>
    </cfRule>
  </conditionalFormatting>
  <conditionalFormatting sqref="E2228">
    <cfRule type="cellIs" dxfId="1" priority="4703" operator="equal">
      <formula>0</formula>
    </cfRule>
  </conditionalFormatting>
  <conditionalFormatting sqref="E223">
    <cfRule type="expression" dxfId="0" priority="551">
      <formula>E224=0</formula>
    </cfRule>
  </conditionalFormatting>
  <conditionalFormatting sqref="E2230">
    <cfRule type="expression" dxfId="0" priority="4707">
      <formula>E2231=0</formula>
    </cfRule>
  </conditionalFormatting>
  <conditionalFormatting sqref="E2231">
    <cfRule type="cellIs" dxfId="1" priority="4712" operator="equal">
      <formula>0</formula>
    </cfRule>
  </conditionalFormatting>
  <conditionalFormatting sqref="E2233">
    <cfRule type="cellIs" dxfId="1" priority="4718" operator="equal">
      <formula>0</formula>
    </cfRule>
  </conditionalFormatting>
  <conditionalFormatting sqref="E224">
    <cfRule type="cellIs" dxfId="1" priority="557" operator="equal">
      <formula>0</formula>
    </cfRule>
  </conditionalFormatting>
  <conditionalFormatting sqref="E2250">
    <cfRule type="expression" dxfId="0" priority="4730">
      <formula>E2251=0</formula>
    </cfRule>
  </conditionalFormatting>
  <conditionalFormatting sqref="E2251">
    <cfRule type="cellIs" dxfId="1" priority="4736" operator="equal">
      <formula>0</formula>
    </cfRule>
  </conditionalFormatting>
  <conditionalFormatting sqref="E2252">
    <cfRule type="cellIs" dxfId="1" priority="4742" operator="equal">
      <formula>0</formula>
    </cfRule>
  </conditionalFormatting>
  <conditionalFormatting sqref="E2253">
    <cfRule type="cellIs" dxfId="1" priority="4748" operator="equal">
      <formula>0</formula>
    </cfRule>
  </conditionalFormatting>
  <conditionalFormatting sqref="E226">
    <cfRule type="cellIs" dxfId="1" priority="563" operator="equal">
      <formula>0</formula>
    </cfRule>
  </conditionalFormatting>
  <conditionalFormatting sqref="E2271">
    <cfRule type="expression" dxfId="0" priority="4762">
      <formula>E2272=0</formula>
    </cfRule>
  </conditionalFormatting>
  <conditionalFormatting sqref="E2272">
    <cfRule type="cellIs" dxfId="1" priority="4768" operator="equal">
      <formula>0</formula>
    </cfRule>
  </conditionalFormatting>
  <conditionalFormatting sqref="E2273">
    <cfRule type="cellIs" dxfId="1" priority="4774" operator="equal">
      <formula>0</formula>
    </cfRule>
  </conditionalFormatting>
  <conditionalFormatting sqref="E2274">
    <cfRule type="cellIs" dxfId="1" priority="4778" operator="equal">
      <formula>0</formula>
    </cfRule>
  </conditionalFormatting>
  <conditionalFormatting sqref="E2275">
    <cfRule type="cellIs" dxfId="1" priority="4783" operator="equal">
      <formula>0</formula>
    </cfRule>
  </conditionalFormatting>
  <conditionalFormatting sqref="E2276">
    <cfRule type="cellIs" dxfId="1" priority="4788" operator="equal">
      <formula>0</formula>
    </cfRule>
  </conditionalFormatting>
  <conditionalFormatting sqref="E2277">
    <cfRule type="cellIs" dxfId="1" priority="4792" operator="equal">
      <formula>0</formula>
    </cfRule>
  </conditionalFormatting>
  <conditionalFormatting sqref="E2278">
    <cfRule type="cellIs" dxfId="1" priority="4796" operator="equal">
      <formula>0</formula>
    </cfRule>
  </conditionalFormatting>
  <conditionalFormatting sqref="E2279">
    <cfRule type="cellIs" dxfId="1" priority="4799" operator="equal">
      <formula>0</formula>
    </cfRule>
  </conditionalFormatting>
  <conditionalFormatting sqref="E228">
    <cfRule type="cellIs" dxfId="1" priority="567" operator="equal">
      <formula>0</formula>
    </cfRule>
  </conditionalFormatting>
  <conditionalFormatting sqref="E2280">
    <cfRule type="cellIs" dxfId="1" priority="4803" operator="equal">
      <formula>0</formula>
    </cfRule>
  </conditionalFormatting>
  <conditionalFormatting sqref="E2281">
    <cfRule type="cellIs" dxfId="1" priority="4807" operator="equal">
      <formula>0</formula>
    </cfRule>
  </conditionalFormatting>
  <conditionalFormatting sqref="E2283">
    <cfRule type="cellIs" dxfId="1" priority="4815" operator="equal">
      <formula>0</formula>
    </cfRule>
  </conditionalFormatting>
  <conditionalFormatting sqref="E2287">
    <cfRule type="cellIs" dxfId="1" priority="4831" operator="equal">
      <formula>0</formula>
    </cfRule>
  </conditionalFormatting>
  <conditionalFormatting sqref="E2288">
    <cfRule type="cellIs" dxfId="1" priority="4836" operator="equal">
      <formula>0</formula>
    </cfRule>
  </conditionalFormatting>
  <conditionalFormatting sqref="E2290">
    <cfRule type="expression" dxfId="0" priority="4841">
      <formula>E2291=0</formula>
    </cfRule>
  </conditionalFormatting>
  <conditionalFormatting sqref="E2291">
    <cfRule type="cellIs" dxfId="1" priority="4849" operator="equal">
      <formula>0</formula>
    </cfRule>
  </conditionalFormatting>
  <conditionalFormatting sqref="E2294">
    <cfRule type="cellIs" dxfId="1" priority="4860" operator="equal">
      <formula>0</formula>
    </cfRule>
  </conditionalFormatting>
  <conditionalFormatting sqref="E2295">
    <cfRule type="cellIs" dxfId="1" priority="4862" operator="equal">
      <formula>0</formula>
    </cfRule>
  </conditionalFormatting>
  <conditionalFormatting sqref="E2301">
    <cfRule type="cellIs" dxfId="1" priority="4874" operator="equal">
      <formula>0</formula>
    </cfRule>
  </conditionalFormatting>
  <conditionalFormatting sqref="E231">
    <cfRule type="cellIs" dxfId="1" priority="571" operator="equal">
      <formula>0</formula>
    </cfRule>
  </conditionalFormatting>
  <conditionalFormatting sqref="E233">
    <cfRule type="cellIs" dxfId="1" priority="574" operator="equal">
      <formula>0</formula>
    </cfRule>
  </conditionalFormatting>
  <conditionalFormatting sqref="E2334">
    <cfRule type="expression" dxfId="0" priority="4912">
      <formula>E2335=0</formula>
    </cfRule>
  </conditionalFormatting>
  <conditionalFormatting sqref="E2335">
    <cfRule type="cellIs" dxfId="1" priority="4922" operator="equal">
      <formula>0</formula>
    </cfRule>
  </conditionalFormatting>
  <conditionalFormatting sqref="E2336">
    <cfRule type="cellIs" dxfId="1" priority="4932" operator="equal">
      <formula>0</formula>
    </cfRule>
  </conditionalFormatting>
  <conditionalFormatting sqref="E2337">
    <cfRule type="cellIs" dxfId="1" priority="4936" operator="equal">
      <formula>0</formula>
    </cfRule>
  </conditionalFormatting>
  <conditionalFormatting sqref="E2338">
    <cfRule type="cellIs" dxfId="1" priority="4941" operator="equal">
      <formula>0</formula>
    </cfRule>
  </conditionalFormatting>
  <conditionalFormatting sqref="E234">
    <cfRule type="cellIs" dxfId="1" priority="575" operator="equal">
      <formula>0</formula>
    </cfRule>
  </conditionalFormatting>
  <conditionalFormatting sqref="E2342">
    <cfRule type="cellIs" dxfId="1" priority="4958" operator="equal">
      <formula>0</formula>
    </cfRule>
  </conditionalFormatting>
  <conditionalFormatting sqref="E2345">
    <cfRule type="cellIs" dxfId="1" priority="4972" operator="equal">
      <formula>0</formula>
    </cfRule>
  </conditionalFormatting>
  <conditionalFormatting sqref="E2346">
    <cfRule type="cellIs" dxfId="1" priority="4977" operator="equal">
      <formula>0</formula>
    </cfRule>
  </conditionalFormatting>
  <conditionalFormatting sqref="E2347">
    <cfRule type="cellIs" dxfId="1" priority="4982" operator="equal">
      <formula>0</formula>
    </cfRule>
  </conditionalFormatting>
  <conditionalFormatting sqref="E235">
    <cfRule type="cellIs" dxfId="1" priority="576" operator="equal">
      <formula>0</formula>
    </cfRule>
  </conditionalFormatting>
  <conditionalFormatting sqref="E2351">
    <cfRule type="expression" dxfId="0" priority="4998">
      <formula>E2352=0</formula>
    </cfRule>
  </conditionalFormatting>
  <conditionalFormatting sqref="E2352">
    <cfRule type="cellIs" dxfId="1" priority="5004" operator="equal">
      <formula>0</formula>
    </cfRule>
  </conditionalFormatting>
  <conditionalFormatting sqref="E2354">
    <cfRule type="cellIs" dxfId="1" priority="5011" operator="equal">
      <formula>0</formula>
    </cfRule>
  </conditionalFormatting>
  <conditionalFormatting sqref="E2356">
    <cfRule type="cellIs" dxfId="1" priority="5015" operator="equal">
      <formula>0</formula>
    </cfRule>
  </conditionalFormatting>
  <conditionalFormatting sqref="E2359">
    <cfRule type="cellIs" dxfId="1" priority="5018" operator="equal">
      <formula>0</formula>
    </cfRule>
  </conditionalFormatting>
  <conditionalFormatting sqref="E2360">
    <cfRule type="cellIs" dxfId="1" priority="5020" operator="equal">
      <formula>0</formula>
    </cfRule>
  </conditionalFormatting>
  <conditionalFormatting sqref="E2362">
    <cfRule type="cellIs" dxfId="1" priority="5024" operator="equal">
      <formula>0</formula>
    </cfRule>
  </conditionalFormatting>
  <conditionalFormatting sqref="E2364">
    <cfRule type="cellIs" dxfId="1" priority="5028" operator="equal">
      <formula>0</formula>
    </cfRule>
  </conditionalFormatting>
  <conditionalFormatting sqref="E2366">
    <cfRule type="cellIs" dxfId="1" priority="5032" operator="equal">
      <formula>0</formula>
    </cfRule>
  </conditionalFormatting>
  <conditionalFormatting sqref="E2368">
    <cfRule type="expression" dxfId="0" priority="5035">
      <formula>E2369=0</formula>
    </cfRule>
  </conditionalFormatting>
  <conditionalFormatting sqref="E2369">
    <cfRule type="cellIs" dxfId="1" priority="5039" operator="equal">
      <formula>0</formula>
    </cfRule>
  </conditionalFormatting>
  <conditionalFormatting sqref="E237">
    <cfRule type="cellIs" dxfId="1" priority="580" operator="equal">
      <formula>0</formula>
    </cfRule>
  </conditionalFormatting>
  <conditionalFormatting sqref="E2376">
    <cfRule type="cellIs" dxfId="1" priority="5048" operator="equal">
      <formula>0</formula>
    </cfRule>
  </conditionalFormatting>
  <conditionalFormatting sqref="E2391">
    <cfRule type="expression" dxfId="0" priority="5060">
      <formula>E2392=0</formula>
    </cfRule>
  </conditionalFormatting>
  <conditionalFormatting sqref="E2392">
    <cfRule type="cellIs" dxfId="1" priority="5070" operator="equal">
      <formula>0</formula>
    </cfRule>
  </conditionalFormatting>
  <conditionalFormatting sqref="E2394">
    <cfRule type="cellIs" dxfId="1" priority="5082" operator="equal">
      <formula>0</formula>
    </cfRule>
  </conditionalFormatting>
  <conditionalFormatting sqref="E2395">
    <cfRule type="cellIs" dxfId="1" priority="5085" operator="equal">
      <formula>0</formula>
    </cfRule>
  </conditionalFormatting>
  <conditionalFormatting sqref="E2396">
    <cfRule type="cellIs" dxfId="1" priority="5090" operator="equal">
      <formula>0</formula>
    </cfRule>
  </conditionalFormatting>
  <conditionalFormatting sqref="E2399">
    <cfRule type="cellIs" dxfId="1" priority="5102" operator="equal">
      <formula>0</formula>
    </cfRule>
  </conditionalFormatting>
  <conditionalFormatting sqref="E2400">
    <cfRule type="cellIs" dxfId="1" priority="5107" operator="equal">
      <formula>0</formula>
    </cfRule>
  </conditionalFormatting>
  <conditionalFormatting sqref="E2402">
    <cfRule type="cellIs" dxfId="1" priority="5114" operator="equal">
      <formula>0</formula>
    </cfRule>
  </conditionalFormatting>
  <conditionalFormatting sqref="E2404">
    <cfRule type="expression" dxfId="0" priority="5118">
      <formula>E2405=0</formula>
    </cfRule>
  </conditionalFormatting>
  <conditionalFormatting sqref="E2405">
    <cfRule type="cellIs" dxfId="1" priority="5124" operator="equal">
      <formula>0</formula>
    </cfRule>
  </conditionalFormatting>
  <conditionalFormatting sqref="E2408">
    <cfRule type="cellIs" dxfId="1" priority="5130" operator="equal">
      <formula>0</formula>
    </cfRule>
  </conditionalFormatting>
  <conditionalFormatting sqref="E2413">
    <cfRule type="cellIs" dxfId="1" priority="5138" operator="equal">
      <formula>0</formula>
    </cfRule>
  </conditionalFormatting>
  <conditionalFormatting sqref="E2414">
    <cfRule type="cellIs" dxfId="1" priority="5140" operator="equal">
      <formula>0</formula>
    </cfRule>
  </conditionalFormatting>
  <conditionalFormatting sqref="E2417">
    <cfRule type="expression" dxfId="0" priority="5145">
      <formula>E2418=0</formula>
    </cfRule>
  </conditionalFormatting>
  <conditionalFormatting sqref="E2418">
    <cfRule type="cellIs" dxfId="1" priority="5148" operator="equal">
      <formula>0</formula>
    </cfRule>
  </conditionalFormatting>
  <conditionalFormatting sqref="E242">
    <cfRule type="expression" dxfId="0" priority="588">
      <formula>E243=0</formula>
    </cfRule>
  </conditionalFormatting>
  <conditionalFormatting sqref="E2423">
    <cfRule type="cellIs" dxfId="1" priority="5155" operator="equal">
      <formula>0</formula>
    </cfRule>
  </conditionalFormatting>
  <conditionalFormatting sqref="E2424">
    <cfRule type="cellIs" dxfId="1" priority="5156" operator="equal">
      <formula>0</formula>
    </cfRule>
  </conditionalFormatting>
  <conditionalFormatting sqref="E243">
    <cfRule type="cellIs" dxfId="1" priority="591" operator="equal">
      <formula>0</formula>
    </cfRule>
  </conditionalFormatting>
  <conditionalFormatting sqref="E2436">
    <cfRule type="expression" dxfId="0" priority="5166">
      <formula>E2437=0</formula>
    </cfRule>
  </conditionalFormatting>
  <conditionalFormatting sqref="E2437">
    <cfRule type="cellIs" dxfId="1" priority="5171" operator="equal">
      <formula>0</formula>
    </cfRule>
  </conditionalFormatting>
  <conditionalFormatting sqref="E2438">
    <cfRule type="cellIs" dxfId="1" priority="5176" operator="equal">
      <formula>0</formula>
    </cfRule>
  </conditionalFormatting>
  <conditionalFormatting sqref="E2439">
    <cfRule type="cellIs" dxfId="1" priority="5181" operator="equal">
      <formula>0</formula>
    </cfRule>
  </conditionalFormatting>
  <conditionalFormatting sqref="E2440">
    <cfRule type="cellIs" dxfId="1" priority="5185" operator="equal">
      <formula>0</formula>
    </cfRule>
  </conditionalFormatting>
  <conditionalFormatting sqref="E2441">
    <cfRule type="cellIs" dxfId="1" priority="5190" operator="equal">
      <formula>0</formula>
    </cfRule>
  </conditionalFormatting>
  <conditionalFormatting sqref="E2443">
    <cfRule type="expression" dxfId="0" priority="5194">
      <formula>E2444=0</formula>
    </cfRule>
  </conditionalFormatting>
  <conditionalFormatting sqref="E2444">
    <cfRule type="cellIs" dxfId="1" priority="5197" operator="equal">
      <formula>0</formula>
    </cfRule>
  </conditionalFormatting>
  <conditionalFormatting sqref="E2447">
    <cfRule type="cellIs" dxfId="1" priority="5202" operator="equal">
      <formula>0</formula>
    </cfRule>
  </conditionalFormatting>
  <conditionalFormatting sqref="E2450">
    <cfRule type="expression" dxfId="0" priority="5206">
      <formula>E2451=0</formula>
    </cfRule>
  </conditionalFormatting>
  <conditionalFormatting sqref="E2451">
    <cfRule type="cellIs" dxfId="1" priority="5209" operator="equal">
      <formula>0</formula>
    </cfRule>
  </conditionalFormatting>
  <conditionalFormatting sqref="E2455">
    <cfRule type="cellIs" dxfId="1" priority="5215" operator="equal">
      <formula>0</formula>
    </cfRule>
  </conditionalFormatting>
  <conditionalFormatting sqref="E246">
    <cfRule type="cellIs" dxfId="1" priority="596" operator="equal">
      <formula>0</formula>
    </cfRule>
  </conditionalFormatting>
  <conditionalFormatting sqref="E2463">
    <cfRule type="expression" dxfId="0" priority="5218">
      <formula>E2464=0</formula>
    </cfRule>
  </conditionalFormatting>
  <conditionalFormatting sqref="E2464">
    <cfRule type="cellIs" dxfId="1" priority="5223" operator="equal">
      <formula>0</formula>
    </cfRule>
  </conditionalFormatting>
  <conditionalFormatting sqref="E2465">
    <cfRule type="cellIs" dxfId="1" priority="5228" operator="equal">
      <formula>0</formula>
    </cfRule>
  </conditionalFormatting>
  <conditionalFormatting sqref="E2466">
    <cfRule type="cellIs" dxfId="1" priority="5232" operator="equal">
      <formula>0</formula>
    </cfRule>
  </conditionalFormatting>
  <conditionalFormatting sqref="E2467">
    <cfRule type="cellIs" dxfId="1" priority="5236" operator="equal">
      <formula>0</formula>
    </cfRule>
  </conditionalFormatting>
  <conditionalFormatting sqref="E2468">
    <cfRule type="cellIs" dxfId="1" priority="5240" operator="equal">
      <formula>0</formula>
    </cfRule>
  </conditionalFormatting>
  <conditionalFormatting sqref="E2469">
    <cfRule type="cellIs" dxfId="1" priority="5244" operator="equal">
      <formula>0</formula>
    </cfRule>
  </conditionalFormatting>
  <conditionalFormatting sqref="E2470">
    <cfRule type="cellIs" dxfId="1" priority="5248" operator="equal">
      <formula>0</formula>
    </cfRule>
  </conditionalFormatting>
  <conditionalFormatting sqref="E2471">
    <cfRule type="cellIs" dxfId="1" priority="5252" operator="equal">
      <formula>0</formula>
    </cfRule>
  </conditionalFormatting>
  <conditionalFormatting sqref="E2473">
    <cfRule type="cellIs" dxfId="1" priority="5259" operator="equal">
      <formula>0</formula>
    </cfRule>
  </conditionalFormatting>
  <conditionalFormatting sqref="E2474">
    <cfRule type="cellIs" dxfId="1" priority="5263" operator="equal">
      <formula>0</formula>
    </cfRule>
  </conditionalFormatting>
  <conditionalFormatting sqref="E2475">
    <cfRule type="cellIs" dxfId="1" priority="5267" operator="equal">
      <formula>0</formula>
    </cfRule>
  </conditionalFormatting>
  <conditionalFormatting sqref="E2511">
    <cfRule type="expression" dxfId="0" priority="5318">
      <formula>E2512=0</formula>
    </cfRule>
  </conditionalFormatting>
  <conditionalFormatting sqref="E2512">
    <cfRule type="cellIs" dxfId="1" priority="5322" operator="equal">
      <formula>0</formula>
    </cfRule>
  </conditionalFormatting>
  <conditionalFormatting sqref="E2513">
    <cfRule type="cellIs" dxfId="1" priority="5326" operator="equal">
      <formula>0</formula>
    </cfRule>
  </conditionalFormatting>
  <conditionalFormatting sqref="E2514">
    <cfRule type="cellIs" dxfId="1" priority="5330" operator="equal">
      <formula>0</formula>
    </cfRule>
  </conditionalFormatting>
  <conditionalFormatting sqref="E2515">
    <cfRule type="cellIs" dxfId="1" priority="5333" operator="equal">
      <formula>0</formula>
    </cfRule>
  </conditionalFormatting>
  <conditionalFormatting sqref="E2535">
    <cfRule type="expression" dxfId="0" priority="5355">
      <formula>E2536=0</formula>
    </cfRule>
  </conditionalFormatting>
  <conditionalFormatting sqref="E2536">
    <cfRule type="cellIs" dxfId="1" priority="5359" operator="equal">
      <formula>0</formula>
    </cfRule>
  </conditionalFormatting>
  <conditionalFormatting sqref="E2537">
    <cfRule type="cellIs" dxfId="1" priority="5363" operator="equal">
      <formula>0</formula>
    </cfRule>
  </conditionalFormatting>
  <conditionalFormatting sqref="E2538">
    <cfRule type="cellIs" dxfId="1" priority="5367" operator="equal">
      <formula>0</formula>
    </cfRule>
  </conditionalFormatting>
  <conditionalFormatting sqref="E2540">
    <cfRule type="expression" dxfId="0" priority="5371">
      <formula>E2541=0</formula>
    </cfRule>
  </conditionalFormatting>
  <conditionalFormatting sqref="E2541">
    <cfRule type="cellIs" dxfId="1" priority="5374" operator="equal">
      <formula>0</formula>
    </cfRule>
  </conditionalFormatting>
  <conditionalFormatting sqref="E2543">
    <cfRule type="cellIs" dxfId="1" priority="5378" operator="equal">
      <formula>0</formula>
    </cfRule>
  </conditionalFormatting>
  <conditionalFormatting sqref="E2556">
    <cfRule type="expression" dxfId="0" priority="5385">
      <formula>E2557=0</formula>
    </cfRule>
  </conditionalFormatting>
  <conditionalFormatting sqref="E2557">
    <cfRule type="cellIs" dxfId="1" priority="5395" operator="equal">
      <formula>0</formula>
    </cfRule>
  </conditionalFormatting>
  <conditionalFormatting sqref="E2558">
    <cfRule type="cellIs" dxfId="1" priority="5405" operator="equal">
      <formula>0</formula>
    </cfRule>
  </conditionalFormatting>
  <conditionalFormatting sqref="E2560">
    <cfRule type="cellIs" dxfId="1" priority="5412" operator="equal">
      <formula>0</formula>
    </cfRule>
  </conditionalFormatting>
  <conditionalFormatting sqref="E2561">
    <cfRule type="cellIs" dxfId="1" priority="5416" operator="equal">
      <formula>0</formula>
    </cfRule>
  </conditionalFormatting>
  <conditionalFormatting sqref="E2562">
    <cfRule type="cellIs" dxfId="1" priority="5419" operator="equal">
      <formula>0</formula>
    </cfRule>
  </conditionalFormatting>
  <conditionalFormatting sqref="E2563">
    <cfRule type="cellIs" dxfId="1" priority="5424" operator="equal">
      <formula>0</formula>
    </cfRule>
  </conditionalFormatting>
  <conditionalFormatting sqref="E2565">
    <cfRule type="cellIs" dxfId="1" priority="5431" operator="equal">
      <formula>0</formula>
    </cfRule>
  </conditionalFormatting>
  <conditionalFormatting sqref="E2569">
    <cfRule type="expression" dxfId="0" priority="5443">
      <formula>E2570=0</formula>
    </cfRule>
  </conditionalFormatting>
  <conditionalFormatting sqref="E2570">
    <cfRule type="cellIs" dxfId="1" priority="5450" operator="equal">
      <formula>0</formula>
    </cfRule>
  </conditionalFormatting>
  <conditionalFormatting sqref="E2575">
    <cfRule type="cellIs" dxfId="1" priority="5459" operator="equal">
      <formula>0</formula>
    </cfRule>
  </conditionalFormatting>
  <conditionalFormatting sqref="E2601">
    <cfRule type="expression" dxfId="0" priority="5487">
      <formula>E2602=0</formula>
    </cfRule>
  </conditionalFormatting>
  <conditionalFormatting sqref="E2602">
    <cfRule type="cellIs" dxfId="1" priority="5493" operator="equal">
      <formula>0</formula>
    </cfRule>
  </conditionalFormatting>
  <conditionalFormatting sqref="E2603">
    <cfRule type="cellIs" dxfId="1" priority="5499" operator="equal">
      <formula>0</formula>
    </cfRule>
  </conditionalFormatting>
  <conditionalFormatting sqref="E2604">
    <cfRule type="cellIs" dxfId="1" priority="5505" operator="equal">
      <formula>0</formula>
    </cfRule>
  </conditionalFormatting>
  <conditionalFormatting sqref="E2622">
    <cfRule type="expression" dxfId="0" priority="5519">
      <formula>E2623=0</formula>
    </cfRule>
  </conditionalFormatting>
  <conditionalFormatting sqref="E2623">
    <cfRule type="cellIs" dxfId="1" priority="5523" operator="equal">
      <formula>0</formula>
    </cfRule>
  </conditionalFormatting>
  <conditionalFormatting sqref="E2624">
    <cfRule type="cellIs" dxfId="1" priority="5527" operator="equal">
      <formula>0</formula>
    </cfRule>
  </conditionalFormatting>
  <conditionalFormatting sqref="E2625">
    <cfRule type="cellIs" dxfId="1" priority="5531" operator="equal">
      <formula>0</formula>
    </cfRule>
  </conditionalFormatting>
  <conditionalFormatting sqref="E2626">
    <cfRule type="cellIs" dxfId="1" priority="5535" operator="equal">
      <formula>0</formula>
    </cfRule>
  </conditionalFormatting>
  <conditionalFormatting sqref="E2627">
    <cfRule type="cellIs" dxfId="1" priority="5539" operator="equal">
      <formula>0</formula>
    </cfRule>
  </conditionalFormatting>
  <conditionalFormatting sqref="E2649">
    <cfRule type="expression" dxfId="0" priority="5561">
      <formula>E2650=0</formula>
    </cfRule>
  </conditionalFormatting>
  <conditionalFormatting sqref="E2650">
    <cfRule type="cellIs" dxfId="1" priority="5568" operator="equal">
      <formula>0</formula>
    </cfRule>
  </conditionalFormatting>
  <conditionalFormatting sqref="E2651">
    <cfRule type="cellIs" dxfId="1" priority="5575" operator="equal">
      <formula>0</formula>
    </cfRule>
  </conditionalFormatting>
  <conditionalFormatting sqref="E2652">
    <cfRule type="cellIs" dxfId="1" priority="5580" operator="equal">
      <formula>0</formula>
    </cfRule>
  </conditionalFormatting>
  <conditionalFormatting sqref="E2653">
    <cfRule type="cellIs" dxfId="1" priority="5584" operator="equal">
      <formula>0</formula>
    </cfRule>
  </conditionalFormatting>
  <conditionalFormatting sqref="E2654">
    <cfRule type="cellIs" dxfId="1" priority="5588" operator="equal">
      <formula>0</formula>
    </cfRule>
  </conditionalFormatting>
  <conditionalFormatting sqref="E2655">
    <cfRule type="cellIs" dxfId="1" priority="5593" operator="equal">
      <formula>0</formula>
    </cfRule>
  </conditionalFormatting>
  <conditionalFormatting sqref="E2657">
    <cfRule type="expression" dxfId="0" priority="5598">
      <formula>E2658=0</formula>
    </cfRule>
  </conditionalFormatting>
  <conditionalFormatting sqref="E2658">
    <cfRule type="cellIs" dxfId="1" priority="5602" operator="equal">
      <formula>0</formula>
    </cfRule>
  </conditionalFormatting>
  <conditionalFormatting sqref="E2660">
    <cfRule type="cellIs" dxfId="1" priority="5607" operator="equal">
      <formula>0</formula>
    </cfRule>
  </conditionalFormatting>
  <conditionalFormatting sqref="E2665">
    <cfRule type="expression" dxfId="0" priority="5614">
      <formula>E2666=0</formula>
    </cfRule>
  </conditionalFormatting>
  <conditionalFormatting sqref="E2666">
    <cfRule type="cellIs" dxfId="1" priority="5617" operator="equal">
      <formula>0</formula>
    </cfRule>
  </conditionalFormatting>
  <conditionalFormatting sqref="E2668">
    <cfRule type="cellIs" dxfId="1" priority="5621" operator="equal">
      <formula>0</formula>
    </cfRule>
  </conditionalFormatting>
  <conditionalFormatting sqref="E267">
    <cfRule type="expression" dxfId="0" priority="613">
      <formula>E268=0</formula>
    </cfRule>
  </conditionalFormatting>
  <conditionalFormatting sqref="E2679">
    <cfRule type="expression" dxfId="0" priority="5628">
      <formula>E2680=0</formula>
    </cfRule>
  </conditionalFormatting>
  <conditionalFormatting sqref="E268">
    <cfRule type="cellIs" dxfId="1" priority="625" operator="equal">
      <formula>0</formula>
    </cfRule>
  </conditionalFormatting>
  <conditionalFormatting sqref="E2680">
    <cfRule type="cellIs" dxfId="1" priority="5633" operator="equal">
      <formula>0</formula>
    </cfRule>
  </conditionalFormatting>
  <conditionalFormatting sqref="E2681">
    <cfRule type="cellIs" dxfId="1" priority="5638" operator="equal">
      <formula>0</formula>
    </cfRule>
  </conditionalFormatting>
  <conditionalFormatting sqref="E2682">
    <cfRule type="cellIs" dxfId="1" priority="5641" operator="equal">
      <formula>0</formula>
    </cfRule>
  </conditionalFormatting>
  <conditionalFormatting sqref="E2683">
    <cfRule type="cellIs" dxfId="1" priority="5645" operator="equal">
      <formula>0</formula>
    </cfRule>
  </conditionalFormatting>
  <conditionalFormatting sqref="E2684">
    <cfRule type="cellIs" dxfId="1" priority="5649" operator="equal">
      <formula>0</formula>
    </cfRule>
  </conditionalFormatting>
  <conditionalFormatting sqref="E2686">
    <cfRule type="expression" dxfId="0" priority="5654">
      <formula>E2687=0</formula>
    </cfRule>
  </conditionalFormatting>
  <conditionalFormatting sqref="E2687">
    <cfRule type="cellIs" dxfId="1" priority="5657" operator="equal">
      <formula>0</formula>
    </cfRule>
  </conditionalFormatting>
  <conditionalFormatting sqref="E2691">
    <cfRule type="cellIs" dxfId="1" priority="5665" operator="equal">
      <formula>0</formula>
    </cfRule>
  </conditionalFormatting>
  <conditionalFormatting sqref="E27">
    <cfRule type="expression" dxfId="0" priority="3">
      <formula>E28=0</formula>
    </cfRule>
  </conditionalFormatting>
  <conditionalFormatting sqref="E270">
    <cfRule type="cellIs" dxfId="1" priority="640" operator="equal">
      <formula>0</formula>
    </cfRule>
  </conditionalFormatting>
  <conditionalFormatting sqref="E2706">
    <cfRule type="expression" dxfId="0" priority="5679">
      <formula>E2707=0</formula>
    </cfRule>
  </conditionalFormatting>
  <conditionalFormatting sqref="E2707">
    <cfRule type="cellIs" dxfId="1" priority="5686" operator="equal">
      <formula>0</formula>
    </cfRule>
  </conditionalFormatting>
  <conditionalFormatting sqref="E2708">
    <cfRule type="cellIs" dxfId="1" priority="5693" operator="equal">
      <formula>0</formula>
    </cfRule>
  </conditionalFormatting>
  <conditionalFormatting sqref="E2709">
    <cfRule type="cellIs" dxfId="1" priority="5698" operator="equal">
      <formula>0</formula>
    </cfRule>
  </conditionalFormatting>
  <conditionalFormatting sqref="E272">
    <cfRule type="cellIs" dxfId="1" priority="652" operator="equal">
      <formula>0</formula>
    </cfRule>
  </conditionalFormatting>
  <conditionalFormatting sqref="E2730">
    <cfRule type="expression" dxfId="0" priority="5721">
      <formula>E2731=0</formula>
    </cfRule>
  </conditionalFormatting>
  <conditionalFormatting sqref="E2731">
    <cfRule type="cellIs" dxfId="1" priority="5728" operator="equal">
      <formula>0</formula>
    </cfRule>
  </conditionalFormatting>
  <conditionalFormatting sqref="E2733">
    <cfRule type="cellIs" dxfId="1" priority="5739" operator="equal">
      <formula>0</formula>
    </cfRule>
  </conditionalFormatting>
  <conditionalFormatting sqref="E278">
    <cfRule type="cellIs" dxfId="1" priority="682" operator="equal">
      <formula>0</formula>
    </cfRule>
  </conditionalFormatting>
  <conditionalFormatting sqref="E279">
    <cfRule type="cellIs" dxfId="1" priority="687" operator="equal">
      <formula>0</formula>
    </cfRule>
  </conditionalFormatting>
  <conditionalFormatting sqref="E28">
    <cfRule type="cellIs" dxfId="1" priority="15" operator="equal">
      <formula>0</formula>
    </cfRule>
  </conditionalFormatting>
  <conditionalFormatting sqref="E280">
    <cfRule type="cellIs" dxfId="1" priority="691" operator="equal">
      <formula>0</formula>
    </cfRule>
  </conditionalFormatting>
  <conditionalFormatting sqref="E283">
    <cfRule type="cellIs" dxfId="1" priority="701" operator="equal">
      <formula>0</formula>
    </cfRule>
  </conditionalFormatting>
  <conditionalFormatting sqref="E284">
    <cfRule type="cellIs" dxfId="1" priority="705" operator="equal">
      <formula>0</formula>
    </cfRule>
  </conditionalFormatting>
  <conditionalFormatting sqref="E285">
    <cfRule type="cellIs" dxfId="1" priority="710" operator="equal">
      <formula>0</formula>
    </cfRule>
  </conditionalFormatting>
  <conditionalFormatting sqref="E286">
    <cfRule type="cellIs" dxfId="1" priority="714" operator="equal">
      <formula>0</formula>
    </cfRule>
  </conditionalFormatting>
  <conditionalFormatting sqref="E287">
    <cfRule type="cellIs" dxfId="1" priority="719" operator="equal">
      <formula>0</formula>
    </cfRule>
  </conditionalFormatting>
  <conditionalFormatting sqref="E288">
    <cfRule type="cellIs" dxfId="1" priority="724" operator="equal">
      <formula>0</formula>
    </cfRule>
  </conditionalFormatting>
  <conditionalFormatting sqref="E289">
    <cfRule type="cellIs" dxfId="1" priority="729" operator="equal">
      <formula>0</formula>
    </cfRule>
  </conditionalFormatting>
  <conditionalFormatting sqref="E290">
    <cfRule type="cellIs" dxfId="1" priority="733" operator="equal">
      <formula>0</formula>
    </cfRule>
  </conditionalFormatting>
  <conditionalFormatting sqref="E291">
    <cfRule type="cellIs" dxfId="1" priority="737" operator="equal">
      <formula>0</formula>
    </cfRule>
  </conditionalFormatting>
  <conditionalFormatting sqref="E292">
    <cfRule type="cellIs" dxfId="1" priority="741" operator="equal">
      <formula>0</formula>
    </cfRule>
  </conditionalFormatting>
  <conditionalFormatting sqref="E295">
    <cfRule type="expression" dxfId="0" priority="750">
      <formula>E296=0</formula>
    </cfRule>
  </conditionalFormatting>
  <conditionalFormatting sqref="E296">
    <cfRule type="cellIs" dxfId="1" priority="758" operator="equal">
      <formula>0</formula>
    </cfRule>
  </conditionalFormatting>
  <conditionalFormatting sqref="E298">
    <cfRule type="cellIs" dxfId="1" priority="767" operator="equal">
      <formula>0</formula>
    </cfRule>
  </conditionalFormatting>
  <conditionalFormatting sqref="E30">
    <cfRule type="cellIs" dxfId="1" priority="31" operator="equal">
      <formula>0</formula>
    </cfRule>
  </conditionalFormatting>
  <conditionalFormatting sqref="E300">
    <cfRule type="cellIs" dxfId="1" priority="770" operator="equal">
      <formula>0</formula>
    </cfRule>
  </conditionalFormatting>
  <conditionalFormatting sqref="E31">
    <cfRule type="cellIs" dxfId="1" priority="36" operator="equal">
      <formula>0</formula>
    </cfRule>
  </conditionalFormatting>
  <conditionalFormatting sqref="E317">
    <cfRule type="cellIs" dxfId="1" priority="796" operator="equal">
      <formula>0</formula>
    </cfRule>
  </conditionalFormatting>
  <conditionalFormatting sqref="E321">
    <cfRule type="cellIs" dxfId="1" priority="802" operator="equal">
      <formula>0</formula>
    </cfRule>
  </conditionalFormatting>
  <conditionalFormatting sqref="E323">
    <cfRule type="expression" dxfId="0" priority="806">
      <formula>E324=0</formula>
    </cfRule>
  </conditionalFormatting>
  <conditionalFormatting sqref="E324">
    <cfRule type="cellIs" dxfId="1" priority="810" operator="equal">
      <formula>0</formula>
    </cfRule>
  </conditionalFormatting>
  <conditionalFormatting sqref="E329">
    <cfRule type="cellIs" dxfId="1" priority="818" operator="equal">
      <formula>0</formula>
    </cfRule>
  </conditionalFormatting>
  <conditionalFormatting sqref="E33">
    <cfRule type="cellIs" dxfId="1" priority="45" operator="equal">
      <formula>0</formula>
    </cfRule>
  </conditionalFormatting>
  <conditionalFormatting sqref="E34">
    <cfRule type="cellIs" dxfId="1" priority="49" operator="equal">
      <formula>0</formula>
    </cfRule>
  </conditionalFormatting>
  <conditionalFormatting sqref="E35">
    <cfRule type="cellIs" dxfId="1" priority="54" operator="equal">
      <formula>0</formula>
    </cfRule>
  </conditionalFormatting>
  <conditionalFormatting sqref="E357">
    <cfRule type="expression" dxfId="0" priority="843">
      <formula>E358=0</formula>
    </cfRule>
  </conditionalFormatting>
  <conditionalFormatting sqref="E358">
    <cfRule type="cellIs" dxfId="1" priority="849" operator="equal">
      <formula>0</formula>
    </cfRule>
  </conditionalFormatting>
  <conditionalFormatting sqref="E359">
    <cfRule type="cellIs" dxfId="1" priority="855" operator="equal">
      <formula>0</formula>
    </cfRule>
  </conditionalFormatting>
  <conditionalFormatting sqref="E36">
    <cfRule type="cellIs" dxfId="1" priority="57" operator="equal">
      <formula>0</formula>
    </cfRule>
  </conditionalFormatting>
  <conditionalFormatting sqref="E360">
    <cfRule type="cellIs" dxfId="1" priority="859" operator="equal">
      <formula>0</formula>
    </cfRule>
  </conditionalFormatting>
  <conditionalFormatting sqref="E362">
    <cfRule type="cellIs" dxfId="1" priority="867" operator="equal">
      <formula>0</formula>
    </cfRule>
  </conditionalFormatting>
  <conditionalFormatting sqref="E363">
    <cfRule type="cellIs" dxfId="1" priority="871" operator="equal">
      <formula>0</formula>
    </cfRule>
  </conditionalFormatting>
  <conditionalFormatting sqref="E365">
    <cfRule type="expression" dxfId="0" priority="875">
      <formula>E366=0</formula>
    </cfRule>
  </conditionalFormatting>
  <conditionalFormatting sqref="E366">
    <cfRule type="cellIs" dxfId="1" priority="878" operator="equal">
      <formula>0</formula>
    </cfRule>
  </conditionalFormatting>
  <conditionalFormatting sqref="E370">
    <cfRule type="cellIs" dxfId="1" priority="885" operator="equal">
      <formula>0</formula>
    </cfRule>
  </conditionalFormatting>
  <conditionalFormatting sqref="E38">
    <cfRule type="cellIs" dxfId="1" priority="69" operator="equal">
      <formula>0</formula>
    </cfRule>
  </conditionalFormatting>
  <conditionalFormatting sqref="E387">
    <cfRule type="expression" dxfId="0" priority="902">
      <formula>E388=0</formula>
    </cfRule>
  </conditionalFormatting>
  <conditionalFormatting sqref="E388">
    <cfRule type="cellIs" dxfId="1" priority="909" operator="equal">
      <formula>0</formula>
    </cfRule>
  </conditionalFormatting>
  <conditionalFormatting sqref="E390">
    <cfRule type="cellIs" dxfId="1" priority="919" operator="equal">
      <formula>0</formula>
    </cfRule>
  </conditionalFormatting>
  <conditionalFormatting sqref="E391">
    <cfRule type="cellIs" dxfId="1" priority="924" operator="equal">
      <formula>0</formula>
    </cfRule>
  </conditionalFormatting>
  <conditionalFormatting sqref="E41">
    <cfRule type="cellIs" dxfId="1" priority="79" operator="equal">
      <formula>0</formula>
    </cfRule>
  </conditionalFormatting>
  <conditionalFormatting sqref="E411">
    <cfRule type="expression" dxfId="0" priority="943">
      <formula>E412=0</formula>
    </cfRule>
  </conditionalFormatting>
  <conditionalFormatting sqref="E412">
    <cfRule type="cellIs" dxfId="1" priority="947" operator="equal">
      <formula>0</formula>
    </cfRule>
  </conditionalFormatting>
  <conditionalFormatting sqref="E413">
    <cfRule type="cellIs" dxfId="1" priority="951" operator="equal">
      <formula>0</formula>
    </cfRule>
  </conditionalFormatting>
  <conditionalFormatting sqref="E42">
    <cfRule type="cellIs" dxfId="1" priority="84" operator="equal">
      <formula>0</formula>
    </cfRule>
  </conditionalFormatting>
  <conditionalFormatting sqref="E429">
    <cfRule type="expression" dxfId="0" priority="961">
      <formula>E430=0</formula>
    </cfRule>
  </conditionalFormatting>
  <conditionalFormatting sqref="E43">
    <cfRule type="cellIs" dxfId="1" priority="88" operator="equal">
      <formula>0</formula>
    </cfRule>
  </conditionalFormatting>
  <conditionalFormatting sqref="E430">
    <cfRule type="cellIs" dxfId="1" priority="971" operator="equal">
      <formula>0</formula>
    </cfRule>
  </conditionalFormatting>
  <conditionalFormatting sqref="E432">
    <cfRule type="cellIs" dxfId="1" priority="986" operator="equal">
      <formula>0</formula>
    </cfRule>
  </conditionalFormatting>
  <conditionalFormatting sqref="E434">
    <cfRule type="cellIs" dxfId="1" priority="995" operator="equal">
      <formula>0</formula>
    </cfRule>
  </conditionalFormatting>
  <conditionalFormatting sqref="E435">
    <cfRule type="cellIs" dxfId="1" priority="1000" operator="equal">
      <formula>0</formula>
    </cfRule>
  </conditionalFormatting>
  <conditionalFormatting sqref="E436">
    <cfRule type="cellIs" dxfId="1" priority="1005" operator="equal">
      <formula>0</formula>
    </cfRule>
  </conditionalFormatting>
  <conditionalFormatting sqref="E437">
    <cfRule type="cellIs" dxfId="1" priority="1011" operator="equal">
      <formula>0</formula>
    </cfRule>
  </conditionalFormatting>
  <conditionalFormatting sqref="E438">
    <cfRule type="cellIs" dxfId="1" priority="1016" operator="equal">
      <formula>0</formula>
    </cfRule>
  </conditionalFormatting>
  <conditionalFormatting sqref="E44">
    <cfRule type="cellIs" dxfId="1" priority="93" operator="equal">
      <formula>0</formula>
    </cfRule>
  </conditionalFormatting>
  <conditionalFormatting sqref="E440">
    <cfRule type="expression" dxfId="0" priority="1020">
      <formula>E441=0</formula>
    </cfRule>
  </conditionalFormatting>
  <conditionalFormatting sqref="E441">
    <cfRule type="cellIs" dxfId="1" priority="1025" operator="equal">
      <formula>0</formula>
    </cfRule>
  </conditionalFormatting>
  <conditionalFormatting sqref="E443">
    <cfRule type="cellIs" dxfId="1" priority="1031" operator="equal">
      <formula>0</formula>
    </cfRule>
  </conditionalFormatting>
  <conditionalFormatting sqref="E444">
    <cfRule type="cellIs" dxfId="1" priority="1033" operator="equal">
      <formula>0</formula>
    </cfRule>
  </conditionalFormatting>
  <conditionalFormatting sqref="E445">
    <cfRule type="cellIs" dxfId="1" priority="1035" operator="equal">
      <formula>0</formula>
    </cfRule>
  </conditionalFormatting>
  <conditionalFormatting sqref="E446">
    <cfRule type="cellIs" dxfId="1" priority="1037" operator="equal">
      <formula>0</formula>
    </cfRule>
  </conditionalFormatting>
  <conditionalFormatting sqref="E447">
    <cfRule type="cellIs" dxfId="1" priority="1038" operator="equal">
      <formula>0</formula>
    </cfRule>
  </conditionalFormatting>
  <conditionalFormatting sqref="E448">
    <cfRule type="cellIs" dxfId="1" priority="1041" operator="equal">
      <formula>0</formula>
    </cfRule>
  </conditionalFormatting>
  <conditionalFormatting sqref="E451">
    <cfRule type="expression" dxfId="0" priority="1046">
      <formula>E452=0</formula>
    </cfRule>
  </conditionalFormatting>
  <conditionalFormatting sqref="E452">
    <cfRule type="cellIs" dxfId="1" priority="1049" operator="equal">
      <formula>0</formula>
    </cfRule>
  </conditionalFormatting>
  <conditionalFormatting sqref="E46">
    <cfRule type="cellIs" dxfId="1" priority="101" operator="equal">
      <formula>0</formula>
    </cfRule>
  </conditionalFormatting>
  <conditionalFormatting sqref="E460">
    <cfRule type="cellIs" dxfId="1" priority="1058" operator="equal">
      <formula>0</formula>
    </cfRule>
  </conditionalFormatting>
  <conditionalFormatting sqref="E468">
    <cfRule type="expression" dxfId="0" priority="1061">
      <formula>E469=0</formula>
    </cfRule>
  </conditionalFormatting>
  <conditionalFormatting sqref="E469">
    <cfRule type="cellIs" dxfId="1" priority="1070" operator="equal">
      <formula>0</formula>
    </cfRule>
  </conditionalFormatting>
  <conditionalFormatting sqref="E47">
    <cfRule type="cellIs" dxfId="1" priority="106" operator="equal">
      <formula>0</formula>
    </cfRule>
  </conditionalFormatting>
  <conditionalFormatting sqref="E470">
    <cfRule type="cellIs" dxfId="1" priority="1079" operator="equal">
      <formula>0</formula>
    </cfRule>
  </conditionalFormatting>
  <conditionalFormatting sqref="E471">
    <cfRule type="cellIs" dxfId="1" priority="1084" operator="equal">
      <formula>0</formula>
    </cfRule>
  </conditionalFormatting>
  <conditionalFormatting sqref="E472">
    <cfRule type="cellIs" dxfId="1" priority="1089" operator="equal">
      <formula>0</formula>
    </cfRule>
  </conditionalFormatting>
  <conditionalFormatting sqref="E473">
    <cfRule type="cellIs" dxfId="1" priority="1093" operator="equal">
      <formula>0</formula>
    </cfRule>
  </conditionalFormatting>
  <conditionalFormatting sqref="E474">
    <cfRule type="cellIs" dxfId="1" priority="1097" operator="equal">
      <formula>0</formula>
    </cfRule>
  </conditionalFormatting>
  <conditionalFormatting sqref="E476">
    <cfRule type="cellIs" dxfId="1" priority="1106" operator="equal">
      <formula>0</formula>
    </cfRule>
  </conditionalFormatting>
  <conditionalFormatting sqref="E478">
    <cfRule type="expression" dxfId="0" priority="1111">
      <formula>E479=0</formula>
    </cfRule>
  </conditionalFormatting>
  <conditionalFormatting sqref="E479">
    <cfRule type="cellIs" dxfId="1" priority="1117" operator="equal">
      <formula>0</formula>
    </cfRule>
  </conditionalFormatting>
  <conditionalFormatting sqref="E481">
    <cfRule type="cellIs" dxfId="1" priority="1123" operator="equal">
      <formula>0</formula>
    </cfRule>
  </conditionalFormatting>
  <conditionalFormatting sqref="E484">
    <cfRule type="cellIs" dxfId="1" priority="1127" operator="equal">
      <formula>0</formula>
    </cfRule>
  </conditionalFormatting>
  <conditionalFormatting sqref="E486">
    <cfRule type="cellIs" dxfId="1" priority="1130" operator="equal">
      <formula>0</formula>
    </cfRule>
  </conditionalFormatting>
  <conditionalFormatting sqref="E504">
    <cfRule type="expression" dxfId="0" priority="1146">
      <formula>E505=0</formula>
    </cfRule>
  </conditionalFormatting>
  <conditionalFormatting sqref="E505">
    <cfRule type="cellIs" dxfId="1" priority="1152" operator="equal">
      <formula>0</formula>
    </cfRule>
  </conditionalFormatting>
  <conditionalFormatting sqref="E506">
    <cfRule type="cellIs" dxfId="1" priority="1158" operator="equal">
      <formula>0</formula>
    </cfRule>
  </conditionalFormatting>
  <conditionalFormatting sqref="E507">
    <cfRule type="cellIs" dxfId="1" priority="1162" operator="equal">
      <formula>0</formula>
    </cfRule>
  </conditionalFormatting>
  <conditionalFormatting sqref="E508">
    <cfRule type="cellIs" dxfId="1" priority="1167" operator="equal">
      <formula>0</formula>
    </cfRule>
  </conditionalFormatting>
  <conditionalFormatting sqref="E509">
    <cfRule type="cellIs" dxfId="1" priority="1172" operator="equal">
      <formula>0</formula>
    </cfRule>
  </conditionalFormatting>
  <conditionalFormatting sqref="E51">
    <cfRule type="cellIs" dxfId="1" priority="126" operator="equal">
      <formula>0</formula>
    </cfRule>
  </conditionalFormatting>
  <conditionalFormatting sqref="E512">
    <cfRule type="expression" dxfId="0" priority="1180">
      <formula>E513=0</formula>
    </cfRule>
  </conditionalFormatting>
  <conditionalFormatting sqref="E513">
    <cfRule type="cellIs" dxfId="1" priority="1184" operator="equal">
      <formula>0</formula>
    </cfRule>
  </conditionalFormatting>
  <conditionalFormatting sqref="E516">
    <cfRule type="cellIs" dxfId="1" priority="1190" operator="equal">
      <formula>0</formula>
    </cfRule>
  </conditionalFormatting>
  <conditionalFormatting sqref="E52">
    <cfRule type="cellIs" dxfId="1" priority="131" operator="equal">
      <formula>0</formula>
    </cfRule>
  </conditionalFormatting>
  <conditionalFormatting sqref="E534">
    <cfRule type="expression" dxfId="0" priority="1210">
      <formula>E535=0</formula>
    </cfRule>
  </conditionalFormatting>
  <conditionalFormatting sqref="E535">
    <cfRule type="cellIs" dxfId="1" priority="1215" operator="equal">
      <formula>0</formula>
    </cfRule>
  </conditionalFormatting>
  <conditionalFormatting sqref="E536">
    <cfRule type="cellIs" dxfId="1" priority="1220" operator="equal">
      <formula>0</formula>
    </cfRule>
  </conditionalFormatting>
  <conditionalFormatting sqref="E55">
    <cfRule type="expression" dxfId="0" priority="140">
      <formula>E56=0</formula>
    </cfRule>
  </conditionalFormatting>
  <conditionalFormatting sqref="E552">
    <cfRule type="expression" dxfId="0" priority="1237">
      <formula>E553=0</formula>
    </cfRule>
  </conditionalFormatting>
  <conditionalFormatting sqref="E553">
    <cfRule type="cellIs" dxfId="1" priority="1246" operator="equal">
      <formula>0</formula>
    </cfRule>
  </conditionalFormatting>
  <conditionalFormatting sqref="E554">
    <cfRule type="cellIs" dxfId="1" priority="1255" operator="equal">
      <formula>0</formula>
    </cfRule>
  </conditionalFormatting>
  <conditionalFormatting sqref="E555">
    <cfRule type="cellIs" dxfId="1" priority="1259" operator="equal">
      <formula>0</formula>
    </cfRule>
  </conditionalFormatting>
  <conditionalFormatting sqref="E556">
    <cfRule type="cellIs" dxfId="1" priority="1264" operator="equal">
      <formula>0</formula>
    </cfRule>
  </conditionalFormatting>
  <conditionalFormatting sqref="E558">
    <cfRule type="cellIs" dxfId="1" priority="1274" operator="equal">
      <formula>0</formula>
    </cfRule>
  </conditionalFormatting>
  <conditionalFormatting sqref="E559">
    <cfRule type="cellIs" dxfId="1" priority="1279" operator="equal">
      <formula>0</formula>
    </cfRule>
  </conditionalFormatting>
  <conditionalFormatting sqref="E56">
    <cfRule type="cellIs" dxfId="1" priority="148" operator="equal">
      <formula>0</formula>
    </cfRule>
  </conditionalFormatting>
  <conditionalFormatting sqref="E562">
    <cfRule type="expression" dxfId="0" priority="1288">
      <formula>E563=0</formula>
    </cfRule>
  </conditionalFormatting>
  <conditionalFormatting sqref="E563">
    <cfRule type="cellIs" dxfId="1" priority="1292" operator="equal">
      <formula>0</formula>
    </cfRule>
  </conditionalFormatting>
  <conditionalFormatting sqref="E565">
    <cfRule type="cellIs" dxfId="1" priority="1296" operator="equal">
      <formula>0</formula>
    </cfRule>
  </conditionalFormatting>
  <conditionalFormatting sqref="E568">
    <cfRule type="cellIs" dxfId="1" priority="1301" operator="equal">
      <formula>0</formula>
    </cfRule>
  </conditionalFormatting>
  <conditionalFormatting sqref="E58">
    <cfRule type="cellIs" dxfId="1" priority="157" operator="equal">
      <formula>0</formula>
    </cfRule>
  </conditionalFormatting>
  <conditionalFormatting sqref="E588">
    <cfRule type="expression" dxfId="0" priority="1317">
      <formula>E589=0</formula>
    </cfRule>
  </conditionalFormatting>
  <conditionalFormatting sqref="E589">
    <cfRule type="cellIs" dxfId="1" priority="1324" operator="equal">
      <formula>0</formula>
    </cfRule>
  </conditionalFormatting>
  <conditionalFormatting sqref="E590">
    <cfRule type="cellIs" dxfId="1" priority="1331" operator="equal">
      <formula>0</formula>
    </cfRule>
  </conditionalFormatting>
  <conditionalFormatting sqref="E591">
    <cfRule type="cellIs" dxfId="1" priority="1336" operator="equal">
      <formula>0</formula>
    </cfRule>
  </conditionalFormatting>
  <conditionalFormatting sqref="E592">
    <cfRule type="cellIs" dxfId="1" priority="1340" operator="equal">
      <formula>0</formula>
    </cfRule>
  </conditionalFormatting>
  <conditionalFormatting sqref="E593">
    <cfRule type="cellIs" dxfId="1" priority="1345" operator="equal">
      <formula>0</formula>
    </cfRule>
  </conditionalFormatting>
  <conditionalFormatting sqref="E594">
    <cfRule type="cellIs" dxfId="1" priority="1349" operator="equal">
      <formula>0</formula>
    </cfRule>
  </conditionalFormatting>
  <conditionalFormatting sqref="E596">
    <cfRule type="expression" dxfId="0" priority="1354">
      <formula>E597=0</formula>
    </cfRule>
  </conditionalFormatting>
  <conditionalFormatting sqref="E597">
    <cfRule type="cellIs" dxfId="1" priority="1358" operator="equal">
      <formula>0</formula>
    </cfRule>
  </conditionalFormatting>
  <conditionalFormatting sqref="E599">
    <cfRule type="cellIs" dxfId="1" priority="1363" operator="equal">
      <formula>0</formula>
    </cfRule>
  </conditionalFormatting>
  <conditionalFormatting sqref="E60">
    <cfRule type="cellIs" dxfId="1" priority="160" operator="equal">
      <formula>0</formula>
    </cfRule>
  </conditionalFormatting>
  <conditionalFormatting sqref="E604">
    <cfRule type="expression" dxfId="0" priority="1370">
      <formula>E605=0</formula>
    </cfRule>
  </conditionalFormatting>
  <conditionalFormatting sqref="E605">
    <cfRule type="cellIs" dxfId="1" priority="1373" operator="equal">
      <formula>0</formula>
    </cfRule>
  </conditionalFormatting>
  <conditionalFormatting sqref="E607">
    <cfRule type="cellIs" dxfId="1" priority="1377" operator="equal">
      <formula>0</formula>
    </cfRule>
  </conditionalFormatting>
  <conditionalFormatting sqref="E618">
    <cfRule type="expression" dxfId="0" priority="1384">
      <formula>E619=0</formula>
    </cfRule>
  </conditionalFormatting>
  <conditionalFormatting sqref="E619">
    <cfRule type="cellIs" dxfId="1" priority="1390" operator="equal">
      <formula>0</formula>
    </cfRule>
  </conditionalFormatting>
  <conditionalFormatting sqref="E620">
    <cfRule type="cellIs" dxfId="1" priority="1396" operator="equal">
      <formula>0</formula>
    </cfRule>
  </conditionalFormatting>
  <conditionalFormatting sqref="E621">
    <cfRule type="cellIs" dxfId="1" priority="1400" operator="equal">
      <formula>0</formula>
    </cfRule>
  </conditionalFormatting>
  <conditionalFormatting sqref="E622">
    <cfRule type="cellIs" dxfId="1" priority="1404" operator="equal">
      <formula>0</formula>
    </cfRule>
  </conditionalFormatting>
  <conditionalFormatting sqref="E623">
    <cfRule type="cellIs" dxfId="1" priority="1408" operator="equal">
      <formula>0</formula>
    </cfRule>
  </conditionalFormatting>
  <conditionalFormatting sqref="E624">
    <cfRule type="cellIs" dxfId="1" priority="1412" operator="equal">
      <formula>0</formula>
    </cfRule>
  </conditionalFormatting>
  <conditionalFormatting sqref="E625">
    <cfRule type="cellIs" dxfId="1" priority="1416" operator="equal">
      <formula>0</formula>
    </cfRule>
  </conditionalFormatting>
  <conditionalFormatting sqref="E627">
    <cfRule type="cellIs" dxfId="1" priority="1424" operator="equal">
      <formula>0</formula>
    </cfRule>
  </conditionalFormatting>
  <conditionalFormatting sqref="E629">
    <cfRule type="expression" dxfId="0" priority="1428">
      <formula>E630=0</formula>
    </cfRule>
  </conditionalFormatting>
  <conditionalFormatting sqref="E630">
    <cfRule type="cellIs" dxfId="1" priority="1436" operator="equal">
      <formula>0</formula>
    </cfRule>
  </conditionalFormatting>
  <conditionalFormatting sqref="E632">
    <cfRule type="cellIs" dxfId="1" priority="1444" operator="equal">
      <formula>0</formula>
    </cfRule>
  </conditionalFormatting>
  <conditionalFormatting sqref="E638">
    <cfRule type="cellIs" dxfId="1" priority="1454" operator="equal">
      <formula>0</formula>
    </cfRule>
  </conditionalFormatting>
  <conditionalFormatting sqref="E640">
    <cfRule type="expression" dxfId="0" priority="1458">
      <formula>E641=0</formula>
    </cfRule>
  </conditionalFormatting>
  <conditionalFormatting sqref="E641">
    <cfRule type="cellIs" dxfId="1" priority="1462" operator="equal">
      <formula>0</formula>
    </cfRule>
  </conditionalFormatting>
  <conditionalFormatting sqref="E647">
    <cfRule type="cellIs" dxfId="1" priority="1469" operator="equal">
      <formula>0</formula>
    </cfRule>
  </conditionalFormatting>
  <conditionalFormatting sqref="E657">
    <cfRule type="expression" dxfId="0" priority="1475">
      <formula>E658=0</formula>
    </cfRule>
  </conditionalFormatting>
  <conditionalFormatting sqref="E658">
    <cfRule type="cellIs" dxfId="1" priority="1486" operator="equal">
      <formula>0</formula>
    </cfRule>
  </conditionalFormatting>
  <conditionalFormatting sqref="E659">
    <cfRule type="cellIs" dxfId="1" priority="1497" operator="equal">
      <formula>0</formula>
    </cfRule>
  </conditionalFormatting>
  <conditionalFormatting sqref="E660">
    <cfRule type="cellIs" dxfId="1" priority="1501" operator="equal">
      <formula>0</formula>
    </cfRule>
  </conditionalFormatting>
  <conditionalFormatting sqref="E662">
    <cfRule type="cellIs" dxfId="1" priority="1509" operator="equal">
      <formula>0</formula>
    </cfRule>
  </conditionalFormatting>
  <conditionalFormatting sqref="E663">
    <cfRule type="cellIs" dxfId="1" priority="1514" operator="equal">
      <formula>0</formula>
    </cfRule>
  </conditionalFormatting>
  <conditionalFormatting sqref="E664">
    <cfRule type="cellIs" dxfId="1" priority="1519" operator="equal">
      <formula>0</formula>
    </cfRule>
  </conditionalFormatting>
  <conditionalFormatting sqref="E666">
    <cfRule type="cellIs" dxfId="1" priority="1528" operator="equal">
      <formula>0</formula>
    </cfRule>
  </conditionalFormatting>
  <conditionalFormatting sqref="E667">
    <cfRule type="cellIs" dxfId="1" priority="1533" operator="equal">
      <formula>0</formula>
    </cfRule>
  </conditionalFormatting>
  <conditionalFormatting sqref="E674">
    <cfRule type="expression" dxfId="0" priority="1556">
      <formula>E675=0</formula>
    </cfRule>
  </conditionalFormatting>
  <conditionalFormatting sqref="E675">
    <cfRule type="cellIs" dxfId="1" priority="1562" operator="equal">
      <formula>0</formula>
    </cfRule>
  </conditionalFormatting>
  <conditionalFormatting sqref="E677">
    <cfRule type="cellIs" dxfId="1" priority="1568" operator="equal">
      <formula>0</formula>
    </cfRule>
  </conditionalFormatting>
  <conditionalFormatting sqref="E681">
    <cfRule type="cellIs" dxfId="1" priority="1573" operator="equal">
      <formula>0</formula>
    </cfRule>
  </conditionalFormatting>
  <conditionalFormatting sqref="E683">
    <cfRule type="cellIs" dxfId="1" priority="1576" operator="equal">
      <formula>0</formula>
    </cfRule>
  </conditionalFormatting>
  <conditionalFormatting sqref="E688">
    <cfRule type="cellIs" dxfId="1" priority="1583" operator="equal">
      <formula>0</formula>
    </cfRule>
  </conditionalFormatting>
  <conditionalFormatting sqref="E689">
    <cfRule type="cellIs" dxfId="1" priority="1585" operator="equal">
      <formula>0</formula>
    </cfRule>
  </conditionalFormatting>
  <conditionalFormatting sqref="E714">
    <cfRule type="expression" dxfId="0" priority="1608">
      <formula>E715=0</formula>
    </cfRule>
  </conditionalFormatting>
  <conditionalFormatting sqref="E715">
    <cfRule type="cellIs" dxfId="1" priority="1613" operator="equal">
      <formula>0</formula>
    </cfRule>
  </conditionalFormatting>
  <conditionalFormatting sqref="E716">
    <cfRule type="cellIs" dxfId="1" priority="1618" operator="equal">
      <formula>0</formula>
    </cfRule>
  </conditionalFormatting>
  <conditionalFormatting sqref="E732">
    <cfRule type="expression" dxfId="0" priority="1629">
      <formula>E733=0</formula>
    </cfRule>
  </conditionalFormatting>
  <conditionalFormatting sqref="E733">
    <cfRule type="cellIs" dxfId="1" priority="1634" operator="equal">
      <formula>0</formula>
    </cfRule>
  </conditionalFormatting>
  <conditionalFormatting sqref="E734">
    <cfRule type="cellIs" dxfId="1" priority="1639" operator="equal">
      <formula>0</formula>
    </cfRule>
  </conditionalFormatting>
  <conditionalFormatting sqref="E750">
    <cfRule type="expression" dxfId="0" priority="1650">
      <formula>E751=0</formula>
    </cfRule>
  </conditionalFormatting>
  <conditionalFormatting sqref="E751">
    <cfRule type="cellIs" dxfId="1" priority="1656" operator="equal">
      <formula>0</formula>
    </cfRule>
  </conditionalFormatting>
  <conditionalFormatting sqref="E752">
    <cfRule type="cellIs" dxfId="1" priority="1662" operator="equal">
      <formula>0</formula>
    </cfRule>
  </conditionalFormatting>
  <conditionalFormatting sqref="E753">
    <cfRule type="cellIs" dxfId="1" priority="1668" operator="equal">
      <formula>0</formula>
    </cfRule>
  </conditionalFormatting>
  <conditionalFormatting sqref="E77">
    <cfRule type="cellIs" dxfId="1" priority="186" operator="equal">
      <formula>0</formula>
    </cfRule>
  </conditionalFormatting>
  <conditionalFormatting sqref="E771">
    <cfRule type="expression" dxfId="0" priority="1682">
      <formula>E772=0</formula>
    </cfRule>
  </conditionalFormatting>
  <conditionalFormatting sqref="E772">
    <cfRule type="cellIs" dxfId="1" priority="1686" operator="equal">
      <formula>0</formula>
    </cfRule>
  </conditionalFormatting>
  <conditionalFormatting sqref="E773">
    <cfRule type="cellIs" dxfId="1" priority="1690" operator="equal">
      <formula>0</formula>
    </cfRule>
  </conditionalFormatting>
  <conditionalFormatting sqref="E774">
    <cfRule type="cellIs" dxfId="1" priority="1694" operator="equal">
      <formula>0</formula>
    </cfRule>
  </conditionalFormatting>
  <conditionalFormatting sqref="E792">
    <cfRule type="expression" dxfId="0" priority="1713">
      <formula>E793=0</formula>
    </cfRule>
  </conditionalFormatting>
  <conditionalFormatting sqref="E793">
    <cfRule type="cellIs" dxfId="1" priority="1721" operator="equal">
      <formula>0</formula>
    </cfRule>
  </conditionalFormatting>
  <conditionalFormatting sqref="E795">
    <cfRule type="cellIs" dxfId="1" priority="1735" operator="equal">
      <formula>0</formula>
    </cfRule>
  </conditionalFormatting>
  <conditionalFormatting sqref="E798">
    <cfRule type="cellIs" dxfId="1" priority="1747" operator="equal">
      <formula>0</formula>
    </cfRule>
  </conditionalFormatting>
  <conditionalFormatting sqref="E799">
    <cfRule type="cellIs" dxfId="1" priority="1751" operator="equal">
      <formula>0</formula>
    </cfRule>
  </conditionalFormatting>
  <conditionalFormatting sqref="E800">
    <cfRule type="cellIs" dxfId="1" priority="1755" operator="equal">
      <formula>0</formula>
    </cfRule>
  </conditionalFormatting>
  <conditionalFormatting sqref="E802">
    <cfRule type="cellIs" dxfId="1" priority="1763" operator="equal">
      <formula>0</formula>
    </cfRule>
  </conditionalFormatting>
  <conditionalFormatting sqref="E803">
    <cfRule type="cellIs" dxfId="1" priority="1766" operator="equal">
      <formula>0</formula>
    </cfRule>
  </conditionalFormatting>
  <conditionalFormatting sqref="E804">
    <cfRule type="cellIs" dxfId="1" priority="1770" operator="equal">
      <formula>0</formula>
    </cfRule>
  </conditionalFormatting>
  <conditionalFormatting sqref="E806">
    <cfRule type="cellIs" dxfId="1" priority="1778" operator="equal">
      <formula>0</formula>
    </cfRule>
  </conditionalFormatting>
  <conditionalFormatting sqref="E807">
    <cfRule type="cellIs" dxfId="1" priority="1782" operator="equal">
      <formula>0</formula>
    </cfRule>
  </conditionalFormatting>
  <conditionalFormatting sqref="E808">
    <cfRule type="cellIs" dxfId="1" priority="1785" operator="equal">
      <formula>0</formula>
    </cfRule>
  </conditionalFormatting>
  <conditionalFormatting sqref="E809">
    <cfRule type="cellIs" dxfId="1" priority="1789" operator="equal">
      <formula>0</formula>
    </cfRule>
  </conditionalFormatting>
  <conditionalFormatting sqref="E81">
    <cfRule type="cellIs" dxfId="1" priority="192" operator="equal">
      <formula>0</formula>
    </cfRule>
  </conditionalFormatting>
  <conditionalFormatting sqref="E810">
    <cfRule type="cellIs" dxfId="1" priority="1794" operator="equal">
      <formula>0</formula>
    </cfRule>
  </conditionalFormatting>
  <conditionalFormatting sqref="E811">
    <cfRule type="cellIs" dxfId="1" priority="1799" operator="equal">
      <formula>0</formula>
    </cfRule>
  </conditionalFormatting>
  <conditionalFormatting sqref="E812">
    <cfRule type="cellIs" dxfId="1" priority="1803" operator="equal">
      <formula>0</formula>
    </cfRule>
  </conditionalFormatting>
  <conditionalFormatting sqref="E813">
    <cfRule type="cellIs" dxfId="1" priority="1807" operator="equal">
      <formula>0</formula>
    </cfRule>
  </conditionalFormatting>
  <conditionalFormatting sqref="E814">
    <cfRule type="cellIs" dxfId="1" priority="1811" operator="equal">
      <formula>0</formula>
    </cfRule>
  </conditionalFormatting>
  <conditionalFormatting sqref="E815">
    <cfRule type="cellIs" dxfId="1" priority="1816" operator="equal">
      <formula>0</formula>
    </cfRule>
  </conditionalFormatting>
  <conditionalFormatting sqref="E816">
    <cfRule type="cellIs" dxfId="1" priority="1820" operator="equal">
      <formula>0</formula>
    </cfRule>
  </conditionalFormatting>
  <conditionalFormatting sqref="E817">
    <cfRule type="cellIs" dxfId="1" priority="1824" operator="equal">
      <formula>0</formula>
    </cfRule>
  </conditionalFormatting>
  <conditionalFormatting sqref="E818">
    <cfRule type="cellIs" dxfId="1" priority="1828" operator="equal">
      <formula>0</formula>
    </cfRule>
  </conditionalFormatting>
  <conditionalFormatting sqref="E820">
    <cfRule type="expression" dxfId="0" priority="1833">
      <formula>E821=0</formula>
    </cfRule>
  </conditionalFormatting>
  <conditionalFormatting sqref="E821">
    <cfRule type="cellIs" dxfId="1" priority="1841" operator="equal">
      <formula>0</formula>
    </cfRule>
  </conditionalFormatting>
  <conditionalFormatting sqref="E823">
    <cfRule type="cellIs" dxfId="1" priority="1850" operator="equal">
      <formula>0</formula>
    </cfRule>
  </conditionalFormatting>
  <conditionalFormatting sqref="E83">
    <cfRule type="expression" dxfId="0" priority="196">
      <formula>E84=0</formula>
    </cfRule>
  </conditionalFormatting>
  <conditionalFormatting sqref="E835">
    <cfRule type="cellIs" dxfId="1" priority="1874" operator="equal">
      <formula>0</formula>
    </cfRule>
  </conditionalFormatting>
  <conditionalFormatting sqref="E84">
    <cfRule type="cellIs" dxfId="1" priority="200" operator="equal">
      <formula>0</formula>
    </cfRule>
  </conditionalFormatting>
  <conditionalFormatting sqref="E842">
    <cfRule type="cellIs" dxfId="1" priority="1887" operator="equal">
      <formula>0</formula>
    </cfRule>
  </conditionalFormatting>
  <conditionalFormatting sqref="E843">
    <cfRule type="cellIs" dxfId="1" priority="1889" operator="equal">
      <formula>0</formula>
    </cfRule>
  </conditionalFormatting>
  <conditionalFormatting sqref="E882">
    <cfRule type="expression" dxfId="0" priority="1930">
      <formula>E883=0</formula>
    </cfRule>
  </conditionalFormatting>
  <conditionalFormatting sqref="E883">
    <cfRule type="cellIs" dxfId="1" priority="1937" operator="equal">
      <formula>0</formula>
    </cfRule>
  </conditionalFormatting>
  <conditionalFormatting sqref="E884">
    <cfRule type="cellIs" dxfId="1" priority="1944" operator="equal">
      <formula>0</formula>
    </cfRule>
  </conditionalFormatting>
  <conditionalFormatting sqref="E885">
    <cfRule type="cellIs" dxfId="1" priority="1948" operator="equal">
      <formula>0</formula>
    </cfRule>
  </conditionalFormatting>
  <conditionalFormatting sqref="E886">
    <cfRule type="cellIs" dxfId="1" priority="1954" operator="equal">
      <formula>0</formula>
    </cfRule>
  </conditionalFormatting>
  <conditionalFormatting sqref="E887">
    <cfRule type="cellIs" dxfId="1" priority="1958" operator="equal">
      <formula>0</formula>
    </cfRule>
  </conditionalFormatting>
  <conditionalFormatting sqref="E888">
    <cfRule type="cellIs" dxfId="1" priority="1962" operator="equal">
      <formula>0</formula>
    </cfRule>
  </conditionalFormatting>
  <conditionalFormatting sqref="E89">
    <cfRule type="cellIs" dxfId="1" priority="208" operator="equal">
      <formula>0</formula>
    </cfRule>
  </conditionalFormatting>
  <conditionalFormatting sqref="E890">
    <cfRule type="expression" dxfId="0" priority="1966">
      <formula>E891=0</formula>
    </cfRule>
  </conditionalFormatting>
  <conditionalFormatting sqref="E891">
    <cfRule type="cellIs" dxfId="1" priority="1969" operator="equal">
      <formula>0</formula>
    </cfRule>
  </conditionalFormatting>
  <conditionalFormatting sqref="E893">
    <cfRule type="cellIs" dxfId="1" priority="1972" operator="equal">
      <formula>0</formula>
    </cfRule>
  </conditionalFormatting>
  <conditionalFormatting sqref="E912">
    <cfRule type="expression" dxfId="0" priority="1987">
      <formula>E913=0</formula>
    </cfRule>
  </conditionalFormatting>
  <conditionalFormatting sqref="E913">
    <cfRule type="cellIs" dxfId="1" priority="1991" operator="equal">
      <formula>0</formula>
    </cfRule>
  </conditionalFormatting>
  <conditionalFormatting sqref="E914">
    <cfRule type="cellIs" dxfId="1" priority="1995" operator="equal">
      <formula>0</formula>
    </cfRule>
  </conditionalFormatting>
  <conditionalFormatting sqref="E930">
    <cfRule type="expression" dxfId="0" priority="2005">
      <formula>E931=0</formula>
    </cfRule>
  </conditionalFormatting>
  <conditionalFormatting sqref="E931">
    <cfRule type="cellIs" dxfId="1" priority="2009" operator="equal">
      <formula>0</formula>
    </cfRule>
  </conditionalFormatting>
  <conditionalFormatting sqref="E932">
    <cfRule type="cellIs" dxfId="1" priority="2013" operator="equal">
      <formula>0</formula>
    </cfRule>
  </conditionalFormatting>
  <conditionalFormatting sqref="E948">
    <cfRule type="expression" dxfId="0" priority="2023">
      <formula>E949=0</formula>
    </cfRule>
  </conditionalFormatting>
  <conditionalFormatting sqref="E949">
    <cfRule type="cellIs" dxfId="1" priority="2033" operator="equal">
      <formula>0</formula>
    </cfRule>
  </conditionalFormatting>
  <conditionalFormatting sqref="E950">
    <cfRule type="cellIs" dxfId="1" priority="2043" operator="equal">
      <formula>0</formula>
    </cfRule>
  </conditionalFormatting>
  <conditionalFormatting sqref="E952">
    <cfRule type="cellIs" dxfId="1" priority="2050" operator="equal">
      <formula>0</formula>
    </cfRule>
  </conditionalFormatting>
  <conditionalFormatting sqref="E955">
    <cfRule type="cellIs" dxfId="1" priority="2060" operator="equal">
      <formula>0</formula>
    </cfRule>
  </conditionalFormatting>
  <conditionalFormatting sqref="E956">
    <cfRule type="cellIs" dxfId="1" priority="2065" operator="equal">
      <formula>0</formula>
    </cfRule>
  </conditionalFormatting>
  <conditionalFormatting sqref="E957">
    <cfRule type="cellIs" dxfId="1" priority="2070" operator="equal">
      <formula>0</formula>
    </cfRule>
  </conditionalFormatting>
  <conditionalFormatting sqref="E959">
    <cfRule type="expression" dxfId="0" priority="2073">
      <formula>E960=0</formula>
    </cfRule>
  </conditionalFormatting>
  <conditionalFormatting sqref="E960">
    <cfRule type="cellIs" dxfId="1" priority="2078" operator="equal">
      <formula>0</formula>
    </cfRule>
  </conditionalFormatting>
  <conditionalFormatting sqref="E963">
    <cfRule type="cellIs" dxfId="1" priority="2083" operator="equal">
      <formula>0</formula>
    </cfRule>
  </conditionalFormatting>
  <conditionalFormatting sqref="E968">
    <cfRule type="cellIs" dxfId="1" priority="2091" operator="equal">
      <formula>0</formula>
    </cfRule>
  </conditionalFormatting>
  <conditionalFormatting sqref="E970">
    <cfRule type="expression" dxfId="0" priority="2094">
      <formula>E971=0</formula>
    </cfRule>
  </conditionalFormatting>
  <conditionalFormatting sqref="E971">
    <cfRule type="cellIs" dxfId="1" priority="2097" operator="equal">
      <formula>0</formula>
    </cfRule>
  </conditionalFormatting>
  <conditionalFormatting sqref="E975">
    <cfRule type="cellIs" dxfId="1" priority="2101" operator="equal">
      <formula>0</formula>
    </cfRule>
  </conditionalFormatting>
  <conditionalFormatting sqref="E977">
    <cfRule type="cellIs" dxfId="1" priority="2104" operator="equal">
      <formula>0</formula>
    </cfRule>
  </conditionalFormatting>
  <conditionalFormatting sqref="E987">
    <cfRule type="expression" dxfId="0" priority="2111">
      <formula>E988=0</formula>
    </cfRule>
  </conditionalFormatting>
  <conditionalFormatting sqref="E988">
    <cfRule type="cellIs" dxfId="1" priority="2120" operator="equal">
      <formula>0</formula>
    </cfRule>
  </conditionalFormatting>
  <conditionalFormatting sqref="E989">
    <cfRule type="cellIs" dxfId="1" priority="2129" operator="equal">
      <formula>0</formula>
    </cfRule>
  </conditionalFormatting>
  <conditionalFormatting sqref="E990">
    <cfRule type="cellIs" dxfId="1" priority="2133" operator="equal">
      <formula>0</formula>
    </cfRule>
  </conditionalFormatting>
  <conditionalFormatting sqref="E991">
    <cfRule type="cellIs" dxfId="1" priority="2136" operator="equal">
      <formula>0</formula>
    </cfRule>
  </conditionalFormatting>
  <conditionalFormatting sqref="E993">
    <cfRule type="cellIs" dxfId="1" priority="2146" operator="equal">
      <formula>0</formula>
    </cfRule>
  </conditionalFormatting>
  <conditionalFormatting sqref="E994">
    <cfRule type="cellIs" dxfId="1" priority="2151" operator="equal">
      <formula>0</formula>
    </cfRule>
  </conditionalFormatting>
  <conditionalFormatting sqref="E996">
    <cfRule type="expression" dxfId="0" priority="2155">
      <formula>E997=0</formula>
    </cfRule>
  </conditionalFormatting>
  <conditionalFormatting sqref="E997">
    <cfRule type="cellIs" dxfId="1" priority="2158" operator="equal">
      <formula>0</formula>
    </cfRule>
  </conditionalFormatting>
  <conditionalFormatting sqref="F102">
    <cfRule type="cellIs" dxfId="1" priority="221" operator="equal">
      <formula>0</formula>
    </cfRule>
  </conditionalFormatting>
  <conditionalFormatting sqref="F1020">
    <cfRule type="expression" dxfId="0" priority="2185">
      <formula>F1021=0</formula>
    </cfRule>
  </conditionalFormatting>
  <conditionalFormatting sqref="F1021">
    <cfRule type="cellIs" dxfId="1" priority="2189" operator="equal">
      <formula>0</formula>
    </cfRule>
  </conditionalFormatting>
  <conditionalFormatting sqref="F1022">
    <cfRule type="cellIs" dxfId="1" priority="2193" operator="equal">
      <formula>0</formula>
    </cfRule>
  </conditionalFormatting>
  <conditionalFormatting sqref="F1038">
    <cfRule type="expression" dxfId="0" priority="2206">
      <formula>F1039=0</formula>
    </cfRule>
  </conditionalFormatting>
  <conditionalFormatting sqref="F1039">
    <cfRule type="cellIs" dxfId="1" priority="2210" operator="equal">
      <formula>0</formula>
    </cfRule>
  </conditionalFormatting>
  <conditionalFormatting sqref="F1040">
    <cfRule type="cellIs" dxfId="1" priority="2214" operator="equal">
      <formula>0</formula>
    </cfRule>
  </conditionalFormatting>
  <conditionalFormatting sqref="F1041">
    <cfRule type="cellIs" dxfId="1" priority="2218" operator="equal">
      <formula>0</formula>
    </cfRule>
  </conditionalFormatting>
  <conditionalFormatting sqref="F1042">
    <cfRule type="cellIs" dxfId="1" priority="2222" operator="equal">
      <formula>0</formula>
    </cfRule>
  </conditionalFormatting>
  <conditionalFormatting sqref="F1043">
    <cfRule type="cellIs" dxfId="1" priority="2226" operator="equal">
      <formula>0</formula>
    </cfRule>
  </conditionalFormatting>
  <conditionalFormatting sqref="F1065">
    <cfRule type="expression" dxfId="0" priority="2252">
      <formula>F1066=0</formula>
    </cfRule>
  </conditionalFormatting>
  <conditionalFormatting sqref="F1066">
    <cfRule type="cellIs" dxfId="1" priority="2258" operator="equal">
      <formula>0</formula>
    </cfRule>
  </conditionalFormatting>
  <conditionalFormatting sqref="F1067">
    <cfRule type="cellIs" dxfId="1" priority="2264" operator="equal">
      <formula>0</formula>
    </cfRule>
  </conditionalFormatting>
  <conditionalFormatting sqref="F1083">
    <cfRule type="expression" dxfId="0" priority="2276">
      <formula>F1084=0</formula>
    </cfRule>
  </conditionalFormatting>
  <conditionalFormatting sqref="F1084">
    <cfRule type="cellIs" dxfId="1" priority="2287" operator="equal">
      <formula>0</formula>
    </cfRule>
  </conditionalFormatting>
  <conditionalFormatting sqref="F1085">
    <cfRule type="cellIs" dxfId="1" priority="2298" operator="equal">
      <formula>0</formula>
    </cfRule>
  </conditionalFormatting>
  <conditionalFormatting sqref="F1087">
    <cfRule type="cellIs" dxfId="1" priority="2307" operator="equal">
      <formula>0</formula>
    </cfRule>
  </conditionalFormatting>
  <conditionalFormatting sqref="F1088">
    <cfRule type="cellIs" dxfId="1" priority="2311" operator="equal">
      <formula>0</formula>
    </cfRule>
  </conditionalFormatting>
  <conditionalFormatting sqref="F1089">
    <cfRule type="cellIs" dxfId="1" priority="2315" operator="equal">
      <formula>0</formula>
    </cfRule>
  </conditionalFormatting>
  <conditionalFormatting sqref="F109">
    <cfRule type="cellIs" dxfId="1" priority="230" operator="equal">
      <formula>0</formula>
    </cfRule>
  </conditionalFormatting>
  <conditionalFormatting sqref="F1090">
    <cfRule type="cellIs" dxfId="1" priority="2319" operator="equal">
      <formula>0</formula>
    </cfRule>
  </conditionalFormatting>
  <conditionalFormatting sqref="F1092">
    <cfRule type="cellIs" dxfId="1" priority="2326" operator="equal">
      <formula>0</formula>
    </cfRule>
  </conditionalFormatting>
  <conditionalFormatting sqref="F1093">
    <cfRule type="cellIs" dxfId="1" priority="2330" operator="equal">
      <formula>0</formula>
    </cfRule>
  </conditionalFormatting>
  <conditionalFormatting sqref="F1095">
    <cfRule type="cellIs" dxfId="1" priority="2338" operator="equal">
      <formula>0</formula>
    </cfRule>
  </conditionalFormatting>
  <conditionalFormatting sqref="F1096">
    <cfRule type="cellIs" dxfId="1" priority="2342" operator="equal">
      <formula>0</formula>
    </cfRule>
  </conditionalFormatting>
  <conditionalFormatting sqref="F1097">
    <cfRule type="cellIs" dxfId="1" priority="2346" operator="equal">
      <formula>0</formula>
    </cfRule>
  </conditionalFormatting>
  <conditionalFormatting sqref="F1098">
    <cfRule type="cellIs" dxfId="1" priority="2350" operator="equal">
      <formula>0</formula>
    </cfRule>
  </conditionalFormatting>
  <conditionalFormatting sqref="F1099">
    <cfRule type="cellIs" dxfId="1" priority="2353" operator="equal">
      <formula>0</formula>
    </cfRule>
  </conditionalFormatting>
  <conditionalFormatting sqref="F1100">
    <cfRule type="cellIs" dxfId="1" priority="2357" operator="equal">
      <formula>0</formula>
    </cfRule>
  </conditionalFormatting>
  <conditionalFormatting sqref="F1101">
    <cfRule type="cellIs" dxfId="1" priority="2362" operator="equal">
      <formula>0</formula>
    </cfRule>
  </conditionalFormatting>
  <conditionalFormatting sqref="F1102">
    <cfRule type="cellIs" dxfId="1" priority="2367" operator="equal">
      <formula>0</formula>
    </cfRule>
  </conditionalFormatting>
  <conditionalFormatting sqref="F1103">
    <cfRule type="cellIs" dxfId="1" priority="2372" operator="equal">
      <formula>0</formula>
    </cfRule>
  </conditionalFormatting>
  <conditionalFormatting sqref="F1104">
    <cfRule type="cellIs" dxfId="1" priority="2376" operator="equal">
      <formula>0</formula>
    </cfRule>
  </conditionalFormatting>
  <conditionalFormatting sqref="F1105">
    <cfRule type="cellIs" dxfId="1" priority="2380" operator="equal">
      <formula>0</formula>
    </cfRule>
  </conditionalFormatting>
  <conditionalFormatting sqref="F1106">
    <cfRule type="cellIs" dxfId="1" priority="2384" operator="equal">
      <formula>0</formula>
    </cfRule>
  </conditionalFormatting>
  <conditionalFormatting sqref="F1107">
    <cfRule type="cellIs" dxfId="1" priority="2388" operator="equal">
      <formula>0</formula>
    </cfRule>
  </conditionalFormatting>
  <conditionalFormatting sqref="F1108">
    <cfRule type="cellIs" dxfId="1" priority="2392" operator="equal">
      <formula>0</formula>
    </cfRule>
  </conditionalFormatting>
  <conditionalFormatting sqref="F1109">
    <cfRule type="cellIs" dxfId="1" priority="2396" operator="equal">
      <formula>0</formula>
    </cfRule>
  </conditionalFormatting>
  <conditionalFormatting sqref="F1110">
    <cfRule type="cellIs" dxfId="1" priority="2400" operator="equal">
      <formula>0</formula>
    </cfRule>
  </conditionalFormatting>
  <conditionalFormatting sqref="F1111">
    <cfRule type="cellIs" dxfId="1" priority="2404" operator="equal">
      <formula>0</formula>
    </cfRule>
  </conditionalFormatting>
  <conditionalFormatting sqref="F1113">
    <cfRule type="expression" dxfId="0" priority="2409">
      <formula>F1114=0</formula>
    </cfRule>
  </conditionalFormatting>
  <conditionalFormatting sqref="F1114">
    <cfRule type="cellIs" dxfId="1" priority="2419" operator="equal">
      <formula>0</formula>
    </cfRule>
  </conditionalFormatting>
  <conditionalFormatting sqref="F1118">
    <cfRule type="cellIs" dxfId="1" priority="2432" operator="equal">
      <formula>0</formula>
    </cfRule>
  </conditionalFormatting>
  <conditionalFormatting sqref="F1143">
    <cfRule type="expression" dxfId="0" priority="2480">
      <formula>F1144=0</formula>
    </cfRule>
  </conditionalFormatting>
  <conditionalFormatting sqref="F1144">
    <cfRule type="cellIs" dxfId="1" priority="2486" operator="equal">
      <formula>0</formula>
    </cfRule>
  </conditionalFormatting>
  <conditionalFormatting sqref="F1161">
    <cfRule type="cellIs" dxfId="1" priority="2505" operator="equal">
      <formula>0</formula>
    </cfRule>
  </conditionalFormatting>
  <conditionalFormatting sqref="F117">
    <cfRule type="expression" dxfId="0" priority="234">
      <formula>F118=0</formula>
    </cfRule>
  </conditionalFormatting>
  <conditionalFormatting sqref="F1179">
    <cfRule type="expression" dxfId="0" priority="2523">
      <formula>F1180=0</formula>
    </cfRule>
  </conditionalFormatting>
  <conditionalFormatting sqref="F118">
    <cfRule type="cellIs" dxfId="1" priority="246" operator="equal">
      <formula>0</formula>
    </cfRule>
  </conditionalFormatting>
  <conditionalFormatting sqref="F1180">
    <cfRule type="cellIs" dxfId="1" priority="2528" operator="equal">
      <formula>0</formula>
    </cfRule>
  </conditionalFormatting>
  <conditionalFormatting sqref="F1181">
    <cfRule type="cellIs" dxfId="1" priority="2533" operator="equal">
      <formula>0</formula>
    </cfRule>
  </conditionalFormatting>
  <conditionalFormatting sqref="F1197">
    <cfRule type="expression" dxfId="0" priority="2550">
      <formula>F1198=0</formula>
    </cfRule>
  </conditionalFormatting>
  <conditionalFormatting sqref="F1198">
    <cfRule type="cellIs" dxfId="1" priority="2560" operator="equal">
      <formula>0</formula>
    </cfRule>
  </conditionalFormatting>
  <conditionalFormatting sqref="F120">
    <cfRule type="cellIs" dxfId="1" priority="263" operator="equal">
      <formula>0</formula>
    </cfRule>
  </conditionalFormatting>
  <conditionalFormatting sqref="F1201">
    <cfRule type="cellIs" dxfId="1" priority="2574" operator="equal">
      <formula>0</formula>
    </cfRule>
  </conditionalFormatting>
  <conditionalFormatting sqref="F1205">
    <cfRule type="cellIs" dxfId="1" priority="2590" operator="equal">
      <formula>0</formula>
    </cfRule>
  </conditionalFormatting>
  <conditionalFormatting sqref="F1207">
    <cfRule type="expression" dxfId="0" priority="2596">
      <formula>F1208=0</formula>
    </cfRule>
  </conditionalFormatting>
  <conditionalFormatting sqref="F1208">
    <cfRule type="cellIs" dxfId="1" priority="2601" operator="equal">
      <formula>0</formula>
    </cfRule>
  </conditionalFormatting>
  <conditionalFormatting sqref="F1214">
    <cfRule type="cellIs" dxfId="1" priority="2608" operator="equal">
      <formula>0</formula>
    </cfRule>
  </conditionalFormatting>
  <conditionalFormatting sqref="F122">
    <cfRule type="cellIs" dxfId="1" priority="272" operator="equal">
      <formula>0</formula>
    </cfRule>
  </conditionalFormatting>
  <conditionalFormatting sqref="F123">
    <cfRule type="cellIs" dxfId="1" priority="276" operator="equal">
      <formula>0</formula>
    </cfRule>
  </conditionalFormatting>
  <conditionalFormatting sqref="F1233">
    <cfRule type="expression" dxfId="0" priority="2626">
      <formula>F1234=0</formula>
    </cfRule>
  </conditionalFormatting>
  <conditionalFormatting sqref="F1234">
    <cfRule type="cellIs" dxfId="1" priority="2631" operator="equal">
      <formula>0</formula>
    </cfRule>
  </conditionalFormatting>
  <conditionalFormatting sqref="F1235">
    <cfRule type="cellIs" dxfId="1" priority="2636" operator="equal">
      <formula>0</formula>
    </cfRule>
  </conditionalFormatting>
  <conditionalFormatting sqref="F1236">
    <cfRule type="cellIs" dxfId="1" priority="2640" operator="equal">
      <formula>0</formula>
    </cfRule>
  </conditionalFormatting>
  <conditionalFormatting sqref="F1237">
    <cfRule type="cellIs" dxfId="1" priority="2644" operator="equal">
      <formula>0</formula>
    </cfRule>
  </conditionalFormatting>
  <conditionalFormatting sqref="F1238">
    <cfRule type="cellIs" dxfId="1" priority="2648" operator="equal">
      <formula>0</formula>
    </cfRule>
  </conditionalFormatting>
  <conditionalFormatting sqref="F1239">
    <cfRule type="cellIs" dxfId="1" priority="2652" operator="equal">
      <formula>0</formula>
    </cfRule>
  </conditionalFormatting>
  <conditionalFormatting sqref="F124">
    <cfRule type="cellIs" dxfId="1" priority="281" operator="equal">
      <formula>0</formula>
    </cfRule>
  </conditionalFormatting>
  <conditionalFormatting sqref="F1240">
    <cfRule type="cellIs" dxfId="1" priority="2656" operator="equal">
      <formula>0</formula>
    </cfRule>
  </conditionalFormatting>
  <conditionalFormatting sqref="F1242">
    <cfRule type="cellIs" dxfId="1" priority="2664" operator="equal">
      <formula>0</formula>
    </cfRule>
  </conditionalFormatting>
  <conditionalFormatting sqref="F1243">
    <cfRule type="cellIs" dxfId="1" priority="2668" operator="equal">
      <formula>0</formula>
    </cfRule>
  </conditionalFormatting>
  <conditionalFormatting sqref="F1244">
    <cfRule type="cellIs" dxfId="1" priority="2672" operator="equal">
      <formula>0</formula>
    </cfRule>
  </conditionalFormatting>
  <conditionalFormatting sqref="F1246">
    <cfRule type="expression" dxfId="0" priority="2676">
      <formula>F1247=0</formula>
    </cfRule>
  </conditionalFormatting>
  <conditionalFormatting sqref="F1247">
    <cfRule type="cellIs" dxfId="1" priority="2684" operator="equal">
      <formula>0</formula>
    </cfRule>
  </conditionalFormatting>
  <conditionalFormatting sqref="F1249">
    <cfRule type="cellIs" dxfId="1" priority="2692" operator="equal">
      <formula>0</formula>
    </cfRule>
  </conditionalFormatting>
  <conditionalFormatting sqref="F125">
    <cfRule type="cellIs" dxfId="1" priority="284" operator="equal">
      <formula>0</formula>
    </cfRule>
  </conditionalFormatting>
  <conditionalFormatting sqref="F126">
    <cfRule type="cellIs" dxfId="1" priority="291" operator="equal">
      <formula>0</formula>
    </cfRule>
  </conditionalFormatting>
  <conditionalFormatting sqref="F1278">
    <cfRule type="expression" dxfId="0" priority="2726">
      <formula>F1279=0</formula>
    </cfRule>
  </conditionalFormatting>
  <conditionalFormatting sqref="F1279">
    <cfRule type="cellIs" dxfId="1" priority="2733" operator="equal">
      <formula>0</formula>
    </cfRule>
  </conditionalFormatting>
  <conditionalFormatting sqref="F1281">
    <cfRule type="cellIs" dxfId="1" priority="2745" operator="equal">
      <formula>0</formula>
    </cfRule>
  </conditionalFormatting>
  <conditionalFormatting sqref="F1282">
    <cfRule type="cellIs" dxfId="1" priority="2749" operator="equal">
      <formula>0</formula>
    </cfRule>
  </conditionalFormatting>
  <conditionalFormatting sqref="F1283">
    <cfRule type="cellIs" dxfId="1" priority="2754" operator="equal">
      <formula>0</formula>
    </cfRule>
  </conditionalFormatting>
  <conditionalFormatting sqref="F129">
    <cfRule type="cellIs" dxfId="1" priority="301" operator="equal">
      <formula>0</formula>
    </cfRule>
  </conditionalFormatting>
  <conditionalFormatting sqref="F130">
    <cfRule type="cellIs" dxfId="1" priority="306" operator="equal">
      <formula>0</formula>
    </cfRule>
  </conditionalFormatting>
  <conditionalFormatting sqref="F1305">
    <cfRule type="expression" dxfId="0" priority="2781">
      <formula>F1306=0</formula>
    </cfRule>
  </conditionalFormatting>
  <conditionalFormatting sqref="F1306">
    <cfRule type="cellIs" dxfId="1" priority="2788" operator="equal">
      <formula>0</formula>
    </cfRule>
  </conditionalFormatting>
  <conditionalFormatting sqref="F1308">
    <cfRule type="cellIs" dxfId="1" priority="2800" operator="equal">
      <formula>0</formula>
    </cfRule>
  </conditionalFormatting>
  <conditionalFormatting sqref="F1309">
    <cfRule type="cellIs" dxfId="1" priority="2805" operator="equal">
      <formula>0</formula>
    </cfRule>
  </conditionalFormatting>
  <conditionalFormatting sqref="F131">
    <cfRule type="cellIs" dxfId="1" priority="310" operator="equal">
      <formula>0</formula>
    </cfRule>
  </conditionalFormatting>
  <conditionalFormatting sqref="F1310">
    <cfRule type="cellIs" dxfId="1" priority="2810" operator="equal">
      <formula>0</formula>
    </cfRule>
  </conditionalFormatting>
  <conditionalFormatting sqref="F1311">
    <cfRule type="cellIs" dxfId="1" priority="2814" operator="equal">
      <formula>0</formula>
    </cfRule>
  </conditionalFormatting>
  <conditionalFormatting sqref="F1313">
    <cfRule type="expression" dxfId="0" priority="2818">
      <formula>F1314=0</formula>
    </cfRule>
  </conditionalFormatting>
  <conditionalFormatting sqref="F1314">
    <cfRule type="cellIs" dxfId="1" priority="2822" operator="equal">
      <formula>0</formula>
    </cfRule>
  </conditionalFormatting>
  <conditionalFormatting sqref="F1318">
    <cfRule type="cellIs" dxfId="1" priority="2829" operator="equal">
      <formula>0</formula>
    </cfRule>
  </conditionalFormatting>
  <conditionalFormatting sqref="F132">
    <cfRule type="cellIs" dxfId="1" priority="315" operator="equal">
      <formula>0</formula>
    </cfRule>
  </conditionalFormatting>
  <conditionalFormatting sqref="F133">
    <cfRule type="cellIs" dxfId="1" priority="318" operator="equal">
      <formula>0</formula>
    </cfRule>
  </conditionalFormatting>
  <conditionalFormatting sqref="F1335">
    <cfRule type="expression" dxfId="0" priority="2848">
      <formula>F1336=0</formula>
    </cfRule>
  </conditionalFormatting>
  <conditionalFormatting sqref="F1336">
    <cfRule type="cellIs" dxfId="1" priority="2855" operator="equal">
      <formula>0</formula>
    </cfRule>
  </conditionalFormatting>
  <conditionalFormatting sqref="F1337">
    <cfRule type="cellIs" dxfId="1" priority="2862" operator="equal">
      <formula>0</formula>
    </cfRule>
  </conditionalFormatting>
  <conditionalFormatting sqref="F1338">
    <cfRule type="cellIs" dxfId="1" priority="2864" operator="equal">
      <formula>0</formula>
    </cfRule>
  </conditionalFormatting>
  <conditionalFormatting sqref="F134">
    <cfRule type="cellIs" dxfId="1" priority="323" operator="equal">
      <formula>0</formula>
    </cfRule>
  </conditionalFormatting>
  <conditionalFormatting sqref="F1342">
    <cfRule type="expression" dxfId="0" priority="2878">
      <formula>F1343=0</formula>
    </cfRule>
  </conditionalFormatting>
  <conditionalFormatting sqref="F1343">
    <cfRule type="cellIs" dxfId="1" priority="2882" operator="equal">
      <formula>0</formula>
    </cfRule>
  </conditionalFormatting>
  <conditionalFormatting sqref="F1347">
    <cfRule type="cellIs" dxfId="1" priority="2890" operator="equal">
      <formula>0</formula>
    </cfRule>
  </conditionalFormatting>
  <conditionalFormatting sqref="F136">
    <cfRule type="cellIs" dxfId="1" priority="332" operator="equal">
      <formula>0</formula>
    </cfRule>
  </conditionalFormatting>
  <conditionalFormatting sqref="F1362">
    <cfRule type="expression" dxfId="0" priority="2907">
      <formula>F1363=0</formula>
    </cfRule>
  </conditionalFormatting>
  <conditionalFormatting sqref="F1363">
    <cfRule type="cellIs" dxfId="1" priority="2914" operator="equal">
      <formula>0</formula>
    </cfRule>
  </conditionalFormatting>
  <conditionalFormatting sqref="F1365">
    <cfRule type="cellIs" dxfId="1" priority="2925" operator="equal">
      <formula>0</formula>
    </cfRule>
  </conditionalFormatting>
  <conditionalFormatting sqref="F1366">
    <cfRule type="cellIs" dxfId="1" priority="2930" operator="equal">
      <formula>0</formula>
    </cfRule>
  </conditionalFormatting>
  <conditionalFormatting sqref="F1368">
    <cfRule type="expression" dxfId="0" priority="2934">
      <formula>F1369=0</formula>
    </cfRule>
  </conditionalFormatting>
  <conditionalFormatting sqref="F1369">
    <cfRule type="cellIs" dxfId="1" priority="2938" operator="equal">
      <formula>0</formula>
    </cfRule>
  </conditionalFormatting>
  <conditionalFormatting sqref="F137">
    <cfRule type="cellIs" dxfId="1" priority="337" operator="equal">
      <formula>0</formula>
    </cfRule>
  </conditionalFormatting>
  <conditionalFormatting sqref="F1372">
    <cfRule type="cellIs" dxfId="1" priority="2944" operator="equal">
      <formula>0</formula>
    </cfRule>
  </conditionalFormatting>
  <conditionalFormatting sqref="F1386">
    <cfRule type="expression" dxfId="0" priority="2956">
      <formula>F1387=0</formula>
    </cfRule>
  </conditionalFormatting>
  <conditionalFormatting sqref="F1387">
    <cfRule type="cellIs" dxfId="1" priority="2964" operator="equal">
      <formula>0</formula>
    </cfRule>
  </conditionalFormatting>
  <conditionalFormatting sqref="F1389">
    <cfRule type="cellIs" dxfId="1" priority="2976" operator="equal">
      <formula>0</formula>
    </cfRule>
  </conditionalFormatting>
  <conditionalFormatting sqref="F1390">
    <cfRule type="cellIs" dxfId="1" priority="2980" operator="equal">
      <formula>0</formula>
    </cfRule>
  </conditionalFormatting>
  <conditionalFormatting sqref="F1391">
    <cfRule type="cellIs" dxfId="1" priority="2985" operator="equal">
      <formula>0</formula>
    </cfRule>
  </conditionalFormatting>
  <conditionalFormatting sqref="F1394">
    <cfRule type="cellIs" dxfId="1" priority="2999" operator="equal">
      <formula>0</formula>
    </cfRule>
  </conditionalFormatting>
  <conditionalFormatting sqref="F1396">
    <cfRule type="expression" dxfId="0" priority="3003">
      <formula>F1397=0</formula>
    </cfRule>
  </conditionalFormatting>
  <conditionalFormatting sqref="F1397">
    <cfRule type="cellIs" dxfId="1" priority="3009" operator="equal">
      <formula>0</formula>
    </cfRule>
  </conditionalFormatting>
  <conditionalFormatting sqref="F1402">
    <cfRule type="cellIs" dxfId="1" priority="3020" operator="equal">
      <formula>0</formula>
    </cfRule>
  </conditionalFormatting>
  <conditionalFormatting sqref="F1422">
    <cfRule type="expression" dxfId="0" priority="3040">
      <formula>F1423=0</formula>
    </cfRule>
  </conditionalFormatting>
  <conditionalFormatting sqref="F1423">
    <cfRule type="cellIs" dxfId="1" priority="3051" operator="equal">
      <formula>0</formula>
    </cfRule>
  </conditionalFormatting>
  <conditionalFormatting sqref="F1424">
    <cfRule type="cellIs" dxfId="1" priority="3062" operator="equal">
      <formula>0</formula>
    </cfRule>
  </conditionalFormatting>
  <conditionalFormatting sqref="F1428">
    <cfRule type="cellIs" dxfId="1" priority="3081" operator="equal">
      <formula>0</formula>
    </cfRule>
  </conditionalFormatting>
  <conditionalFormatting sqref="F1432">
    <cfRule type="cellIs" dxfId="1" priority="3099" operator="equal">
      <formula>0</formula>
    </cfRule>
  </conditionalFormatting>
  <conditionalFormatting sqref="F1433">
    <cfRule type="cellIs" dxfId="1" priority="3105" operator="equal">
      <formula>0</formula>
    </cfRule>
  </conditionalFormatting>
  <conditionalFormatting sqref="F1434">
    <cfRule type="cellIs" dxfId="1" priority="3109" operator="equal">
      <formula>0</formula>
    </cfRule>
  </conditionalFormatting>
  <conditionalFormatting sqref="F1437">
    <cfRule type="cellIs" dxfId="1" priority="3121" operator="equal">
      <formula>0</formula>
    </cfRule>
  </conditionalFormatting>
  <conditionalFormatting sqref="F1439">
    <cfRule type="cellIs" dxfId="1" priority="3131" operator="equal">
      <formula>0</formula>
    </cfRule>
  </conditionalFormatting>
  <conditionalFormatting sqref="F144">
    <cfRule type="expression" dxfId="0" priority="366">
      <formula>F145=0</formula>
    </cfRule>
  </conditionalFormatting>
  <conditionalFormatting sqref="F1440">
    <cfRule type="cellIs" dxfId="1" priority="3136" operator="equal">
      <formula>0</formula>
    </cfRule>
  </conditionalFormatting>
  <conditionalFormatting sqref="F1443">
    <cfRule type="expression" dxfId="0" priority="3145">
      <formula>F1444=0</formula>
    </cfRule>
  </conditionalFormatting>
  <conditionalFormatting sqref="F1444">
    <cfRule type="cellIs" dxfId="1" priority="3152" operator="equal">
      <formula>0</formula>
    </cfRule>
  </conditionalFormatting>
  <conditionalFormatting sqref="F1447">
    <cfRule type="cellIs" dxfId="1" priority="3160" operator="equal">
      <formula>0</formula>
    </cfRule>
  </conditionalFormatting>
  <conditionalFormatting sqref="F145">
    <cfRule type="cellIs" dxfId="1" priority="374" operator="equal">
      <formula>0</formula>
    </cfRule>
  </conditionalFormatting>
  <conditionalFormatting sqref="F1455">
    <cfRule type="cellIs" dxfId="1" priority="3172" operator="equal">
      <formula>0</formula>
    </cfRule>
  </conditionalFormatting>
  <conditionalFormatting sqref="F1460">
    <cfRule type="cellIs" dxfId="1" priority="3181" operator="equal">
      <formula>0</formula>
    </cfRule>
  </conditionalFormatting>
  <conditionalFormatting sqref="F1462">
    <cfRule type="cellIs" dxfId="1" priority="3184" operator="equal">
      <formula>0</formula>
    </cfRule>
  </conditionalFormatting>
  <conditionalFormatting sqref="F148">
    <cfRule type="cellIs" dxfId="1" priority="384" operator="equal">
      <formula>0</formula>
    </cfRule>
  </conditionalFormatting>
  <conditionalFormatting sqref="F1491">
    <cfRule type="expression" dxfId="0" priority="3213">
      <formula>F1492=0</formula>
    </cfRule>
  </conditionalFormatting>
  <conditionalFormatting sqref="F1492">
    <cfRule type="cellIs" dxfId="1" priority="3220" operator="equal">
      <formula>0</formula>
    </cfRule>
  </conditionalFormatting>
  <conditionalFormatting sqref="F1493">
    <cfRule type="cellIs" dxfId="1" priority="3227" operator="equal">
      <formula>0</formula>
    </cfRule>
  </conditionalFormatting>
  <conditionalFormatting sqref="F1494">
    <cfRule type="cellIs" dxfId="1" priority="3231" operator="equal">
      <formula>0</formula>
    </cfRule>
  </conditionalFormatting>
  <conditionalFormatting sqref="F1495">
    <cfRule type="cellIs" dxfId="1" priority="3236" operator="equal">
      <formula>0</formula>
    </cfRule>
  </conditionalFormatting>
  <conditionalFormatting sqref="F1497">
    <cfRule type="cellIs" dxfId="1" priority="3246" operator="equal">
      <formula>0</formula>
    </cfRule>
  </conditionalFormatting>
  <conditionalFormatting sqref="F1499">
    <cfRule type="expression" dxfId="0" priority="3250">
      <formula>F1500=0</formula>
    </cfRule>
  </conditionalFormatting>
  <conditionalFormatting sqref="F1500">
    <cfRule type="cellIs" dxfId="1" priority="3254" operator="equal">
      <formula>0</formula>
    </cfRule>
  </conditionalFormatting>
  <conditionalFormatting sqref="F1504">
    <cfRule type="cellIs" dxfId="1" priority="3261" operator="equal">
      <formula>0</formula>
    </cfRule>
  </conditionalFormatting>
  <conditionalFormatting sqref="F151">
    <cfRule type="cellIs" dxfId="1" priority="388" operator="equal">
      <formula>0</formula>
    </cfRule>
  </conditionalFormatting>
  <conditionalFormatting sqref="F1521">
    <cfRule type="expression" dxfId="0" priority="3280">
      <formula>F1522=0</formula>
    </cfRule>
  </conditionalFormatting>
  <conditionalFormatting sqref="F1522">
    <cfRule type="cellIs" dxfId="1" priority="3286" operator="equal">
      <formula>0</formula>
    </cfRule>
  </conditionalFormatting>
  <conditionalFormatting sqref="F1523">
    <cfRule type="cellIs" dxfId="1" priority="3292" operator="equal">
      <formula>0</formula>
    </cfRule>
  </conditionalFormatting>
  <conditionalFormatting sqref="F1524">
    <cfRule type="cellIs" dxfId="1" priority="3296" operator="equal">
      <formula>0</formula>
    </cfRule>
  </conditionalFormatting>
  <conditionalFormatting sqref="F1525">
    <cfRule type="cellIs" dxfId="1" priority="3301" operator="equal">
      <formula>0</formula>
    </cfRule>
  </conditionalFormatting>
  <conditionalFormatting sqref="F1526">
    <cfRule type="cellIs" dxfId="1" priority="3305" operator="equal">
      <formula>0</formula>
    </cfRule>
  </conditionalFormatting>
  <conditionalFormatting sqref="F1527">
    <cfRule type="cellIs" dxfId="1" priority="3309" operator="equal">
      <formula>0</formula>
    </cfRule>
  </conditionalFormatting>
  <conditionalFormatting sqref="F1528">
    <cfRule type="cellIs" dxfId="1" priority="3313" operator="equal">
      <formula>0</formula>
    </cfRule>
  </conditionalFormatting>
  <conditionalFormatting sqref="F155">
    <cfRule type="cellIs" dxfId="1" priority="395" operator="equal">
      <formula>0</formula>
    </cfRule>
  </conditionalFormatting>
  <conditionalFormatting sqref="F1554">
    <cfRule type="expression" dxfId="0" priority="3340">
      <formula>F1555=0</formula>
    </cfRule>
  </conditionalFormatting>
  <conditionalFormatting sqref="F1555">
    <cfRule type="cellIs" dxfId="1" priority="3351" operator="equal">
      <formula>0</formula>
    </cfRule>
  </conditionalFormatting>
  <conditionalFormatting sqref="F1556">
    <cfRule type="cellIs" dxfId="1" priority="3361" operator="equal">
      <formula>0</formula>
    </cfRule>
  </conditionalFormatting>
  <conditionalFormatting sqref="F1557">
    <cfRule type="cellIs" dxfId="1" priority="3365" operator="equal">
      <formula>0</formula>
    </cfRule>
  </conditionalFormatting>
  <conditionalFormatting sqref="F1561">
    <cfRule type="cellIs" dxfId="1" priority="3382" operator="equal">
      <formula>0</formula>
    </cfRule>
  </conditionalFormatting>
  <conditionalFormatting sqref="F1562">
    <cfRule type="cellIs" dxfId="1" priority="3386" operator="equal">
      <formula>0</formula>
    </cfRule>
  </conditionalFormatting>
  <conditionalFormatting sqref="F1563">
    <cfRule type="cellIs" dxfId="1" priority="3390" operator="equal">
      <formula>0</formula>
    </cfRule>
  </conditionalFormatting>
  <conditionalFormatting sqref="F1564">
    <cfRule type="cellIs" dxfId="1" priority="3395" operator="equal">
      <formula>0</formula>
    </cfRule>
  </conditionalFormatting>
  <conditionalFormatting sqref="F1565">
    <cfRule type="cellIs" dxfId="1" priority="3399" operator="equal">
      <formula>0</formula>
    </cfRule>
  </conditionalFormatting>
  <conditionalFormatting sqref="F1566">
    <cfRule type="cellIs" dxfId="1" priority="3403" operator="equal">
      <formula>0</formula>
    </cfRule>
  </conditionalFormatting>
  <conditionalFormatting sqref="F1567">
    <cfRule type="cellIs" dxfId="1" priority="3407" operator="equal">
      <formula>0</formula>
    </cfRule>
  </conditionalFormatting>
  <conditionalFormatting sqref="F1568">
    <cfRule type="cellIs" dxfId="1" priority="3412" operator="equal">
      <formula>0</formula>
    </cfRule>
  </conditionalFormatting>
  <conditionalFormatting sqref="F1569">
    <cfRule type="cellIs" dxfId="1" priority="3417" operator="equal">
      <formula>0</formula>
    </cfRule>
  </conditionalFormatting>
  <conditionalFormatting sqref="F157">
    <cfRule type="cellIs" dxfId="1" priority="397" operator="equal">
      <formula>0</formula>
    </cfRule>
  </conditionalFormatting>
  <conditionalFormatting sqref="F1571">
    <cfRule type="cellIs" dxfId="1" priority="3426" operator="equal">
      <formula>0</formula>
    </cfRule>
  </conditionalFormatting>
  <conditionalFormatting sqref="F1573">
    <cfRule type="expression" dxfId="0" priority="3431">
      <formula>F1574=0</formula>
    </cfRule>
  </conditionalFormatting>
  <conditionalFormatting sqref="F1574">
    <cfRule type="cellIs" dxfId="1" priority="3438" operator="equal">
      <formula>0</formula>
    </cfRule>
  </conditionalFormatting>
  <conditionalFormatting sqref="F1576">
    <cfRule type="cellIs" dxfId="1" priority="3445" operator="equal">
      <formula>0</formula>
    </cfRule>
  </conditionalFormatting>
  <conditionalFormatting sqref="F1577">
    <cfRule type="cellIs" dxfId="1" priority="3447" operator="equal">
      <formula>0</formula>
    </cfRule>
  </conditionalFormatting>
  <conditionalFormatting sqref="F1578">
    <cfRule type="cellIs" dxfId="1" priority="3449" operator="equal">
      <formula>0</formula>
    </cfRule>
  </conditionalFormatting>
  <conditionalFormatting sqref="F1579">
    <cfRule type="cellIs" dxfId="1" priority="3451" operator="equal">
      <formula>0</formula>
    </cfRule>
  </conditionalFormatting>
  <conditionalFormatting sqref="F158">
    <cfRule type="cellIs" dxfId="1" priority="398" operator="equal">
      <formula>0</formula>
    </cfRule>
  </conditionalFormatting>
  <conditionalFormatting sqref="F1580">
    <cfRule type="cellIs" dxfId="1" priority="3453" operator="equal">
      <formula>0</formula>
    </cfRule>
  </conditionalFormatting>
  <conditionalFormatting sqref="F1582">
    <cfRule type="cellIs" dxfId="1" priority="3456" operator="equal">
      <formula>0</formula>
    </cfRule>
  </conditionalFormatting>
  <conditionalFormatting sqref="F1583">
    <cfRule type="cellIs" dxfId="1" priority="3458" operator="equal">
      <formula>0</formula>
    </cfRule>
  </conditionalFormatting>
  <conditionalFormatting sqref="F1584">
    <cfRule type="cellIs" dxfId="1" priority="3460" operator="equal">
      <formula>0</formula>
    </cfRule>
  </conditionalFormatting>
  <conditionalFormatting sqref="F1586">
    <cfRule type="cellIs" dxfId="1" priority="3463" operator="equal">
      <formula>0</formula>
    </cfRule>
  </conditionalFormatting>
  <conditionalFormatting sqref="F1588">
    <cfRule type="cellIs" dxfId="1" priority="3467" operator="equal">
      <formula>0</formula>
    </cfRule>
  </conditionalFormatting>
  <conditionalFormatting sqref="F1589">
    <cfRule type="cellIs" dxfId="1" priority="3469" operator="equal">
      <formula>0</formula>
    </cfRule>
  </conditionalFormatting>
  <conditionalFormatting sqref="F159">
    <cfRule type="cellIs" dxfId="1" priority="400" operator="equal">
      <formula>0</formula>
    </cfRule>
  </conditionalFormatting>
  <conditionalFormatting sqref="F1590">
    <cfRule type="cellIs" dxfId="1" priority="3471" operator="equal">
      <formula>0</formula>
    </cfRule>
  </conditionalFormatting>
  <conditionalFormatting sqref="F161">
    <cfRule type="cellIs" dxfId="1" priority="404" operator="equal">
      <formula>0</formula>
    </cfRule>
  </conditionalFormatting>
  <conditionalFormatting sqref="F1617">
    <cfRule type="expression" dxfId="0" priority="3506">
      <formula>F1618=0</formula>
    </cfRule>
  </conditionalFormatting>
  <conditionalFormatting sqref="F1618">
    <cfRule type="cellIs" dxfId="1" priority="3510" operator="equal">
      <formula>0</formula>
    </cfRule>
  </conditionalFormatting>
  <conditionalFormatting sqref="F1619">
    <cfRule type="cellIs" dxfId="1" priority="3514" operator="equal">
      <formula>0</formula>
    </cfRule>
  </conditionalFormatting>
  <conditionalFormatting sqref="F1620">
    <cfRule type="cellIs" dxfId="1" priority="3518" operator="equal">
      <formula>0</formula>
    </cfRule>
  </conditionalFormatting>
  <conditionalFormatting sqref="F1621">
    <cfRule type="cellIs" dxfId="1" priority="3522" operator="equal">
      <formula>0</formula>
    </cfRule>
  </conditionalFormatting>
  <conditionalFormatting sqref="F1622">
    <cfRule type="cellIs" dxfId="1" priority="3526" operator="equal">
      <formula>0</formula>
    </cfRule>
  </conditionalFormatting>
  <conditionalFormatting sqref="F1644">
    <cfRule type="expression" dxfId="0" priority="3548">
      <formula>F1645=0</formula>
    </cfRule>
  </conditionalFormatting>
  <conditionalFormatting sqref="F1645">
    <cfRule type="cellIs" dxfId="1" priority="3557" operator="equal">
      <formula>0</formula>
    </cfRule>
  </conditionalFormatting>
  <conditionalFormatting sqref="F1646">
    <cfRule type="cellIs" dxfId="1" priority="3566" operator="equal">
      <formula>0</formula>
    </cfRule>
  </conditionalFormatting>
  <conditionalFormatting sqref="F1648">
    <cfRule type="cellIs" dxfId="1" priority="3572" operator="equal">
      <formula>0</formula>
    </cfRule>
  </conditionalFormatting>
  <conditionalFormatting sqref="F1650">
    <cfRule type="cellIs" dxfId="1" priority="3584" operator="equal">
      <formula>0</formula>
    </cfRule>
  </conditionalFormatting>
  <conditionalFormatting sqref="F1651">
    <cfRule type="cellIs" dxfId="1" priority="3588" operator="equal">
      <formula>0</formula>
    </cfRule>
  </conditionalFormatting>
  <conditionalFormatting sqref="F1653">
    <cfRule type="expression" dxfId="0" priority="3592">
      <formula>F1654=0</formula>
    </cfRule>
  </conditionalFormatting>
  <conditionalFormatting sqref="F1654">
    <cfRule type="cellIs" dxfId="1" priority="3599" operator="equal">
      <formula>0</formula>
    </cfRule>
  </conditionalFormatting>
  <conditionalFormatting sqref="F1657">
    <cfRule type="cellIs" dxfId="1" priority="3607" operator="equal">
      <formula>0</formula>
    </cfRule>
  </conditionalFormatting>
  <conditionalFormatting sqref="F1677">
    <cfRule type="expression" dxfId="0" priority="3630">
      <formula>F1678=0</formula>
    </cfRule>
  </conditionalFormatting>
  <conditionalFormatting sqref="F1678">
    <cfRule type="cellIs" dxfId="1" priority="3636" operator="equal">
      <formula>0</formula>
    </cfRule>
  </conditionalFormatting>
  <conditionalFormatting sqref="F1679">
    <cfRule type="cellIs" dxfId="1" priority="3642" operator="equal">
      <formula>0</formula>
    </cfRule>
  </conditionalFormatting>
  <conditionalFormatting sqref="F1681">
    <cfRule type="cellIs" dxfId="1" priority="3649" operator="equal">
      <formula>0</formula>
    </cfRule>
  </conditionalFormatting>
  <conditionalFormatting sqref="F1682">
    <cfRule type="cellIs" dxfId="1" priority="3653" operator="equal">
      <formula>0</formula>
    </cfRule>
  </conditionalFormatting>
  <conditionalFormatting sqref="F1683">
    <cfRule type="cellIs" dxfId="1" priority="3658" operator="equal">
      <formula>0</formula>
    </cfRule>
  </conditionalFormatting>
  <conditionalFormatting sqref="F1684">
    <cfRule type="cellIs" dxfId="1" priority="3662" operator="equal">
      <formula>0</formula>
    </cfRule>
  </conditionalFormatting>
  <conditionalFormatting sqref="F171">
    <cfRule type="expression" dxfId="0" priority="420">
      <formula>F172=0</formula>
    </cfRule>
  </conditionalFormatting>
  <conditionalFormatting sqref="F1710">
    <cfRule type="expression" dxfId="0" priority="3688">
      <formula>F1711=0</formula>
    </cfRule>
  </conditionalFormatting>
  <conditionalFormatting sqref="F1711">
    <cfRule type="cellIs" dxfId="1" priority="3693" operator="equal">
      <formula>0</formula>
    </cfRule>
  </conditionalFormatting>
  <conditionalFormatting sqref="F1712">
    <cfRule type="cellIs" dxfId="1" priority="3698" operator="equal">
      <formula>0</formula>
    </cfRule>
  </conditionalFormatting>
  <conditionalFormatting sqref="F1713">
    <cfRule type="cellIs" dxfId="1" priority="3703" operator="equal">
      <formula>0</formula>
    </cfRule>
  </conditionalFormatting>
  <conditionalFormatting sqref="F172">
    <cfRule type="cellIs" dxfId="1" priority="424" operator="equal">
      <formula>0</formula>
    </cfRule>
  </conditionalFormatting>
  <conditionalFormatting sqref="F1731">
    <cfRule type="expression" dxfId="0" priority="3719">
      <formula>F1732=0</formula>
    </cfRule>
  </conditionalFormatting>
  <conditionalFormatting sqref="F1732">
    <cfRule type="cellIs" dxfId="1" priority="3724" operator="equal">
      <formula>0</formula>
    </cfRule>
  </conditionalFormatting>
  <conditionalFormatting sqref="F1733">
    <cfRule type="cellIs" dxfId="1" priority="3729" operator="equal">
      <formula>0</formula>
    </cfRule>
  </conditionalFormatting>
  <conditionalFormatting sqref="F1734">
    <cfRule type="cellIs" dxfId="1" priority="3734" operator="equal">
      <formula>0</formula>
    </cfRule>
  </conditionalFormatting>
  <conditionalFormatting sqref="F1752">
    <cfRule type="expression" dxfId="0" priority="3747">
      <formula>F1753=0</formula>
    </cfRule>
  </conditionalFormatting>
  <conditionalFormatting sqref="F1753">
    <cfRule type="cellIs" dxfId="1" priority="3753" operator="equal">
      <formula>0</formula>
    </cfRule>
  </conditionalFormatting>
  <conditionalFormatting sqref="F1754">
    <cfRule type="cellIs" dxfId="1" priority="3759" operator="equal">
      <formula>0</formula>
    </cfRule>
  </conditionalFormatting>
  <conditionalFormatting sqref="F1755">
    <cfRule type="cellIs" dxfId="1" priority="3764" operator="equal">
      <formula>0</formula>
    </cfRule>
  </conditionalFormatting>
  <conditionalFormatting sqref="F1756">
    <cfRule type="cellIs" dxfId="1" priority="3769" operator="equal">
      <formula>0</formula>
    </cfRule>
  </conditionalFormatting>
  <conditionalFormatting sqref="F1757">
    <cfRule type="cellIs" dxfId="1" priority="3773" operator="equal">
      <formula>0</formula>
    </cfRule>
  </conditionalFormatting>
  <conditionalFormatting sqref="F1758">
    <cfRule type="cellIs" dxfId="1" priority="3777" operator="equal">
      <formula>0</formula>
    </cfRule>
  </conditionalFormatting>
  <conditionalFormatting sqref="F1782">
    <cfRule type="expression" dxfId="0" priority="3800">
      <formula>F1783=0</formula>
    </cfRule>
  </conditionalFormatting>
  <conditionalFormatting sqref="F1783">
    <cfRule type="cellIs" dxfId="1" priority="3808" operator="equal">
      <formula>0</formula>
    </cfRule>
  </conditionalFormatting>
  <conditionalFormatting sqref="F1784">
    <cfRule type="cellIs" dxfId="1" priority="3816" operator="equal">
      <formula>0</formula>
    </cfRule>
  </conditionalFormatting>
  <conditionalFormatting sqref="F1785">
    <cfRule type="cellIs" dxfId="1" priority="3819" operator="equal">
      <formula>0</formula>
    </cfRule>
  </conditionalFormatting>
  <conditionalFormatting sqref="F1786">
    <cfRule type="cellIs" dxfId="1" priority="3825" operator="equal">
      <formula>0</formula>
    </cfRule>
  </conditionalFormatting>
  <conditionalFormatting sqref="F1787">
    <cfRule type="cellIs" dxfId="1" priority="3829" operator="equal">
      <formula>0</formula>
    </cfRule>
  </conditionalFormatting>
  <conditionalFormatting sqref="F1788">
    <cfRule type="cellIs" dxfId="1" priority="3833" operator="equal">
      <formula>0</formula>
    </cfRule>
  </conditionalFormatting>
  <conditionalFormatting sqref="F1789">
    <cfRule type="cellIs" dxfId="1" priority="3837" operator="equal">
      <formula>0</formula>
    </cfRule>
  </conditionalFormatting>
  <conditionalFormatting sqref="F1790">
    <cfRule type="cellIs" dxfId="1" priority="3841" operator="equal">
      <formula>0</formula>
    </cfRule>
  </conditionalFormatting>
  <conditionalFormatting sqref="F1791">
    <cfRule type="cellIs" dxfId="1" priority="3845" operator="equal">
      <formula>0</formula>
    </cfRule>
  </conditionalFormatting>
  <conditionalFormatting sqref="F1792">
    <cfRule type="cellIs" dxfId="1" priority="3849" operator="equal">
      <formula>0</formula>
    </cfRule>
  </conditionalFormatting>
  <conditionalFormatting sqref="F1794">
    <cfRule type="cellIs" dxfId="1" priority="3858" operator="equal">
      <formula>0</formula>
    </cfRule>
  </conditionalFormatting>
  <conditionalFormatting sqref="F1796">
    <cfRule type="cellIs" dxfId="1" priority="3866" operator="equal">
      <formula>0</formula>
    </cfRule>
  </conditionalFormatting>
  <conditionalFormatting sqref="F1797">
    <cfRule type="cellIs" dxfId="1" priority="3871" operator="equal">
      <formula>0</formula>
    </cfRule>
  </conditionalFormatting>
  <conditionalFormatting sqref="F1801">
    <cfRule type="expression" dxfId="0" priority="3883">
      <formula>F1802=0</formula>
    </cfRule>
  </conditionalFormatting>
  <conditionalFormatting sqref="F1802">
    <cfRule type="cellIs" dxfId="1" priority="3888" operator="equal">
      <formula>0</formula>
    </cfRule>
  </conditionalFormatting>
  <conditionalFormatting sqref="F1805">
    <cfRule type="cellIs" dxfId="1" priority="3894" operator="equal">
      <formula>0</formula>
    </cfRule>
  </conditionalFormatting>
  <conditionalFormatting sqref="F1811">
    <cfRule type="cellIs" dxfId="1" priority="3905" operator="equal">
      <formula>0</formula>
    </cfRule>
  </conditionalFormatting>
  <conditionalFormatting sqref="F1814">
    <cfRule type="cellIs" dxfId="1" priority="3911" operator="equal">
      <formula>0</formula>
    </cfRule>
  </conditionalFormatting>
  <conditionalFormatting sqref="F1818">
    <cfRule type="cellIs" dxfId="1" priority="3920" operator="equal">
      <formula>0</formula>
    </cfRule>
  </conditionalFormatting>
  <conditionalFormatting sqref="F1845">
    <cfRule type="expression" dxfId="0" priority="3955">
      <formula>F1846=0</formula>
    </cfRule>
  </conditionalFormatting>
  <conditionalFormatting sqref="F1846">
    <cfRule type="cellIs" dxfId="1" priority="3961" operator="equal">
      <formula>0</formula>
    </cfRule>
  </conditionalFormatting>
  <conditionalFormatting sqref="F1847">
    <cfRule type="cellIs" dxfId="1" priority="3967" operator="equal">
      <formula>0</formula>
    </cfRule>
  </conditionalFormatting>
  <conditionalFormatting sqref="F1848">
    <cfRule type="cellIs" dxfId="1" priority="3971" operator="equal">
      <formula>0</formula>
    </cfRule>
  </conditionalFormatting>
  <conditionalFormatting sqref="F1849">
    <cfRule type="cellIs" dxfId="1" priority="3976" operator="equal">
      <formula>0</formula>
    </cfRule>
  </conditionalFormatting>
  <conditionalFormatting sqref="F1850">
    <cfRule type="cellIs" dxfId="1" priority="3981" operator="equal">
      <formula>0</formula>
    </cfRule>
  </conditionalFormatting>
  <conditionalFormatting sqref="F1852">
    <cfRule type="expression" dxfId="0" priority="3985">
      <formula>F1853=0</formula>
    </cfRule>
  </conditionalFormatting>
  <conditionalFormatting sqref="F1853">
    <cfRule type="cellIs" dxfId="1" priority="3990" operator="equal">
      <formula>0</formula>
    </cfRule>
  </conditionalFormatting>
  <conditionalFormatting sqref="F1857">
    <cfRule type="cellIs" dxfId="1" priority="3998" operator="equal">
      <formula>0</formula>
    </cfRule>
  </conditionalFormatting>
  <conditionalFormatting sqref="F1872">
    <cfRule type="expression" dxfId="0" priority="4012">
      <formula>F1873=0</formula>
    </cfRule>
  </conditionalFormatting>
  <conditionalFormatting sqref="F1873">
    <cfRule type="cellIs" dxfId="1" priority="4016" operator="equal">
      <formula>0</formula>
    </cfRule>
  </conditionalFormatting>
  <conditionalFormatting sqref="F1874">
    <cfRule type="cellIs" dxfId="1" priority="4020" operator="equal">
      <formula>0</formula>
    </cfRule>
  </conditionalFormatting>
  <conditionalFormatting sqref="F189">
    <cfRule type="cellIs" dxfId="1" priority="443" operator="equal">
      <formula>0</formula>
    </cfRule>
  </conditionalFormatting>
  <conditionalFormatting sqref="F1890">
    <cfRule type="expression" dxfId="0" priority="4030">
      <formula>F1891=0</formula>
    </cfRule>
  </conditionalFormatting>
  <conditionalFormatting sqref="F1891">
    <cfRule type="cellIs" dxfId="1" priority="4037" operator="equal">
      <formula>0</formula>
    </cfRule>
  </conditionalFormatting>
  <conditionalFormatting sqref="F1892">
    <cfRule type="cellIs" dxfId="1" priority="4044" operator="equal">
      <formula>0</formula>
    </cfRule>
  </conditionalFormatting>
  <conditionalFormatting sqref="F1894">
    <cfRule type="cellIs" dxfId="1" priority="4051" operator="equal">
      <formula>0</formula>
    </cfRule>
  </conditionalFormatting>
  <conditionalFormatting sqref="F1895">
    <cfRule type="cellIs" dxfId="1" priority="4055" operator="equal">
      <formula>0</formula>
    </cfRule>
  </conditionalFormatting>
  <conditionalFormatting sqref="F1896">
    <cfRule type="cellIs" dxfId="1" priority="4059" operator="equal">
      <formula>0</formula>
    </cfRule>
  </conditionalFormatting>
  <conditionalFormatting sqref="F1897">
    <cfRule type="cellIs" dxfId="1" priority="4063" operator="equal">
      <formula>0</formula>
    </cfRule>
  </conditionalFormatting>
  <conditionalFormatting sqref="F1898">
    <cfRule type="cellIs" dxfId="1" priority="4068" operator="equal">
      <formula>0</formula>
    </cfRule>
  </conditionalFormatting>
  <conditionalFormatting sqref="F1926">
    <cfRule type="expression" dxfId="0" priority="4097">
      <formula>F1927=0</formula>
    </cfRule>
  </conditionalFormatting>
  <conditionalFormatting sqref="F1927">
    <cfRule type="cellIs" dxfId="1" priority="4103" operator="equal">
      <formula>0</formula>
    </cfRule>
  </conditionalFormatting>
  <conditionalFormatting sqref="F1928">
    <cfRule type="cellIs" dxfId="1" priority="4109" operator="equal">
      <formula>0</formula>
    </cfRule>
  </conditionalFormatting>
  <conditionalFormatting sqref="F1929">
    <cfRule type="cellIs" dxfId="1" priority="4113" operator="equal">
      <formula>0</formula>
    </cfRule>
  </conditionalFormatting>
  <conditionalFormatting sqref="F1931">
    <cfRule type="cellIs" dxfId="1" priority="4122" operator="equal">
      <formula>0</formula>
    </cfRule>
  </conditionalFormatting>
  <conditionalFormatting sqref="F1932">
    <cfRule type="cellIs" dxfId="1" priority="4126" operator="equal">
      <formula>0</formula>
    </cfRule>
  </conditionalFormatting>
  <conditionalFormatting sqref="F1933">
    <cfRule type="cellIs" dxfId="1" priority="4130" operator="equal">
      <formula>0</formula>
    </cfRule>
  </conditionalFormatting>
  <conditionalFormatting sqref="F1959">
    <cfRule type="expression" dxfId="0" priority="4156">
      <formula>F1960=0</formula>
    </cfRule>
  </conditionalFormatting>
  <conditionalFormatting sqref="F196">
    <cfRule type="cellIs" dxfId="1" priority="452" operator="equal">
      <formula>0</formula>
    </cfRule>
  </conditionalFormatting>
  <conditionalFormatting sqref="F1960">
    <cfRule type="cellIs" dxfId="1" priority="4163" operator="equal">
      <formula>0</formula>
    </cfRule>
  </conditionalFormatting>
  <conditionalFormatting sqref="F1961">
    <cfRule type="cellIs" dxfId="1" priority="4170" operator="equal">
      <formula>0</formula>
    </cfRule>
  </conditionalFormatting>
  <conditionalFormatting sqref="F1962">
    <cfRule type="cellIs" dxfId="1" priority="4174" operator="equal">
      <formula>0</formula>
    </cfRule>
  </conditionalFormatting>
  <conditionalFormatting sqref="F1963">
    <cfRule type="cellIs" dxfId="1" priority="4179" operator="equal">
      <formula>0</formula>
    </cfRule>
  </conditionalFormatting>
  <conditionalFormatting sqref="F1965">
    <cfRule type="cellIs" dxfId="1" priority="4186" operator="equal">
      <formula>0</formula>
    </cfRule>
  </conditionalFormatting>
  <conditionalFormatting sqref="F1966">
    <cfRule type="cellIs" dxfId="1" priority="4191" operator="equal">
      <formula>0</formula>
    </cfRule>
  </conditionalFormatting>
  <conditionalFormatting sqref="F1967">
    <cfRule type="cellIs" dxfId="1" priority="4195" operator="equal">
      <formula>0</formula>
    </cfRule>
  </conditionalFormatting>
  <conditionalFormatting sqref="F1995">
    <cfRule type="expression" dxfId="0" priority="4223">
      <formula>F1996=0</formula>
    </cfRule>
  </conditionalFormatting>
  <conditionalFormatting sqref="F1996">
    <cfRule type="cellIs" dxfId="1" priority="4232" operator="equal">
      <formula>0</formula>
    </cfRule>
  </conditionalFormatting>
  <conditionalFormatting sqref="F1997">
    <cfRule type="cellIs" dxfId="1" priority="4241" operator="equal">
      <formula>0</formula>
    </cfRule>
  </conditionalFormatting>
  <conditionalFormatting sqref="F2000">
    <cfRule type="cellIs" dxfId="1" priority="4255" operator="equal">
      <formula>0</formula>
    </cfRule>
  </conditionalFormatting>
  <conditionalFormatting sqref="F2022">
    <cfRule type="expression" dxfId="0" priority="4279">
      <formula>F2023=0</formula>
    </cfRule>
  </conditionalFormatting>
  <conditionalFormatting sqref="F2023">
    <cfRule type="cellIs" dxfId="1" priority="4286" operator="equal">
      <formula>0</formula>
    </cfRule>
  </conditionalFormatting>
  <conditionalFormatting sqref="F2024">
    <cfRule type="cellIs" dxfId="1" priority="4293" operator="equal">
      <formula>0</formula>
    </cfRule>
  </conditionalFormatting>
  <conditionalFormatting sqref="F2026">
    <cfRule type="cellIs" dxfId="1" priority="4301" operator="equal">
      <formula>0</formula>
    </cfRule>
  </conditionalFormatting>
  <conditionalFormatting sqref="F2027">
    <cfRule type="cellIs" dxfId="1" priority="4304" operator="equal">
      <formula>0</formula>
    </cfRule>
  </conditionalFormatting>
  <conditionalFormatting sqref="F2028">
    <cfRule type="cellIs" dxfId="1" priority="4308" operator="equal">
      <formula>0</formula>
    </cfRule>
  </conditionalFormatting>
  <conditionalFormatting sqref="F2029">
    <cfRule type="cellIs" dxfId="1" priority="4312" operator="equal">
      <formula>0</formula>
    </cfRule>
  </conditionalFormatting>
  <conditionalFormatting sqref="F2030">
    <cfRule type="cellIs" dxfId="1" priority="4316" operator="equal">
      <formula>0</formula>
    </cfRule>
  </conditionalFormatting>
  <conditionalFormatting sqref="F2031">
    <cfRule type="cellIs" dxfId="1" priority="4319" operator="equal">
      <formula>0</formula>
    </cfRule>
  </conditionalFormatting>
  <conditionalFormatting sqref="F2032">
    <cfRule type="cellIs" dxfId="1" priority="4323" operator="equal">
      <formula>0</formula>
    </cfRule>
  </conditionalFormatting>
  <conditionalFormatting sqref="F2033">
    <cfRule type="cellIs" dxfId="1" priority="4328" operator="equal">
      <formula>0</formula>
    </cfRule>
  </conditionalFormatting>
  <conditionalFormatting sqref="F2034">
    <cfRule type="cellIs" dxfId="1" priority="4333" operator="equal">
      <formula>0</formula>
    </cfRule>
  </conditionalFormatting>
  <conditionalFormatting sqref="F2035">
    <cfRule type="cellIs" dxfId="1" priority="4337" operator="equal">
      <formula>0</formula>
    </cfRule>
  </conditionalFormatting>
  <conditionalFormatting sqref="F2036">
    <cfRule type="cellIs" dxfId="1" priority="4341" operator="equal">
      <formula>0</formula>
    </cfRule>
  </conditionalFormatting>
  <conditionalFormatting sqref="F2037">
    <cfRule type="cellIs" dxfId="1" priority="4345" operator="equal">
      <formula>0</formula>
    </cfRule>
  </conditionalFormatting>
  <conditionalFormatting sqref="F2038">
    <cfRule type="cellIs" dxfId="1" priority="4349" operator="equal">
      <formula>0</formula>
    </cfRule>
  </conditionalFormatting>
  <conditionalFormatting sqref="F2039">
    <cfRule type="cellIs" dxfId="1" priority="4354" operator="equal">
      <formula>0</formula>
    </cfRule>
  </conditionalFormatting>
  <conditionalFormatting sqref="F204">
    <cfRule type="expression" dxfId="0" priority="456">
      <formula>F205=0</formula>
    </cfRule>
  </conditionalFormatting>
  <conditionalFormatting sqref="F2041">
    <cfRule type="expression" dxfId="0" priority="4359">
      <formula>F2042=0</formula>
    </cfRule>
  </conditionalFormatting>
  <conditionalFormatting sqref="F2042">
    <cfRule type="cellIs" dxfId="1" priority="4368" operator="equal">
      <formula>0</formula>
    </cfRule>
  </conditionalFormatting>
  <conditionalFormatting sqref="F2044">
    <cfRule type="cellIs" dxfId="1" priority="4377" operator="equal">
      <formula>0</formula>
    </cfRule>
  </conditionalFormatting>
  <conditionalFormatting sqref="F205">
    <cfRule type="cellIs" dxfId="1" priority="468" operator="equal">
      <formula>0</formula>
    </cfRule>
  </conditionalFormatting>
  <conditionalFormatting sqref="F207">
    <cfRule type="cellIs" dxfId="1" priority="485" operator="equal">
      <formula>0</formula>
    </cfRule>
  </conditionalFormatting>
  <conditionalFormatting sqref="F208">
    <cfRule type="cellIs" dxfId="1" priority="489" operator="equal">
      <formula>0</formula>
    </cfRule>
  </conditionalFormatting>
  <conditionalFormatting sqref="F2085">
    <cfRule type="expression" dxfId="0" priority="4432">
      <formula>F2086=0</formula>
    </cfRule>
  </conditionalFormatting>
  <conditionalFormatting sqref="F2086">
    <cfRule type="cellIs" dxfId="1" priority="4441" operator="equal">
      <formula>0</formula>
    </cfRule>
  </conditionalFormatting>
  <conditionalFormatting sqref="F2087">
    <cfRule type="cellIs" dxfId="1" priority="4450" operator="equal">
      <formula>0</formula>
    </cfRule>
  </conditionalFormatting>
  <conditionalFormatting sqref="F2089">
    <cfRule type="cellIs" dxfId="1" priority="4459" operator="equal">
      <formula>0</formula>
    </cfRule>
  </conditionalFormatting>
  <conditionalFormatting sqref="F209">
    <cfRule type="cellIs" dxfId="1" priority="493" operator="equal">
      <formula>0</formula>
    </cfRule>
  </conditionalFormatting>
  <conditionalFormatting sqref="F2090">
    <cfRule type="cellIs" dxfId="1" priority="4464" operator="equal">
      <formula>0</formula>
    </cfRule>
  </conditionalFormatting>
  <conditionalFormatting sqref="F2091">
    <cfRule type="cellIs" dxfId="1" priority="4469" operator="equal">
      <formula>0</formula>
    </cfRule>
  </conditionalFormatting>
  <conditionalFormatting sqref="F2093">
    <cfRule type="expression" dxfId="0" priority="4474">
      <formula>F2094=0</formula>
    </cfRule>
  </conditionalFormatting>
  <conditionalFormatting sqref="F2094">
    <cfRule type="cellIs" dxfId="1" priority="4479" operator="equal">
      <formula>0</formula>
    </cfRule>
  </conditionalFormatting>
  <conditionalFormatting sqref="F2097">
    <cfRule type="cellIs" dxfId="1" priority="4485" operator="equal">
      <formula>0</formula>
    </cfRule>
  </conditionalFormatting>
  <conditionalFormatting sqref="F210">
    <cfRule type="cellIs" dxfId="1" priority="498" operator="equal">
      <formula>0</formula>
    </cfRule>
  </conditionalFormatting>
  <conditionalFormatting sqref="F211">
    <cfRule type="cellIs" dxfId="1" priority="502" operator="equal">
      <formula>0</formula>
    </cfRule>
  </conditionalFormatting>
  <conditionalFormatting sqref="F2115">
    <cfRule type="expression" dxfId="0" priority="4499">
      <formula>F2116=0</formula>
    </cfRule>
  </conditionalFormatting>
  <conditionalFormatting sqref="F2116">
    <cfRule type="cellIs" dxfId="1" priority="4506" operator="equal">
      <formula>0</formula>
    </cfRule>
  </conditionalFormatting>
  <conditionalFormatting sqref="F2118">
    <cfRule type="cellIs" dxfId="1" priority="4517" operator="equal">
      <formula>0</formula>
    </cfRule>
  </conditionalFormatting>
  <conditionalFormatting sqref="F213">
    <cfRule type="cellIs" dxfId="1" priority="509" operator="equal">
      <formula>0</formula>
    </cfRule>
  </conditionalFormatting>
  <conditionalFormatting sqref="F2136">
    <cfRule type="expression" dxfId="0" priority="4529">
      <formula>F2137=0</formula>
    </cfRule>
  </conditionalFormatting>
  <conditionalFormatting sqref="F2137">
    <cfRule type="cellIs" dxfId="1" priority="4534" operator="equal">
      <formula>0</formula>
    </cfRule>
  </conditionalFormatting>
  <conditionalFormatting sqref="F2138">
    <cfRule type="cellIs" dxfId="1" priority="4539" operator="equal">
      <formula>0</formula>
    </cfRule>
  </conditionalFormatting>
  <conditionalFormatting sqref="F2139">
    <cfRule type="cellIs" dxfId="1" priority="4543" operator="equal">
      <formula>0</formula>
    </cfRule>
  </conditionalFormatting>
  <conditionalFormatting sqref="F214">
    <cfRule type="cellIs" dxfId="1" priority="514" operator="equal">
      <formula>0</formula>
    </cfRule>
  </conditionalFormatting>
  <conditionalFormatting sqref="F2140">
    <cfRule type="cellIs" dxfId="1" priority="4547" operator="equal">
      <formula>0</formula>
    </cfRule>
  </conditionalFormatting>
  <conditionalFormatting sqref="F2141">
    <cfRule type="cellIs" dxfId="1" priority="4551" operator="equal">
      <formula>0</formula>
    </cfRule>
  </conditionalFormatting>
  <conditionalFormatting sqref="F2142">
    <cfRule type="cellIs" dxfId="1" priority="4555" operator="equal">
      <formula>0</formula>
    </cfRule>
  </conditionalFormatting>
  <conditionalFormatting sqref="F2144">
    <cfRule type="cellIs" dxfId="1" priority="4563" operator="equal">
      <formula>0</formula>
    </cfRule>
  </conditionalFormatting>
  <conditionalFormatting sqref="F2145">
    <cfRule type="cellIs" dxfId="1" priority="4567" operator="equal">
      <formula>0</formula>
    </cfRule>
  </conditionalFormatting>
  <conditionalFormatting sqref="F2146">
    <cfRule type="cellIs" dxfId="1" priority="4570" operator="equal">
      <formula>0</formula>
    </cfRule>
  </conditionalFormatting>
  <conditionalFormatting sqref="F2147">
    <cfRule type="cellIs" dxfId="1" priority="4573" operator="equal">
      <formula>0</formula>
    </cfRule>
  </conditionalFormatting>
  <conditionalFormatting sqref="F2148">
    <cfRule type="cellIs" dxfId="1" priority="4577" operator="equal">
      <formula>0</formula>
    </cfRule>
  </conditionalFormatting>
  <conditionalFormatting sqref="F2149">
    <cfRule type="cellIs" dxfId="1" priority="4581" operator="equal">
      <formula>0</formula>
    </cfRule>
  </conditionalFormatting>
  <conditionalFormatting sqref="F215">
    <cfRule type="cellIs" dxfId="1" priority="518" operator="equal">
      <formula>0</formula>
    </cfRule>
  </conditionalFormatting>
  <conditionalFormatting sqref="F217">
    <cfRule type="cellIs" dxfId="1" priority="527" operator="equal">
      <formula>0</formula>
    </cfRule>
  </conditionalFormatting>
  <conditionalFormatting sqref="F218">
    <cfRule type="cellIs" dxfId="1" priority="531" operator="equal">
      <formula>0</formula>
    </cfRule>
  </conditionalFormatting>
  <conditionalFormatting sqref="F2187">
    <cfRule type="expression" dxfId="0" priority="4639">
      <formula>F2188=0</formula>
    </cfRule>
  </conditionalFormatting>
  <conditionalFormatting sqref="F2188">
    <cfRule type="cellIs" dxfId="1" priority="4643" operator="equal">
      <formula>0</formula>
    </cfRule>
  </conditionalFormatting>
  <conditionalFormatting sqref="F2189">
    <cfRule type="cellIs" dxfId="1" priority="4647" operator="equal">
      <formula>0</formula>
    </cfRule>
  </conditionalFormatting>
  <conditionalFormatting sqref="F220">
    <cfRule type="cellIs" dxfId="1" priority="541" operator="equal">
      <formula>0</formula>
    </cfRule>
  </conditionalFormatting>
  <conditionalFormatting sqref="F2205">
    <cfRule type="expression" dxfId="0" priority="4660">
      <formula>F2206=0</formula>
    </cfRule>
  </conditionalFormatting>
  <conditionalFormatting sqref="F2206">
    <cfRule type="cellIs" dxfId="1" priority="4664" operator="equal">
      <formula>0</formula>
    </cfRule>
  </conditionalFormatting>
  <conditionalFormatting sqref="F2207">
    <cfRule type="cellIs" dxfId="1" priority="4668" operator="equal">
      <formula>0</formula>
    </cfRule>
  </conditionalFormatting>
  <conditionalFormatting sqref="F2223">
    <cfRule type="expression" dxfId="0" priority="4684">
      <formula>F2224=0</formula>
    </cfRule>
  </conditionalFormatting>
  <conditionalFormatting sqref="F2224">
    <cfRule type="cellIs" dxfId="1" priority="4688" operator="equal">
      <formula>0</formula>
    </cfRule>
  </conditionalFormatting>
  <conditionalFormatting sqref="F2225">
    <cfRule type="cellIs" dxfId="1" priority="4692" operator="equal">
      <formula>0</formula>
    </cfRule>
  </conditionalFormatting>
  <conditionalFormatting sqref="F2226">
    <cfRule type="cellIs" dxfId="1" priority="4696" operator="equal">
      <formula>0</formula>
    </cfRule>
  </conditionalFormatting>
  <conditionalFormatting sqref="F2227">
    <cfRule type="cellIs" dxfId="1" priority="4700" operator="equal">
      <formula>0</formula>
    </cfRule>
  </conditionalFormatting>
  <conditionalFormatting sqref="F2228">
    <cfRule type="cellIs" dxfId="1" priority="4704" operator="equal">
      <formula>0</formula>
    </cfRule>
  </conditionalFormatting>
  <conditionalFormatting sqref="F223">
    <cfRule type="expression" dxfId="0" priority="552">
      <formula>F224=0</formula>
    </cfRule>
  </conditionalFormatting>
  <conditionalFormatting sqref="F2230">
    <cfRule type="expression" dxfId="0" priority="4708">
      <formula>F2231=0</formula>
    </cfRule>
  </conditionalFormatting>
  <conditionalFormatting sqref="F2231">
    <cfRule type="cellIs" dxfId="1" priority="4713" operator="equal">
      <formula>0</formula>
    </cfRule>
  </conditionalFormatting>
  <conditionalFormatting sqref="F2234">
    <cfRule type="cellIs" dxfId="1" priority="4720" operator="equal">
      <formula>0</formula>
    </cfRule>
  </conditionalFormatting>
  <conditionalFormatting sqref="F224">
    <cfRule type="cellIs" dxfId="1" priority="558" operator="equal">
      <formula>0</formula>
    </cfRule>
  </conditionalFormatting>
  <conditionalFormatting sqref="F2250">
    <cfRule type="expression" dxfId="0" priority="4731">
      <formula>F2251=0</formula>
    </cfRule>
  </conditionalFormatting>
  <conditionalFormatting sqref="F2251">
    <cfRule type="cellIs" dxfId="1" priority="4737" operator="equal">
      <formula>0</formula>
    </cfRule>
  </conditionalFormatting>
  <conditionalFormatting sqref="F2252">
    <cfRule type="cellIs" dxfId="1" priority="4743" operator="equal">
      <formula>0</formula>
    </cfRule>
  </conditionalFormatting>
  <conditionalFormatting sqref="F226">
    <cfRule type="cellIs" dxfId="1" priority="564" operator="equal">
      <formula>0</formula>
    </cfRule>
  </conditionalFormatting>
  <conditionalFormatting sqref="F227">
    <cfRule type="cellIs" dxfId="1" priority="566" operator="equal">
      <formula>0</formula>
    </cfRule>
  </conditionalFormatting>
  <conditionalFormatting sqref="F2271">
    <cfRule type="expression" dxfId="0" priority="4763">
      <formula>F2272=0</formula>
    </cfRule>
  </conditionalFormatting>
  <conditionalFormatting sqref="F2272">
    <cfRule type="cellIs" dxfId="1" priority="4769" operator="equal">
      <formula>0</formula>
    </cfRule>
  </conditionalFormatting>
  <conditionalFormatting sqref="F2273">
    <cfRule type="cellIs" dxfId="1" priority="4775" operator="equal">
      <formula>0</formula>
    </cfRule>
  </conditionalFormatting>
  <conditionalFormatting sqref="F2274">
    <cfRule type="cellIs" dxfId="1" priority="4779" operator="equal">
      <formula>0</formula>
    </cfRule>
  </conditionalFormatting>
  <conditionalFormatting sqref="F2275">
    <cfRule type="cellIs" dxfId="1" priority="4784" operator="equal">
      <formula>0</formula>
    </cfRule>
  </conditionalFormatting>
  <conditionalFormatting sqref="F2276">
    <cfRule type="cellIs" dxfId="1" priority="4789" operator="equal">
      <formula>0</formula>
    </cfRule>
  </conditionalFormatting>
  <conditionalFormatting sqref="F2277">
    <cfRule type="cellIs" dxfId="1" priority="4793" operator="equal">
      <formula>0</formula>
    </cfRule>
  </conditionalFormatting>
  <conditionalFormatting sqref="F2278">
    <cfRule type="cellIs" dxfId="1" priority="4797" operator="equal">
      <formula>0</formula>
    </cfRule>
  </conditionalFormatting>
  <conditionalFormatting sqref="F2279">
    <cfRule type="cellIs" dxfId="1" priority="4800" operator="equal">
      <formula>0</formula>
    </cfRule>
  </conditionalFormatting>
  <conditionalFormatting sqref="F2280">
    <cfRule type="cellIs" dxfId="1" priority="4804" operator="equal">
      <formula>0</formula>
    </cfRule>
  </conditionalFormatting>
  <conditionalFormatting sqref="F2281">
    <cfRule type="cellIs" dxfId="1" priority="4808" operator="equal">
      <formula>0</formula>
    </cfRule>
  </conditionalFormatting>
  <conditionalFormatting sqref="F2283">
    <cfRule type="cellIs" dxfId="1" priority="4816" operator="equal">
      <formula>0</formula>
    </cfRule>
  </conditionalFormatting>
  <conditionalFormatting sqref="F2287">
    <cfRule type="cellIs" dxfId="1" priority="4832" operator="equal">
      <formula>0</formula>
    </cfRule>
  </conditionalFormatting>
  <conditionalFormatting sqref="F2288">
    <cfRule type="cellIs" dxfId="1" priority="4837" operator="equal">
      <formula>0</formula>
    </cfRule>
  </conditionalFormatting>
  <conditionalFormatting sqref="F2290">
    <cfRule type="expression" dxfId="0" priority="4842">
      <formula>F2291=0</formula>
    </cfRule>
  </conditionalFormatting>
  <conditionalFormatting sqref="F2291">
    <cfRule type="cellIs" dxfId="1" priority="4850" operator="equal">
      <formula>0</formula>
    </cfRule>
  </conditionalFormatting>
  <conditionalFormatting sqref="F2296">
    <cfRule type="cellIs" dxfId="1" priority="4864" operator="equal">
      <formula>0</formula>
    </cfRule>
  </conditionalFormatting>
  <conditionalFormatting sqref="F2305">
    <cfRule type="cellIs" dxfId="1" priority="4882" operator="equal">
      <formula>0</formula>
    </cfRule>
  </conditionalFormatting>
  <conditionalFormatting sqref="F231">
    <cfRule type="cellIs" dxfId="1" priority="572" operator="equal">
      <formula>0</formula>
    </cfRule>
  </conditionalFormatting>
  <conditionalFormatting sqref="F2334">
    <cfRule type="expression" dxfId="0" priority="4913">
      <formula>F2335=0</formula>
    </cfRule>
  </conditionalFormatting>
  <conditionalFormatting sqref="F2335">
    <cfRule type="cellIs" dxfId="1" priority="4923" operator="equal">
      <formula>0</formula>
    </cfRule>
  </conditionalFormatting>
  <conditionalFormatting sqref="F2336">
    <cfRule type="cellIs" dxfId="1" priority="4933" operator="equal">
      <formula>0</formula>
    </cfRule>
  </conditionalFormatting>
  <conditionalFormatting sqref="F2337">
    <cfRule type="cellIs" dxfId="1" priority="4937" operator="equal">
      <formula>0</formula>
    </cfRule>
  </conditionalFormatting>
  <conditionalFormatting sqref="F2338">
    <cfRule type="cellIs" dxfId="1" priority="4942" operator="equal">
      <formula>0</formula>
    </cfRule>
  </conditionalFormatting>
  <conditionalFormatting sqref="F2342">
    <cfRule type="cellIs" dxfId="1" priority="4959" operator="equal">
      <formula>0</formula>
    </cfRule>
  </conditionalFormatting>
  <conditionalFormatting sqref="F2345">
    <cfRule type="cellIs" dxfId="1" priority="4973" operator="equal">
      <formula>0</formula>
    </cfRule>
  </conditionalFormatting>
  <conditionalFormatting sqref="F2346">
    <cfRule type="cellIs" dxfId="1" priority="4978" operator="equal">
      <formula>0</formula>
    </cfRule>
  </conditionalFormatting>
  <conditionalFormatting sqref="F2347">
    <cfRule type="cellIs" dxfId="1" priority="4983" operator="equal">
      <formula>0</formula>
    </cfRule>
  </conditionalFormatting>
  <conditionalFormatting sqref="F235">
    <cfRule type="cellIs" dxfId="1" priority="577" operator="equal">
      <formula>0</formula>
    </cfRule>
  </conditionalFormatting>
  <conditionalFormatting sqref="F2351">
    <cfRule type="expression" dxfId="0" priority="4999">
      <formula>F2352=0</formula>
    </cfRule>
  </conditionalFormatting>
  <conditionalFormatting sqref="F2352">
    <cfRule type="cellIs" dxfId="1" priority="5005" operator="equal">
      <formula>0</formula>
    </cfRule>
  </conditionalFormatting>
  <conditionalFormatting sqref="F2355">
    <cfRule type="cellIs" dxfId="1" priority="5013" operator="equal">
      <formula>0</formula>
    </cfRule>
  </conditionalFormatting>
  <conditionalFormatting sqref="F2361">
    <cfRule type="cellIs" dxfId="1" priority="5021" operator="equal">
      <formula>0</formula>
    </cfRule>
  </conditionalFormatting>
  <conditionalFormatting sqref="F2365">
    <cfRule type="cellIs" dxfId="1" priority="5030" operator="equal">
      <formula>0</formula>
    </cfRule>
  </conditionalFormatting>
  <conditionalFormatting sqref="F2368">
    <cfRule type="expression" dxfId="0" priority="5036">
      <formula>F2369=0</formula>
    </cfRule>
  </conditionalFormatting>
  <conditionalFormatting sqref="F2369">
    <cfRule type="cellIs" dxfId="1" priority="5040" operator="equal">
      <formula>0</formula>
    </cfRule>
  </conditionalFormatting>
  <conditionalFormatting sqref="F237">
    <cfRule type="cellIs" dxfId="1" priority="581" operator="equal">
      <formula>0</formula>
    </cfRule>
  </conditionalFormatting>
  <conditionalFormatting sqref="F2379">
    <cfRule type="cellIs" dxfId="1" priority="5052" operator="equal">
      <formula>0</formula>
    </cfRule>
  </conditionalFormatting>
  <conditionalFormatting sqref="F238">
    <cfRule type="cellIs" dxfId="1" priority="582" operator="equal">
      <formula>0</formula>
    </cfRule>
  </conditionalFormatting>
  <conditionalFormatting sqref="F2383">
    <cfRule type="cellIs" dxfId="1" priority="5057" operator="equal">
      <formula>0</formula>
    </cfRule>
  </conditionalFormatting>
  <conditionalFormatting sqref="F2391">
    <cfRule type="expression" dxfId="0" priority="5061">
      <formula>F2392=0</formula>
    </cfRule>
  </conditionalFormatting>
  <conditionalFormatting sqref="F2392">
    <cfRule type="cellIs" dxfId="1" priority="5071" operator="equal">
      <formula>0</formula>
    </cfRule>
  </conditionalFormatting>
  <conditionalFormatting sqref="F2397">
    <cfRule type="cellIs" dxfId="1" priority="5093" operator="equal">
      <formula>0</formula>
    </cfRule>
  </conditionalFormatting>
  <conditionalFormatting sqref="F2398">
    <cfRule type="cellIs" dxfId="1" priority="5098" operator="equal">
      <formula>0</formula>
    </cfRule>
  </conditionalFormatting>
  <conditionalFormatting sqref="F2401">
    <cfRule type="cellIs" dxfId="1" priority="5110" operator="equal">
      <formula>0</formula>
    </cfRule>
  </conditionalFormatting>
  <conditionalFormatting sqref="F2404">
    <cfRule type="expression" dxfId="0" priority="5119">
      <formula>F2405=0</formula>
    </cfRule>
  </conditionalFormatting>
  <conditionalFormatting sqref="F2405">
    <cfRule type="cellIs" dxfId="1" priority="5125" operator="equal">
      <formula>0</formula>
    </cfRule>
  </conditionalFormatting>
  <conditionalFormatting sqref="F2410">
    <cfRule type="cellIs" dxfId="1" priority="5133" operator="equal">
      <formula>0</formula>
    </cfRule>
  </conditionalFormatting>
  <conditionalFormatting sqref="F2436">
    <cfRule type="expression" dxfId="0" priority="5167">
      <formula>F2437=0</formula>
    </cfRule>
  </conditionalFormatting>
  <conditionalFormatting sqref="F2437">
    <cfRule type="cellIs" dxfId="1" priority="5172" operator="equal">
      <formula>0</formula>
    </cfRule>
  </conditionalFormatting>
  <conditionalFormatting sqref="F2438">
    <cfRule type="cellIs" dxfId="1" priority="5177" operator="equal">
      <formula>0</formula>
    </cfRule>
  </conditionalFormatting>
  <conditionalFormatting sqref="F2439">
    <cfRule type="cellIs" dxfId="1" priority="5182" operator="equal">
      <formula>0</formula>
    </cfRule>
  </conditionalFormatting>
  <conditionalFormatting sqref="F2440">
    <cfRule type="cellIs" dxfId="1" priority="5186" operator="equal">
      <formula>0</formula>
    </cfRule>
  </conditionalFormatting>
  <conditionalFormatting sqref="F2441">
    <cfRule type="cellIs" dxfId="1" priority="5191" operator="equal">
      <formula>0</formula>
    </cfRule>
  </conditionalFormatting>
  <conditionalFormatting sqref="F2463">
    <cfRule type="expression" dxfId="0" priority="5219">
      <formula>F2464=0</formula>
    </cfRule>
  </conditionalFormatting>
  <conditionalFormatting sqref="F2464">
    <cfRule type="cellIs" dxfId="1" priority="5224" operator="equal">
      <formula>0</formula>
    </cfRule>
  </conditionalFormatting>
  <conditionalFormatting sqref="F2465">
    <cfRule type="cellIs" dxfId="1" priority="5229" operator="equal">
      <formula>0</formula>
    </cfRule>
  </conditionalFormatting>
  <conditionalFormatting sqref="F2466">
    <cfRule type="cellIs" dxfId="1" priority="5233" operator="equal">
      <formula>0</formula>
    </cfRule>
  </conditionalFormatting>
  <conditionalFormatting sqref="F2467">
    <cfRule type="cellIs" dxfId="1" priority="5237" operator="equal">
      <formula>0</formula>
    </cfRule>
  </conditionalFormatting>
  <conditionalFormatting sqref="F2468">
    <cfRule type="cellIs" dxfId="1" priority="5241" operator="equal">
      <formula>0</formula>
    </cfRule>
  </conditionalFormatting>
  <conditionalFormatting sqref="F2469">
    <cfRule type="cellIs" dxfId="1" priority="5245" operator="equal">
      <formula>0</formula>
    </cfRule>
  </conditionalFormatting>
  <conditionalFormatting sqref="F2470">
    <cfRule type="cellIs" dxfId="1" priority="5249" operator="equal">
      <formula>0</formula>
    </cfRule>
  </conditionalFormatting>
  <conditionalFormatting sqref="F2471">
    <cfRule type="cellIs" dxfId="1" priority="5253" operator="equal">
      <formula>0</formula>
    </cfRule>
  </conditionalFormatting>
  <conditionalFormatting sqref="F2472">
    <cfRule type="cellIs" dxfId="1" priority="5256" operator="equal">
      <formula>0</formula>
    </cfRule>
  </conditionalFormatting>
  <conditionalFormatting sqref="F2473">
    <cfRule type="cellIs" dxfId="1" priority="5260" operator="equal">
      <formula>0</formula>
    </cfRule>
  </conditionalFormatting>
  <conditionalFormatting sqref="F2474">
    <cfRule type="cellIs" dxfId="1" priority="5264" operator="equal">
      <formula>0</formula>
    </cfRule>
  </conditionalFormatting>
  <conditionalFormatting sqref="F2475">
    <cfRule type="cellIs" dxfId="1" priority="5268" operator="equal">
      <formula>0</formula>
    </cfRule>
  </conditionalFormatting>
  <conditionalFormatting sqref="F2511">
    <cfRule type="expression" dxfId="0" priority="5319">
      <formula>F2512=0</formula>
    </cfRule>
  </conditionalFormatting>
  <conditionalFormatting sqref="F2512">
    <cfRule type="cellIs" dxfId="1" priority="5323" operator="equal">
      <formula>0</formula>
    </cfRule>
  </conditionalFormatting>
  <conditionalFormatting sqref="F2513">
    <cfRule type="cellIs" dxfId="1" priority="5327" operator="equal">
      <formula>0</formula>
    </cfRule>
  </conditionalFormatting>
  <conditionalFormatting sqref="F2515">
    <cfRule type="cellIs" dxfId="1" priority="5334" operator="equal">
      <formula>0</formula>
    </cfRule>
  </conditionalFormatting>
  <conditionalFormatting sqref="F2535">
    <cfRule type="expression" dxfId="0" priority="5356">
      <formula>F2536=0</formula>
    </cfRule>
  </conditionalFormatting>
  <conditionalFormatting sqref="F2536">
    <cfRule type="cellIs" dxfId="1" priority="5360" operator="equal">
      <formula>0</formula>
    </cfRule>
  </conditionalFormatting>
  <conditionalFormatting sqref="F2537">
    <cfRule type="cellIs" dxfId="1" priority="5364" operator="equal">
      <formula>0</formula>
    </cfRule>
  </conditionalFormatting>
  <conditionalFormatting sqref="F2538">
    <cfRule type="cellIs" dxfId="1" priority="5368" operator="equal">
      <formula>0</formula>
    </cfRule>
  </conditionalFormatting>
  <conditionalFormatting sqref="F2556">
    <cfRule type="expression" dxfId="0" priority="5386">
      <formula>F2557=0</formula>
    </cfRule>
  </conditionalFormatting>
  <conditionalFormatting sqref="F2557">
    <cfRule type="cellIs" dxfId="1" priority="5396" operator="equal">
      <formula>0</formula>
    </cfRule>
  </conditionalFormatting>
  <conditionalFormatting sqref="F2559">
    <cfRule type="cellIs" dxfId="1" priority="5408" operator="equal">
      <formula>0</formula>
    </cfRule>
  </conditionalFormatting>
  <conditionalFormatting sqref="F2564">
    <cfRule type="cellIs" dxfId="1" priority="5427" operator="equal">
      <formula>0</formula>
    </cfRule>
  </conditionalFormatting>
  <conditionalFormatting sqref="F2567">
    <cfRule type="cellIs" dxfId="1" priority="5438" operator="equal">
      <formula>0</formula>
    </cfRule>
  </conditionalFormatting>
  <conditionalFormatting sqref="F2569">
    <cfRule type="expression" dxfId="0" priority="5444">
      <formula>F2570=0</formula>
    </cfRule>
  </conditionalFormatting>
  <conditionalFormatting sqref="F2570">
    <cfRule type="cellIs" dxfId="1" priority="5451" operator="equal">
      <formula>0</formula>
    </cfRule>
  </conditionalFormatting>
  <conditionalFormatting sqref="F2576">
    <cfRule type="cellIs" dxfId="1" priority="5460" operator="equal">
      <formula>0</formula>
    </cfRule>
  </conditionalFormatting>
  <conditionalFormatting sqref="F2580">
    <cfRule type="cellIs" dxfId="1" priority="5467" operator="equal">
      <formula>0</formula>
    </cfRule>
  </conditionalFormatting>
  <conditionalFormatting sqref="F2601">
    <cfRule type="expression" dxfId="0" priority="5488">
      <formula>F2602=0</formula>
    </cfRule>
  </conditionalFormatting>
  <conditionalFormatting sqref="F2602">
    <cfRule type="cellIs" dxfId="1" priority="5494" operator="equal">
      <formula>0</formula>
    </cfRule>
  </conditionalFormatting>
  <conditionalFormatting sqref="F2603">
    <cfRule type="cellIs" dxfId="1" priority="5500" operator="equal">
      <formula>0</formula>
    </cfRule>
  </conditionalFormatting>
  <conditionalFormatting sqref="F2622">
    <cfRule type="expression" dxfId="0" priority="5520">
      <formula>F2623=0</formula>
    </cfRule>
  </conditionalFormatting>
  <conditionalFormatting sqref="F2623">
    <cfRule type="cellIs" dxfId="1" priority="5524" operator="equal">
      <formula>0</formula>
    </cfRule>
  </conditionalFormatting>
  <conditionalFormatting sqref="F2624">
    <cfRule type="cellIs" dxfId="1" priority="5528" operator="equal">
      <formula>0</formula>
    </cfRule>
  </conditionalFormatting>
  <conditionalFormatting sqref="F2625">
    <cfRule type="cellIs" dxfId="1" priority="5532" operator="equal">
      <formula>0</formula>
    </cfRule>
  </conditionalFormatting>
  <conditionalFormatting sqref="F2626">
    <cfRule type="cellIs" dxfId="1" priority="5536" operator="equal">
      <formula>0</formula>
    </cfRule>
  </conditionalFormatting>
  <conditionalFormatting sqref="F2627">
    <cfRule type="cellIs" dxfId="1" priority="5540" operator="equal">
      <formula>0</formula>
    </cfRule>
  </conditionalFormatting>
  <conditionalFormatting sqref="F2649">
    <cfRule type="expression" dxfId="0" priority="5562">
      <formula>F2650=0</formula>
    </cfRule>
  </conditionalFormatting>
  <conditionalFormatting sqref="F2650">
    <cfRule type="cellIs" dxfId="1" priority="5569" operator="equal">
      <formula>0</formula>
    </cfRule>
  </conditionalFormatting>
  <conditionalFormatting sqref="F2652">
    <cfRule type="cellIs" dxfId="1" priority="5581" operator="equal">
      <formula>0</formula>
    </cfRule>
  </conditionalFormatting>
  <conditionalFormatting sqref="F2653">
    <cfRule type="cellIs" dxfId="1" priority="5585" operator="equal">
      <formula>0</formula>
    </cfRule>
  </conditionalFormatting>
  <conditionalFormatting sqref="F2654">
    <cfRule type="cellIs" dxfId="1" priority="5589" operator="equal">
      <formula>0</formula>
    </cfRule>
  </conditionalFormatting>
  <conditionalFormatting sqref="F2655">
    <cfRule type="cellIs" dxfId="1" priority="5594" operator="equal">
      <formula>0</formula>
    </cfRule>
  </conditionalFormatting>
  <conditionalFormatting sqref="F2657">
    <cfRule type="expression" dxfId="0" priority="5599">
      <formula>F2658=0</formula>
    </cfRule>
  </conditionalFormatting>
  <conditionalFormatting sqref="F2658">
    <cfRule type="cellIs" dxfId="1" priority="5603" operator="equal">
      <formula>0</formula>
    </cfRule>
  </conditionalFormatting>
  <conditionalFormatting sqref="F2662">
    <cfRule type="cellIs" dxfId="1" priority="5610" operator="equal">
      <formula>0</formula>
    </cfRule>
  </conditionalFormatting>
  <conditionalFormatting sqref="F267">
    <cfRule type="expression" dxfId="0" priority="614">
      <formula>F268=0</formula>
    </cfRule>
  </conditionalFormatting>
  <conditionalFormatting sqref="F2679">
    <cfRule type="expression" dxfId="0" priority="5629">
      <formula>F2680=0</formula>
    </cfRule>
  </conditionalFormatting>
  <conditionalFormatting sqref="F268">
    <cfRule type="cellIs" dxfId="1" priority="626" operator="equal">
      <formula>0</formula>
    </cfRule>
  </conditionalFormatting>
  <conditionalFormatting sqref="F2680">
    <cfRule type="cellIs" dxfId="1" priority="5634" operator="equal">
      <formula>0</formula>
    </cfRule>
  </conditionalFormatting>
  <conditionalFormatting sqref="F2682">
    <cfRule type="cellIs" dxfId="1" priority="5642" operator="equal">
      <formula>0</formula>
    </cfRule>
  </conditionalFormatting>
  <conditionalFormatting sqref="F2683">
    <cfRule type="cellIs" dxfId="1" priority="5646" operator="equal">
      <formula>0</formula>
    </cfRule>
  </conditionalFormatting>
  <conditionalFormatting sqref="F2684">
    <cfRule type="cellIs" dxfId="1" priority="5650" operator="equal">
      <formula>0</formula>
    </cfRule>
  </conditionalFormatting>
  <conditionalFormatting sqref="F27">
    <cfRule type="expression" dxfId="0" priority="4">
      <formula>F28=0</formula>
    </cfRule>
  </conditionalFormatting>
  <conditionalFormatting sqref="F270">
    <cfRule type="cellIs" dxfId="1" priority="641" operator="equal">
      <formula>0</formula>
    </cfRule>
  </conditionalFormatting>
  <conditionalFormatting sqref="F2706">
    <cfRule type="expression" dxfId="0" priority="5680">
      <formula>F2707=0</formula>
    </cfRule>
  </conditionalFormatting>
  <conditionalFormatting sqref="F2707">
    <cfRule type="cellIs" dxfId="1" priority="5687" operator="equal">
      <formula>0</formula>
    </cfRule>
  </conditionalFormatting>
  <conditionalFormatting sqref="F2708">
    <cfRule type="cellIs" dxfId="1" priority="5694" operator="equal">
      <formula>0</formula>
    </cfRule>
  </conditionalFormatting>
  <conditionalFormatting sqref="F2709">
    <cfRule type="cellIs" dxfId="1" priority="5699" operator="equal">
      <formula>0</formula>
    </cfRule>
  </conditionalFormatting>
  <conditionalFormatting sqref="F272">
    <cfRule type="cellIs" dxfId="1" priority="653" operator="equal">
      <formula>0</formula>
    </cfRule>
  </conditionalFormatting>
  <conditionalFormatting sqref="F2730">
    <cfRule type="expression" dxfId="0" priority="5722">
      <formula>F2731=0</formula>
    </cfRule>
  </conditionalFormatting>
  <conditionalFormatting sqref="F2731">
    <cfRule type="cellIs" dxfId="1" priority="5729" operator="equal">
      <formula>0</formula>
    </cfRule>
  </conditionalFormatting>
  <conditionalFormatting sqref="F2733">
    <cfRule type="cellIs" dxfId="1" priority="5740" operator="equal">
      <formula>0</formula>
    </cfRule>
  </conditionalFormatting>
  <conditionalFormatting sqref="F278">
    <cfRule type="cellIs" dxfId="1" priority="683" operator="equal">
      <formula>0</formula>
    </cfRule>
  </conditionalFormatting>
  <conditionalFormatting sqref="F279">
    <cfRule type="cellIs" dxfId="1" priority="688" operator="equal">
      <formula>0</formula>
    </cfRule>
  </conditionalFormatting>
  <conditionalFormatting sqref="F28">
    <cfRule type="cellIs" dxfId="1" priority="16" operator="equal">
      <formula>0</formula>
    </cfRule>
  </conditionalFormatting>
  <conditionalFormatting sqref="F280">
    <cfRule type="cellIs" dxfId="1" priority="692" operator="equal">
      <formula>0</formula>
    </cfRule>
  </conditionalFormatting>
  <conditionalFormatting sqref="F283">
    <cfRule type="cellIs" dxfId="1" priority="702" operator="equal">
      <formula>0</formula>
    </cfRule>
  </conditionalFormatting>
  <conditionalFormatting sqref="F284">
    <cfRule type="cellIs" dxfId="1" priority="706" operator="equal">
      <formula>0</formula>
    </cfRule>
  </conditionalFormatting>
  <conditionalFormatting sqref="F285">
    <cfRule type="cellIs" dxfId="1" priority="711" operator="equal">
      <formula>0</formula>
    </cfRule>
  </conditionalFormatting>
  <conditionalFormatting sqref="F286">
    <cfRule type="cellIs" dxfId="1" priority="715" operator="equal">
      <formula>0</formula>
    </cfRule>
  </conditionalFormatting>
  <conditionalFormatting sqref="F287">
    <cfRule type="cellIs" dxfId="1" priority="720" operator="equal">
      <formula>0</formula>
    </cfRule>
  </conditionalFormatting>
  <conditionalFormatting sqref="F289">
    <cfRule type="cellIs" dxfId="1" priority="730" operator="equal">
      <formula>0</formula>
    </cfRule>
  </conditionalFormatting>
  <conditionalFormatting sqref="F290">
    <cfRule type="cellIs" dxfId="1" priority="734" operator="equal">
      <formula>0</formula>
    </cfRule>
  </conditionalFormatting>
  <conditionalFormatting sqref="F291">
    <cfRule type="cellIs" dxfId="1" priority="738" operator="equal">
      <formula>0</formula>
    </cfRule>
  </conditionalFormatting>
  <conditionalFormatting sqref="F292">
    <cfRule type="cellIs" dxfId="1" priority="742" operator="equal">
      <formula>0</formula>
    </cfRule>
  </conditionalFormatting>
  <conditionalFormatting sqref="F295">
    <cfRule type="expression" dxfId="0" priority="751">
      <formula>F296=0</formula>
    </cfRule>
  </conditionalFormatting>
  <conditionalFormatting sqref="F296">
    <cfRule type="cellIs" dxfId="1" priority="759" operator="equal">
      <formula>0</formula>
    </cfRule>
  </conditionalFormatting>
  <conditionalFormatting sqref="F299">
    <cfRule type="cellIs" dxfId="1" priority="769" operator="equal">
      <formula>0</formula>
    </cfRule>
  </conditionalFormatting>
  <conditionalFormatting sqref="F302">
    <cfRule type="cellIs" dxfId="1" priority="773" operator="equal">
      <formula>0</formula>
    </cfRule>
  </conditionalFormatting>
  <conditionalFormatting sqref="F306">
    <cfRule type="cellIs" dxfId="1" priority="780" operator="equal">
      <formula>0</formula>
    </cfRule>
  </conditionalFormatting>
  <conditionalFormatting sqref="F308">
    <cfRule type="cellIs" dxfId="1" priority="782" operator="equal">
      <formula>0</formula>
    </cfRule>
  </conditionalFormatting>
  <conditionalFormatting sqref="F309">
    <cfRule type="cellIs" dxfId="1" priority="783" operator="equal">
      <formula>0</formula>
    </cfRule>
  </conditionalFormatting>
  <conditionalFormatting sqref="F31">
    <cfRule type="cellIs" dxfId="1" priority="37" operator="equal">
      <formula>0</formula>
    </cfRule>
  </conditionalFormatting>
  <conditionalFormatting sqref="F310">
    <cfRule type="cellIs" dxfId="1" priority="785" operator="equal">
      <formula>0</formula>
    </cfRule>
  </conditionalFormatting>
  <conditionalFormatting sqref="F312">
    <cfRule type="cellIs" dxfId="1" priority="789" operator="equal">
      <formula>0</formula>
    </cfRule>
  </conditionalFormatting>
  <conditionalFormatting sqref="F323">
    <cfRule type="expression" dxfId="0" priority="807">
      <formula>F324=0</formula>
    </cfRule>
  </conditionalFormatting>
  <conditionalFormatting sqref="F324">
    <cfRule type="cellIs" dxfId="1" priority="811" operator="equal">
      <formula>0</formula>
    </cfRule>
  </conditionalFormatting>
  <conditionalFormatting sqref="F33">
    <cfRule type="cellIs" dxfId="1" priority="46" operator="equal">
      <formula>0</formula>
    </cfRule>
  </conditionalFormatting>
  <conditionalFormatting sqref="F34">
    <cfRule type="cellIs" dxfId="1" priority="50" operator="equal">
      <formula>0</formula>
    </cfRule>
  </conditionalFormatting>
  <conditionalFormatting sqref="F342">
    <cfRule type="cellIs" dxfId="1" priority="831" operator="equal">
      <formula>0</formula>
    </cfRule>
  </conditionalFormatting>
  <conditionalFormatting sqref="F349">
    <cfRule type="cellIs" dxfId="1" priority="840" operator="equal">
      <formula>0</formula>
    </cfRule>
  </conditionalFormatting>
  <conditionalFormatting sqref="F35">
    <cfRule type="cellIs" dxfId="1" priority="55" operator="equal">
      <formula>0</formula>
    </cfRule>
  </conditionalFormatting>
  <conditionalFormatting sqref="F357">
    <cfRule type="expression" dxfId="0" priority="844">
      <formula>F358=0</formula>
    </cfRule>
  </conditionalFormatting>
  <conditionalFormatting sqref="F358">
    <cfRule type="cellIs" dxfId="1" priority="850" operator="equal">
      <formula>0</formula>
    </cfRule>
  </conditionalFormatting>
  <conditionalFormatting sqref="F359">
    <cfRule type="cellIs" dxfId="1" priority="856" operator="equal">
      <formula>0</formula>
    </cfRule>
  </conditionalFormatting>
  <conditionalFormatting sqref="F36">
    <cfRule type="cellIs" dxfId="1" priority="58" operator="equal">
      <formula>0</formula>
    </cfRule>
  </conditionalFormatting>
  <conditionalFormatting sqref="F360">
    <cfRule type="cellIs" dxfId="1" priority="860" operator="equal">
      <formula>0</formula>
    </cfRule>
  </conditionalFormatting>
  <conditionalFormatting sqref="F362">
    <cfRule type="cellIs" dxfId="1" priority="868" operator="equal">
      <formula>0</formula>
    </cfRule>
  </conditionalFormatting>
  <conditionalFormatting sqref="F363">
    <cfRule type="cellIs" dxfId="1" priority="872" operator="equal">
      <formula>0</formula>
    </cfRule>
  </conditionalFormatting>
  <conditionalFormatting sqref="F38">
    <cfRule type="cellIs" dxfId="1" priority="70" operator="equal">
      <formula>0</formula>
    </cfRule>
  </conditionalFormatting>
  <conditionalFormatting sqref="F387">
    <cfRule type="expression" dxfId="0" priority="903">
      <formula>F388=0</formula>
    </cfRule>
  </conditionalFormatting>
  <conditionalFormatting sqref="F388">
    <cfRule type="cellIs" dxfId="1" priority="910" operator="equal">
      <formula>0</formula>
    </cfRule>
  </conditionalFormatting>
  <conditionalFormatting sqref="F390">
    <cfRule type="cellIs" dxfId="1" priority="920" operator="equal">
      <formula>0</formula>
    </cfRule>
  </conditionalFormatting>
  <conditionalFormatting sqref="F391">
    <cfRule type="cellIs" dxfId="1" priority="925" operator="equal">
      <formula>0</formula>
    </cfRule>
  </conditionalFormatting>
  <conditionalFormatting sqref="F41">
    <cfRule type="cellIs" dxfId="1" priority="80" operator="equal">
      <formula>0</formula>
    </cfRule>
  </conditionalFormatting>
  <conditionalFormatting sqref="F411">
    <cfRule type="expression" dxfId="0" priority="944">
      <formula>F412=0</formula>
    </cfRule>
  </conditionalFormatting>
  <conditionalFormatting sqref="F412">
    <cfRule type="cellIs" dxfId="1" priority="948" operator="equal">
      <formula>0</formula>
    </cfRule>
  </conditionalFormatting>
  <conditionalFormatting sqref="F413">
    <cfRule type="cellIs" dxfId="1" priority="952" operator="equal">
      <formula>0</formula>
    </cfRule>
  </conditionalFormatting>
  <conditionalFormatting sqref="F42">
    <cfRule type="cellIs" dxfId="1" priority="85" operator="equal">
      <formula>0</formula>
    </cfRule>
  </conditionalFormatting>
  <conditionalFormatting sqref="F429">
    <cfRule type="expression" dxfId="0" priority="962">
      <formula>F430=0</formula>
    </cfRule>
  </conditionalFormatting>
  <conditionalFormatting sqref="F43">
    <cfRule type="cellIs" dxfId="1" priority="89" operator="equal">
      <formula>0</formula>
    </cfRule>
  </conditionalFormatting>
  <conditionalFormatting sqref="F430">
    <cfRule type="cellIs" dxfId="1" priority="972" operator="equal">
      <formula>0</formula>
    </cfRule>
  </conditionalFormatting>
  <conditionalFormatting sqref="F432">
    <cfRule type="cellIs" dxfId="1" priority="987" operator="equal">
      <formula>0</formula>
    </cfRule>
  </conditionalFormatting>
  <conditionalFormatting sqref="F434">
    <cfRule type="cellIs" dxfId="1" priority="996" operator="equal">
      <formula>0</formula>
    </cfRule>
  </conditionalFormatting>
  <conditionalFormatting sqref="F435">
    <cfRule type="cellIs" dxfId="1" priority="1001" operator="equal">
      <formula>0</formula>
    </cfRule>
  </conditionalFormatting>
  <conditionalFormatting sqref="F436">
    <cfRule type="cellIs" dxfId="1" priority="1006" operator="equal">
      <formula>0</formula>
    </cfRule>
  </conditionalFormatting>
  <conditionalFormatting sqref="F437">
    <cfRule type="cellIs" dxfId="1" priority="1012" operator="equal">
      <formula>0</formula>
    </cfRule>
  </conditionalFormatting>
  <conditionalFormatting sqref="F438">
    <cfRule type="cellIs" dxfId="1" priority="1017" operator="equal">
      <formula>0</formula>
    </cfRule>
  </conditionalFormatting>
  <conditionalFormatting sqref="F44">
    <cfRule type="cellIs" dxfId="1" priority="94" operator="equal">
      <formula>0</formula>
    </cfRule>
  </conditionalFormatting>
  <conditionalFormatting sqref="F440">
    <cfRule type="expression" dxfId="0" priority="1021">
      <formula>F441=0</formula>
    </cfRule>
  </conditionalFormatting>
  <conditionalFormatting sqref="F441">
    <cfRule type="cellIs" dxfId="1" priority="1026" operator="equal">
      <formula>0</formula>
    </cfRule>
  </conditionalFormatting>
  <conditionalFormatting sqref="F447">
    <cfRule type="cellIs" dxfId="1" priority="1039" operator="equal">
      <formula>0</formula>
    </cfRule>
  </conditionalFormatting>
  <conditionalFormatting sqref="F46">
    <cfRule type="cellIs" dxfId="1" priority="102" operator="equal">
      <formula>0</formula>
    </cfRule>
  </conditionalFormatting>
  <conditionalFormatting sqref="F468">
    <cfRule type="expression" dxfId="0" priority="1062">
      <formula>F469=0</formula>
    </cfRule>
  </conditionalFormatting>
  <conditionalFormatting sqref="F469">
    <cfRule type="cellIs" dxfId="1" priority="1071" operator="equal">
      <formula>0</formula>
    </cfRule>
  </conditionalFormatting>
  <conditionalFormatting sqref="F47">
    <cfRule type="cellIs" dxfId="1" priority="107" operator="equal">
      <formula>0</formula>
    </cfRule>
  </conditionalFormatting>
  <conditionalFormatting sqref="F470">
    <cfRule type="cellIs" dxfId="1" priority="1080" operator="equal">
      <formula>0</formula>
    </cfRule>
  </conditionalFormatting>
  <conditionalFormatting sqref="F471">
    <cfRule type="cellIs" dxfId="1" priority="1085" operator="equal">
      <formula>0</formula>
    </cfRule>
  </conditionalFormatting>
  <conditionalFormatting sqref="F472">
    <cfRule type="cellIs" dxfId="1" priority="1090" operator="equal">
      <formula>0</formula>
    </cfRule>
  </conditionalFormatting>
  <conditionalFormatting sqref="F473">
    <cfRule type="cellIs" dxfId="1" priority="1094" operator="equal">
      <formula>0</formula>
    </cfRule>
  </conditionalFormatting>
  <conditionalFormatting sqref="F474">
    <cfRule type="cellIs" dxfId="1" priority="1098" operator="equal">
      <formula>0</formula>
    </cfRule>
  </conditionalFormatting>
  <conditionalFormatting sqref="F476">
    <cfRule type="cellIs" dxfId="1" priority="1107" operator="equal">
      <formula>0</formula>
    </cfRule>
  </conditionalFormatting>
  <conditionalFormatting sqref="F478">
    <cfRule type="expression" dxfId="0" priority="1112">
      <formula>F479=0</formula>
    </cfRule>
  </conditionalFormatting>
  <conditionalFormatting sqref="F479">
    <cfRule type="cellIs" dxfId="1" priority="1118" operator="equal">
      <formula>0</formula>
    </cfRule>
  </conditionalFormatting>
  <conditionalFormatting sqref="F483">
    <cfRule type="cellIs" dxfId="1" priority="1126" operator="equal">
      <formula>0</formula>
    </cfRule>
  </conditionalFormatting>
  <conditionalFormatting sqref="F504">
    <cfRule type="expression" dxfId="0" priority="1147">
      <formula>F505=0</formula>
    </cfRule>
  </conditionalFormatting>
  <conditionalFormatting sqref="F505">
    <cfRule type="cellIs" dxfId="1" priority="1153" operator="equal">
      <formula>0</formula>
    </cfRule>
  </conditionalFormatting>
  <conditionalFormatting sqref="F506">
    <cfRule type="cellIs" dxfId="1" priority="1159" operator="equal">
      <formula>0</formula>
    </cfRule>
  </conditionalFormatting>
  <conditionalFormatting sqref="F507">
    <cfRule type="cellIs" dxfId="1" priority="1163" operator="equal">
      <formula>0</formula>
    </cfRule>
  </conditionalFormatting>
  <conditionalFormatting sqref="F508">
    <cfRule type="cellIs" dxfId="1" priority="1168" operator="equal">
      <formula>0</formula>
    </cfRule>
  </conditionalFormatting>
  <conditionalFormatting sqref="F509">
    <cfRule type="cellIs" dxfId="1" priority="1173" operator="equal">
      <formula>0</formula>
    </cfRule>
  </conditionalFormatting>
  <conditionalFormatting sqref="F51">
    <cfRule type="cellIs" dxfId="1" priority="127" operator="equal">
      <formula>0</formula>
    </cfRule>
  </conditionalFormatting>
  <conditionalFormatting sqref="F512">
    <cfRule type="expression" dxfId="0" priority="1181">
      <formula>F513=0</formula>
    </cfRule>
  </conditionalFormatting>
  <conditionalFormatting sqref="F513">
    <cfRule type="cellIs" dxfId="1" priority="1185" operator="equal">
      <formula>0</formula>
    </cfRule>
  </conditionalFormatting>
  <conditionalFormatting sqref="F516">
    <cfRule type="cellIs" dxfId="1" priority="1191" operator="equal">
      <formula>0</formula>
    </cfRule>
  </conditionalFormatting>
  <conditionalFormatting sqref="F52">
    <cfRule type="cellIs" dxfId="1" priority="132" operator="equal">
      <formula>0</formula>
    </cfRule>
  </conditionalFormatting>
  <conditionalFormatting sqref="F534">
    <cfRule type="expression" dxfId="0" priority="1211">
      <formula>F535=0</formula>
    </cfRule>
  </conditionalFormatting>
  <conditionalFormatting sqref="F535">
    <cfRule type="cellIs" dxfId="1" priority="1216" operator="equal">
      <formula>0</formula>
    </cfRule>
  </conditionalFormatting>
  <conditionalFormatting sqref="F536">
    <cfRule type="cellIs" dxfId="1" priority="1221" operator="equal">
      <formula>0</formula>
    </cfRule>
  </conditionalFormatting>
  <conditionalFormatting sqref="F55">
    <cfRule type="expression" dxfId="0" priority="141">
      <formula>F56=0</formula>
    </cfRule>
  </conditionalFormatting>
  <conditionalFormatting sqref="F552">
    <cfRule type="expression" dxfId="0" priority="1238">
      <formula>F553=0</formula>
    </cfRule>
  </conditionalFormatting>
  <conditionalFormatting sqref="F553">
    <cfRule type="cellIs" dxfId="1" priority="1247" operator="equal">
      <formula>0</formula>
    </cfRule>
  </conditionalFormatting>
  <conditionalFormatting sqref="F554">
    <cfRule type="cellIs" dxfId="1" priority="1256" operator="equal">
      <formula>0</formula>
    </cfRule>
  </conditionalFormatting>
  <conditionalFormatting sqref="F555">
    <cfRule type="cellIs" dxfId="1" priority="1260" operator="equal">
      <formula>0</formula>
    </cfRule>
  </conditionalFormatting>
  <conditionalFormatting sqref="F556">
    <cfRule type="cellIs" dxfId="1" priority="1265" operator="equal">
      <formula>0</formula>
    </cfRule>
  </conditionalFormatting>
  <conditionalFormatting sqref="F558">
    <cfRule type="cellIs" dxfId="1" priority="1275" operator="equal">
      <formula>0</formula>
    </cfRule>
  </conditionalFormatting>
  <conditionalFormatting sqref="F559">
    <cfRule type="cellIs" dxfId="1" priority="1280" operator="equal">
      <formula>0</formula>
    </cfRule>
  </conditionalFormatting>
  <conditionalFormatting sqref="F56">
    <cfRule type="cellIs" dxfId="1" priority="149" operator="equal">
      <formula>0</formula>
    </cfRule>
  </conditionalFormatting>
  <conditionalFormatting sqref="F562">
    <cfRule type="expression" dxfId="0" priority="1289">
      <formula>F563=0</formula>
    </cfRule>
  </conditionalFormatting>
  <conditionalFormatting sqref="F563">
    <cfRule type="cellIs" dxfId="1" priority="1293" operator="equal">
      <formula>0</formula>
    </cfRule>
  </conditionalFormatting>
  <conditionalFormatting sqref="F569">
    <cfRule type="cellIs" dxfId="1" priority="1303" operator="equal">
      <formula>0</formula>
    </cfRule>
  </conditionalFormatting>
  <conditionalFormatting sqref="F588">
    <cfRule type="expression" dxfId="0" priority="1318">
      <formula>F589=0</formula>
    </cfRule>
  </conditionalFormatting>
  <conditionalFormatting sqref="F589">
    <cfRule type="cellIs" dxfId="1" priority="1325" operator="equal">
      <formula>0</formula>
    </cfRule>
  </conditionalFormatting>
  <conditionalFormatting sqref="F59">
    <cfRule type="cellIs" dxfId="1" priority="159" operator="equal">
      <formula>0</formula>
    </cfRule>
  </conditionalFormatting>
  <conditionalFormatting sqref="F590">
    <cfRule type="cellIs" dxfId="1" priority="1332" operator="equal">
      <formula>0</formula>
    </cfRule>
  </conditionalFormatting>
  <conditionalFormatting sqref="F591">
    <cfRule type="cellIs" dxfId="1" priority="1337" operator="equal">
      <formula>0</formula>
    </cfRule>
  </conditionalFormatting>
  <conditionalFormatting sqref="F593">
    <cfRule type="cellIs" dxfId="1" priority="1346" operator="equal">
      <formula>0</formula>
    </cfRule>
  </conditionalFormatting>
  <conditionalFormatting sqref="F594">
    <cfRule type="cellIs" dxfId="1" priority="1350" operator="equal">
      <formula>0</formula>
    </cfRule>
  </conditionalFormatting>
  <conditionalFormatting sqref="F596">
    <cfRule type="expression" dxfId="0" priority="1355">
      <formula>F597=0</formula>
    </cfRule>
  </conditionalFormatting>
  <conditionalFormatting sqref="F597">
    <cfRule type="cellIs" dxfId="1" priority="1359" operator="equal">
      <formula>0</formula>
    </cfRule>
  </conditionalFormatting>
  <conditionalFormatting sqref="F601">
    <cfRule type="cellIs" dxfId="1" priority="1366" operator="equal">
      <formula>0</formula>
    </cfRule>
  </conditionalFormatting>
  <conditionalFormatting sqref="F618">
    <cfRule type="expression" dxfId="0" priority="1385">
      <formula>F619=0</formula>
    </cfRule>
  </conditionalFormatting>
  <conditionalFormatting sqref="F619">
    <cfRule type="cellIs" dxfId="1" priority="1391" operator="equal">
      <formula>0</formula>
    </cfRule>
  </conditionalFormatting>
  <conditionalFormatting sqref="F62">
    <cfRule type="cellIs" dxfId="1" priority="163" operator="equal">
      <formula>0</formula>
    </cfRule>
  </conditionalFormatting>
  <conditionalFormatting sqref="F620">
    <cfRule type="cellIs" dxfId="1" priority="1397" operator="equal">
      <formula>0</formula>
    </cfRule>
  </conditionalFormatting>
  <conditionalFormatting sqref="F621">
    <cfRule type="cellIs" dxfId="1" priority="1401" operator="equal">
      <formula>0</formula>
    </cfRule>
  </conditionalFormatting>
  <conditionalFormatting sqref="F622">
    <cfRule type="cellIs" dxfId="1" priority="1405" operator="equal">
      <formula>0</formula>
    </cfRule>
  </conditionalFormatting>
  <conditionalFormatting sqref="F623">
    <cfRule type="cellIs" dxfId="1" priority="1409" operator="equal">
      <formula>0</formula>
    </cfRule>
  </conditionalFormatting>
  <conditionalFormatting sqref="F624">
    <cfRule type="cellIs" dxfId="1" priority="1413" operator="equal">
      <formula>0</formula>
    </cfRule>
  </conditionalFormatting>
  <conditionalFormatting sqref="F626">
    <cfRule type="cellIs" dxfId="1" priority="1421" operator="equal">
      <formula>0</formula>
    </cfRule>
  </conditionalFormatting>
  <conditionalFormatting sqref="F627">
    <cfRule type="cellIs" dxfId="1" priority="1425" operator="equal">
      <formula>0</formula>
    </cfRule>
  </conditionalFormatting>
  <conditionalFormatting sqref="F629">
    <cfRule type="expression" dxfId="0" priority="1429">
      <formula>F630=0</formula>
    </cfRule>
  </conditionalFormatting>
  <conditionalFormatting sqref="F630">
    <cfRule type="cellIs" dxfId="1" priority="1437" operator="equal">
      <formula>0</formula>
    </cfRule>
  </conditionalFormatting>
  <conditionalFormatting sqref="F632">
    <cfRule type="cellIs" dxfId="1" priority="1445" operator="equal">
      <formula>0</formula>
    </cfRule>
  </conditionalFormatting>
  <conditionalFormatting sqref="F633">
    <cfRule type="cellIs" dxfId="1" priority="1447" operator="equal">
      <formula>0</formula>
    </cfRule>
  </conditionalFormatting>
  <conditionalFormatting sqref="F634">
    <cfRule type="cellIs" dxfId="1" priority="1448" operator="equal">
      <formula>0</formula>
    </cfRule>
  </conditionalFormatting>
  <conditionalFormatting sqref="F637">
    <cfRule type="cellIs" dxfId="1" priority="1452" operator="equal">
      <formula>0</formula>
    </cfRule>
  </conditionalFormatting>
  <conditionalFormatting sqref="F638">
    <cfRule type="cellIs" dxfId="1" priority="1455" operator="equal">
      <formula>0</formula>
    </cfRule>
  </conditionalFormatting>
  <conditionalFormatting sqref="F640">
    <cfRule type="expression" dxfId="0" priority="1459">
      <formula>F641=0</formula>
    </cfRule>
  </conditionalFormatting>
  <conditionalFormatting sqref="F641">
    <cfRule type="cellIs" dxfId="1" priority="1463" operator="equal">
      <formula>0</formula>
    </cfRule>
  </conditionalFormatting>
  <conditionalFormatting sqref="F649">
    <cfRule type="cellIs" dxfId="1" priority="1472" operator="equal">
      <formula>0</formula>
    </cfRule>
  </conditionalFormatting>
  <conditionalFormatting sqref="F657">
    <cfRule type="expression" dxfId="0" priority="1476">
      <formula>F658=0</formula>
    </cfRule>
  </conditionalFormatting>
  <conditionalFormatting sqref="F658">
    <cfRule type="cellIs" dxfId="1" priority="1487" operator="equal">
      <formula>0</formula>
    </cfRule>
  </conditionalFormatting>
  <conditionalFormatting sqref="F66">
    <cfRule type="cellIs" dxfId="1" priority="170" operator="equal">
      <formula>0</formula>
    </cfRule>
  </conditionalFormatting>
  <conditionalFormatting sqref="F660">
    <cfRule type="cellIs" dxfId="1" priority="1502" operator="equal">
      <formula>0</formula>
    </cfRule>
  </conditionalFormatting>
  <conditionalFormatting sqref="F665">
    <cfRule type="cellIs" dxfId="1" priority="1523" operator="equal">
      <formula>0</formula>
    </cfRule>
  </conditionalFormatting>
  <conditionalFormatting sqref="F667">
    <cfRule type="cellIs" dxfId="1" priority="1534" operator="equal">
      <formula>0</formula>
    </cfRule>
  </conditionalFormatting>
  <conditionalFormatting sqref="F669">
    <cfRule type="cellIs" dxfId="1" priority="1542" operator="equal">
      <formula>0</formula>
    </cfRule>
  </conditionalFormatting>
  <conditionalFormatting sqref="F670">
    <cfRule type="cellIs" dxfId="1" priority="1546" operator="equal">
      <formula>0</formula>
    </cfRule>
  </conditionalFormatting>
  <conditionalFormatting sqref="F671">
    <cfRule type="cellIs" dxfId="1" priority="1550" operator="equal">
      <formula>0</formula>
    </cfRule>
  </conditionalFormatting>
  <conditionalFormatting sqref="F672">
    <cfRule type="cellIs" dxfId="1" priority="1552" operator="equal">
      <formula>0</formula>
    </cfRule>
  </conditionalFormatting>
  <conditionalFormatting sqref="F674">
    <cfRule type="expression" dxfId="0" priority="1557">
      <formula>F675=0</formula>
    </cfRule>
  </conditionalFormatting>
  <conditionalFormatting sqref="F675">
    <cfRule type="cellIs" dxfId="1" priority="1563" operator="equal">
      <formula>0</formula>
    </cfRule>
  </conditionalFormatting>
  <conditionalFormatting sqref="F677">
    <cfRule type="cellIs" dxfId="1" priority="1569" operator="equal">
      <formula>0</formula>
    </cfRule>
  </conditionalFormatting>
  <conditionalFormatting sqref="F68">
    <cfRule type="cellIs" dxfId="1" priority="172" operator="equal">
      <formula>0</formula>
    </cfRule>
  </conditionalFormatting>
  <conditionalFormatting sqref="F681">
    <cfRule type="cellIs" dxfId="1" priority="1574" operator="equal">
      <formula>0</formula>
    </cfRule>
  </conditionalFormatting>
  <conditionalFormatting sqref="F689">
    <cfRule type="cellIs" dxfId="1" priority="1586" operator="equal">
      <formula>0</formula>
    </cfRule>
  </conditionalFormatting>
  <conditionalFormatting sqref="F69">
    <cfRule type="cellIs" dxfId="1" priority="173" operator="equal">
      <formula>0</formula>
    </cfRule>
  </conditionalFormatting>
  <conditionalFormatting sqref="F70">
    <cfRule type="cellIs" dxfId="1" priority="175" operator="equal">
      <formula>0</formula>
    </cfRule>
  </conditionalFormatting>
  <conditionalFormatting sqref="F714">
    <cfRule type="expression" dxfId="0" priority="1609">
      <formula>F715=0</formula>
    </cfRule>
  </conditionalFormatting>
  <conditionalFormatting sqref="F715">
    <cfRule type="cellIs" dxfId="1" priority="1614" operator="equal">
      <formula>0</formula>
    </cfRule>
  </conditionalFormatting>
  <conditionalFormatting sqref="F716">
    <cfRule type="cellIs" dxfId="1" priority="1619" operator="equal">
      <formula>0</formula>
    </cfRule>
  </conditionalFormatting>
  <conditionalFormatting sqref="F72">
    <cfRule type="cellIs" dxfId="1" priority="179" operator="equal">
      <formula>0</formula>
    </cfRule>
  </conditionalFormatting>
  <conditionalFormatting sqref="F732">
    <cfRule type="expression" dxfId="0" priority="1630">
      <formula>F733=0</formula>
    </cfRule>
  </conditionalFormatting>
  <conditionalFormatting sqref="F733">
    <cfRule type="cellIs" dxfId="1" priority="1635" operator="equal">
      <formula>0</formula>
    </cfRule>
  </conditionalFormatting>
  <conditionalFormatting sqref="F734">
    <cfRule type="cellIs" dxfId="1" priority="1640" operator="equal">
      <formula>0</formula>
    </cfRule>
  </conditionalFormatting>
  <conditionalFormatting sqref="F750">
    <cfRule type="expression" dxfId="0" priority="1651">
      <formula>F751=0</formula>
    </cfRule>
  </conditionalFormatting>
  <conditionalFormatting sqref="F751">
    <cfRule type="cellIs" dxfId="1" priority="1657" operator="equal">
      <formula>0</formula>
    </cfRule>
  </conditionalFormatting>
  <conditionalFormatting sqref="F752">
    <cfRule type="cellIs" dxfId="1" priority="1663" operator="equal">
      <formula>0</formula>
    </cfRule>
  </conditionalFormatting>
  <conditionalFormatting sqref="F771">
    <cfRule type="expression" dxfId="0" priority="1683">
      <formula>F772=0</formula>
    </cfRule>
  </conditionalFormatting>
  <conditionalFormatting sqref="F772">
    <cfRule type="cellIs" dxfId="1" priority="1687" operator="equal">
      <formula>0</formula>
    </cfRule>
  </conditionalFormatting>
  <conditionalFormatting sqref="F773">
    <cfRule type="cellIs" dxfId="1" priority="1691" operator="equal">
      <formula>0</formula>
    </cfRule>
  </conditionalFormatting>
  <conditionalFormatting sqref="F774">
    <cfRule type="cellIs" dxfId="1" priority="1695" operator="equal">
      <formula>0</formula>
    </cfRule>
  </conditionalFormatting>
  <conditionalFormatting sqref="F792">
    <cfRule type="expression" dxfId="0" priority="1714">
      <formula>F793=0</formula>
    </cfRule>
  </conditionalFormatting>
  <conditionalFormatting sqref="F793">
    <cfRule type="cellIs" dxfId="1" priority="1722" operator="equal">
      <formula>0</formula>
    </cfRule>
  </conditionalFormatting>
  <conditionalFormatting sqref="F795">
    <cfRule type="cellIs" dxfId="1" priority="1736" operator="equal">
      <formula>0</formula>
    </cfRule>
  </conditionalFormatting>
  <conditionalFormatting sqref="F798">
    <cfRule type="cellIs" dxfId="1" priority="1748" operator="equal">
      <formula>0</formula>
    </cfRule>
  </conditionalFormatting>
  <conditionalFormatting sqref="F799">
    <cfRule type="cellIs" dxfId="1" priority="1752" operator="equal">
      <formula>0</formula>
    </cfRule>
  </conditionalFormatting>
  <conditionalFormatting sqref="F800">
    <cfRule type="cellIs" dxfId="1" priority="1756" operator="equal">
      <formula>0</formula>
    </cfRule>
  </conditionalFormatting>
  <conditionalFormatting sqref="F802">
    <cfRule type="cellIs" dxfId="1" priority="1764" operator="equal">
      <formula>0</formula>
    </cfRule>
  </conditionalFormatting>
  <conditionalFormatting sqref="F803">
    <cfRule type="cellIs" dxfId="1" priority="1767" operator="equal">
      <formula>0</formula>
    </cfRule>
  </conditionalFormatting>
  <conditionalFormatting sqref="F804">
    <cfRule type="cellIs" dxfId="1" priority="1771" operator="equal">
      <formula>0</formula>
    </cfRule>
  </conditionalFormatting>
  <conditionalFormatting sqref="F806">
    <cfRule type="cellIs" dxfId="1" priority="1779" operator="equal">
      <formula>0</formula>
    </cfRule>
  </conditionalFormatting>
  <conditionalFormatting sqref="F807">
    <cfRule type="cellIs" dxfId="1" priority="1783" operator="equal">
      <formula>0</formula>
    </cfRule>
  </conditionalFormatting>
  <conditionalFormatting sqref="F808">
    <cfRule type="cellIs" dxfId="1" priority="1786" operator="equal">
      <formula>0</formula>
    </cfRule>
  </conditionalFormatting>
  <conditionalFormatting sqref="F809">
    <cfRule type="cellIs" dxfId="1" priority="1790" operator="equal">
      <formula>0</formula>
    </cfRule>
  </conditionalFormatting>
  <conditionalFormatting sqref="F810">
    <cfRule type="cellIs" dxfId="1" priority="1795" operator="equal">
      <formula>0</formula>
    </cfRule>
  </conditionalFormatting>
  <conditionalFormatting sqref="F811">
    <cfRule type="cellIs" dxfId="1" priority="1800" operator="equal">
      <formula>0</formula>
    </cfRule>
  </conditionalFormatting>
  <conditionalFormatting sqref="F812">
    <cfRule type="cellIs" dxfId="1" priority="1804" operator="equal">
      <formula>0</formula>
    </cfRule>
  </conditionalFormatting>
  <conditionalFormatting sqref="F813">
    <cfRule type="cellIs" dxfId="1" priority="1808" operator="equal">
      <formula>0</formula>
    </cfRule>
  </conditionalFormatting>
  <conditionalFormatting sqref="F814">
    <cfRule type="cellIs" dxfId="1" priority="1812" operator="equal">
      <formula>0</formula>
    </cfRule>
  </conditionalFormatting>
  <conditionalFormatting sqref="F815">
    <cfRule type="cellIs" dxfId="1" priority="1817" operator="equal">
      <formula>0</formula>
    </cfRule>
  </conditionalFormatting>
  <conditionalFormatting sqref="F816">
    <cfRule type="cellIs" dxfId="1" priority="1821" operator="equal">
      <formula>0</formula>
    </cfRule>
  </conditionalFormatting>
  <conditionalFormatting sqref="F817">
    <cfRule type="cellIs" dxfId="1" priority="1825" operator="equal">
      <formula>0</formula>
    </cfRule>
  </conditionalFormatting>
  <conditionalFormatting sqref="F818">
    <cfRule type="cellIs" dxfId="1" priority="1829" operator="equal">
      <formula>0</formula>
    </cfRule>
  </conditionalFormatting>
  <conditionalFormatting sqref="F820">
    <cfRule type="expression" dxfId="0" priority="1834">
      <formula>F821=0</formula>
    </cfRule>
  </conditionalFormatting>
  <conditionalFormatting sqref="F821">
    <cfRule type="cellIs" dxfId="1" priority="1842" operator="equal">
      <formula>0</formula>
    </cfRule>
  </conditionalFormatting>
  <conditionalFormatting sqref="F825">
    <cfRule type="cellIs" dxfId="1" priority="1854" operator="equal">
      <formula>0</formula>
    </cfRule>
  </conditionalFormatting>
  <conditionalFormatting sqref="F826">
    <cfRule type="cellIs" dxfId="1" priority="1856" operator="equal">
      <formula>0</formula>
    </cfRule>
  </conditionalFormatting>
  <conditionalFormatting sqref="F83">
    <cfRule type="expression" dxfId="0" priority="197">
      <formula>F84=0</formula>
    </cfRule>
  </conditionalFormatting>
  <conditionalFormatting sqref="F839">
    <cfRule type="cellIs" dxfId="1" priority="1881" operator="equal">
      <formula>0</formula>
    </cfRule>
  </conditionalFormatting>
  <conditionalFormatting sqref="F84">
    <cfRule type="cellIs" dxfId="1" priority="201" operator="equal">
      <formula>0</formula>
    </cfRule>
  </conditionalFormatting>
  <conditionalFormatting sqref="F882">
    <cfRule type="expression" dxfId="0" priority="1931">
      <formula>F883=0</formula>
    </cfRule>
  </conditionalFormatting>
  <conditionalFormatting sqref="F883">
    <cfRule type="cellIs" dxfId="1" priority="1938" operator="equal">
      <formula>0</formula>
    </cfRule>
  </conditionalFormatting>
  <conditionalFormatting sqref="F884">
    <cfRule type="cellIs" dxfId="1" priority="1945" operator="equal">
      <formula>0</formula>
    </cfRule>
  </conditionalFormatting>
  <conditionalFormatting sqref="F886">
    <cfRule type="cellIs" dxfId="1" priority="1955" operator="equal">
      <formula>0</formula>
    </cfRule>
  </conditionalFormatting>
  <conditionalFormatting sqref="F887">
    <cfRule type="cellIs" dxfId="1" priority="1959" operator="equal">
      <formula>0</formula>
    </cfRule>
  </conditionalFormatting>
  <conditionalFormatting sqref="F888">
    <cfRule type="cellIs" dxfId="1" priority="1963" operator="equal">
      <formula>0</formula>
    </cfRule>
  </conditionalFormatting>
  <conditionalFormatting sqref="F912">
    <cfRule type="expression" dxfId="0" priority="1988">
      <formula>F913=0</formula>
    </cfRule>
  </conditionalFormatting>
  <conditionalFormatting sqref="F913">
    <cfRule type="cellIs" dxfId="1" priority="1992" operator="equal">
      <formula>0</formula>
    </cfRule>
  </conditionalFormatting>
  <conditionalFormatting sqref="F914">
    <cfRule type="cellIs" dxfId="1" priority="1996" operator="equal">
      <formula>0</formula>
    </cfRule>
  </conditionalFormatting>
  <conditionalFormatting sqref="F930">
    <cfRule type="expression" dxfId="0" priority="2006">
      <formula>F931=0</formula>
    </cfRule>
  </conditionalFormatting>
  <conditionalFormatting sqref="F931">
    <cfRule type="cellIs" dxfId="1" priority="2010" operator="equal">
      <formula>0</formula>
    </cfRule>
  </conditionalFormatting>
  <conditionalFormatting sqref="F932">
    <cfRule type="cellIs" dxfId="1" priority="2014" operator="equal">
      <formula>0</formula>
    </cfRule>
  </conditionalFormatting>
  <conditionalFormatting sqref="F948">
    <cfRule type="expression" dxfId="0" priority="2024">
      <formula>F949=0</formula>
    </cfRule>
  </conditionalFormatting>
  <conditionalFormatting sqref="F949">
    <cfRule type="cellIs" dxfId="1" priority="2034" operator="equal">
      <formula>0</formula>
    </cfRule>
  </conditionalFormatting>
  <conditionalFormatting sqref="F951">
    <cfRule type="cellIs" dxfId="1" priority="2046" operator="equal">
      <formula>0</formula>
    </cfRule>
  </conditionalFormatting>
  <conditionalFormatting sqref="F953">
    <cfRule type="cellIs" dxfId="1" priority="2054" operator="equal">
      <formula>0</formula>
    </cfRule>
  </conditionalFormatting>
  <conditionalFormatting sqref="F955">
    <cfRule type="cellIs" dxfId="1" priority="2061" operator="equal">
      <formula>0</formula>
    </cfRule>
  </conditionalFormatting>
  <conditionalFormatting sqref="F959">
    <cfRule type="expression" dxfId="0" priority="2074">
      <formula>F960=0</formula>
    </cfRule>
  </conditionalFormatting>
  <conditionalFormatting sqref="F960">
    <cfRule type="cellIs" dxfId="1" priority="2079" operator="equal">
      <formula>0</formula>
    </cfRule>
  </conditionalFormatting>
  <conditionalFormatting sqref="F964">
    <cfRule type="cellIs" dxfId="1" priority="2085" operator="equal">
      <formula>0</formula>
    </cfRule>
  </conditionalFormatting>
  <conditionalFormatting sqref="F987">
    <cfRule type="expression" dxfId="0" priority="2112">
      <formula>F988=0</formula>
    </cfRule>
  </conditionalFormatting>
  <conditionalFormatting sqref="F988">
    <cfRule type="cellIs" dxfId="1" priority="2121" operator="equal">
      <formula>0</formula>
    </cfRule>
  </conditionalFormatting>
  <conditionalFormatting sqref="F989">
    <cfRule type="cellIs" dxfId="1" priority="2130" operator="equal">
      <formula>0</formula>
    </cfRule>
  </conditionalFormatting>
  <conditionalFormatting sqref="F990">
    <cfRule type="cellIs" dxfId="1" priority="2134" operator="equal">
      <formula>0</formula>
    </cfRule>
  </conditionalFormatting>
  <conditionalFormatting sqref="F991">
    <cfRule type="cellIs" dxfId="1" priority="2137" operator="equal">
      <formula>0</formula>
    </cfRule>
  </conditionalFormatting>
  <conditionalFormatting sqref="F993">
    <cfRule type="cellIs" dxfId="1" priority="2147" operator="equal">
      <formula>0</formula>
    </cfRule>
  </conditionalFormatting>
  <conditionalFormatting sqref="F994">
    <cfRule type="cellIs" dxfId="1" priority="2152" operator="equal">
      <formula>0</formula>
    </cfRule>
  </conditionalFormatting>
  <conditionalFormatting sqref="G1065">
    <cfRule type="expression" dxfId="0" priority="2253">
      <formula>G1066=0</formula>
    </cfRule>
  </conditionalFormatting>
  <conditionalFormatting sqref="G1066">
    <cfRule type="cellIs" dxfId="1" priority="2259" operator="equal">
      <formula>0</formula>
    </cfRule>
  </conditionalFormatting>
  <conditionalFormatting sqref="G1067">
    <cfRule type="cellIs" dxfId="1" priority="2265" operator="equal">
      <formula>0</formula>
    </cfRule>
  </conditionalFormatting>
  <conditionalFormatting sqref="G1083">
    <cfRule type="expression" dxfId="0" priority="2277">
      <formula>G1084=0</formula>
    </cfRule>
  </conditionalFormatting>
  <conditionalFormatting sqref="G1084">
    <cfRule type="cellIs" dxfId="1" priority="2288" operator="equal">
      <formula>0</formula>
    </cfRule>
  </conditionalFormatting>
  <conditionalFormatting sqref="G1100">
    <cfRule type="cellIs" dxfId="1" priority="2358" operator="equal">
      <formula>0</formula>
    </cfRule>
  </conditionalFormatting>
  <conditionalFormatting sqref="G1101">
    <cfRule type="cellIs" dxfId="1" priority="2363" operator="equal">
      <formula>0</formula>
    </cfRule>
  </conditionalFormatting>
  <conditionalFormatting sqref="G1102">
    <cfRule type="cellIs" dxfId="1" priority="2368" operator="equal">
      <formula>0</formula>
    </cfRule>
  </conditionalFormatting>
  <conditionalFormatting sqref="G1113">
    <cfRule type="expression" dxfId="0" priority="2410">
      <formula>G1114=0</formula>
    </cfRule>
  </conditionalFormatting>
  <conditionalFormatting sqref="G1114">
    <cfRule type="cellIs" dxfId="1" priority="2420" operator="equal">
      <formula>0</formula>
    </cfRule>
  </conditionalFormatting>
  <conditionalFormatting sqref="G1118">
    <cfRule type="cellIs" dxfId="1" priority="2433" operator="equal">
      <formula>0</formula>
    </cfRule>
  </conditionalFormatting>
  <conditionalFormatting sqref="G1122">
    <cfRule type="cellIs" dxfId="1" priority="2441" operator="equal">
      <formula>0</formula>
    </cfRule>
  </conditionalFormatting>
  <conditionalFormatting sqref="G1129">
    <cfRule type="cellIs" dxfId="1" priority="2454" operator="equal">
      <formula>0</formula>
    </cfRule>
  </conditionalFormatting>
  <conditionalFormatting sqref="G1138">
    <cfRule type="cellIs" dxfId="1" priority="2470" operator="equal">
      <formula>0</formula>
    </cfRule>
  </conditionalFormatting>
  <conditionalFormatting sqref="G1140">
    <cfRule type="cellIs" dxfId="1" priority="2474" operator="equal">
      <formula>0</formula>
    </cfRule>
  </conditionalFormatting>
  <conditionalFormatting sqref="G1143">
    <cfRule type="expression" dxfId="0" priority="2481">
      <formula>G1144=0</formula>
    </cfRule>
  </conditionalFormatting>
  <conditionalFormatting sqref="G1144">
    <cfRule type="cellIs" dxfId="1" priority="2487" operator="equal">
      <formula>0</formula>
    </cfRule>
  </conditionalFormatting>
  <conditionalFormatting sqref="G1165">
    <cfRule type="cellIs" dxfId="1" priority="2510" operator="equal">
      <formula>0</formula>
    </cfRule>
  </conditionalFormatting>
  <conditionalFormatting sqref="G1167">
    <cfRule type="cellIs" dxfId="1" priority="2513" operator="equal">
      <formula>0</formula>
    </cfRule>
  </conditionalFormatting>
  <conditionalFormatting sqref="G1169">
    <cfRule type="cellIs" dxfId="1" priority="2515" operator="equal">
      <formula>0</formula>
    </cfRule>
  </conditionalFormatting>
  <conditionalFormatting sqref="G117">
    <cfRule type="expression" dxfId="0" priority="235">
      <formula>G118=0</formula>
    </cfRule>
  </conditionalFormatting>
  <conditionalFormatting sqref="G1179">
    <cfRule type="expression" dxfId="0" priority="2524">
      <formula>G1180=0</formula>
    </cfRule>
  </conditionalFormatting>
  <conditionalFormatting sqref="G118">
    <cfRule type="cellIs" dxfId="1" priority="247" operator="equal">
      <formula>0</formula>
    </cfRule>
  </conditionalFormatting>
  <conditionalFormatting sqref="G1180">
    <cfRule type="cellIs" dxfId="1" priority="2529" operator="equal">
      <formula>0</formula>
    </cfRule>
  </conditionalFormatting>
  <conditionalFormatting sqref="G1181">
    <cfRule type="cellIs" dxfId="1" priority="2534" operator="equal">
      <formula>0</formula>
    </cfRule>
  </conditionalFormatting>
  <conditionalFormatting sqref="G1197">
    <cfRule type="expression" dxfId="0" priority="2551">
      <formula>G1198=0</formula>
    </cfRule>
  </conditionalFormatting>
  <conditionalFormatting sqref="G1198">
    <cfRule type="cellIs" dxfId="1" priority="2561" operator="equal">
      <formula>0</formula>
    </cfRule>
  </conditionalFormatting>
  <conditionalFormatting sqref="G1201">
    <cfRule type="cellIs" dxfId="1" priority="2575" operator="equal">
      <formula>0</formula>
    </cfRule>
  </conditionalFormatting>
  <conditionalFormatting sqref="G1205">
    <cfRule type="cellIs" dxfId="1" priority="2591" operator="equal">
      <formula>0</formula>
    </cfRule>
  </conditionalFormatting>
  <conditionalFormatting sqref="G1207">
    <cfRule type="expression" dxfId="0" priority="2597">
      <formula>G1208=0</formula>
    </cfRule>
  </conditionalFormatting>
  <conditionalFormatting sqref="G1208">
    <cfRule type="cellIs" dxfId="1" priority="2602" operator="equal">
      <formula>0</formula>
    </cfRule>
  </conditionalFormatting>
  <conditionalFormatting sqref="G121">
    <cfRule type="cellIs" dxfId="1" priority="266" operator="equal">
      <formula>0</formula>
    </cfRule>
  </conditionalFormatting>
  <conditionalFormatting sqref="G1214">
    <cfRule type="cellIs" dxfId="1" priority="2609" operator="equal">
      <formula>0</formula>
    </cfRule>
  </conditionalFormatting>
  <conditionalFormatting sqref="G1233">
    <cfRule type="expression" dxfId="0" priority="2627">
      <formula>G1234=0</formula>
    </cfRule>
  </conditionalFormatting>
  <conditionalFormatting sqref="G1234">
    <cfRule type="cellIs" dxfId="1" priority="2632" operator="equal">
      <formula>0</formula>
    </cfRule>
  </conditionalFormatting>
  <conditionalFormatting sqref="G1241">
    <cfRule type="cellIs" dxfId="1" priority="2660" operator="equal">
      <formula>0</formula>
    </cfRule>
  </conditionalFormatting>
  <conditionalFormatting sqref="G1246">
    <cfRule type="expression" dxfId="0" priority="2677">
      <formula>G1247=0</formula>
    </cfRule>
  </conditionalFormatting>
  <conditionalFormatting sqref="G1247">
    <cfRule type="cellIs" dxfId="1" priority="2685" operator="equal">
      <formula>0</formula>
    </cfRule>
  </conditionalFormatting>
  <conditionalFormatting sqref="G1250">
    <cfRule type="cellIs" dxfId="1" priority="2694" operator="equal">
      <formula>0</formula>
    </cfRule>
  </conditionalFormatting>
  <conditionalFormatting sqref="G1255">
    <cfRule type="cellIs" dxfId="1" priority="2703" operator="equal">
      <formula>0</formula>
    </cfRule>
  </conditionalFormatting>
  <conditionalFormatting sqref="G1278">
    <cfRule type="expression" dxfId="0" priority="2727">
      <formula>G1279=0</formula>
    </cfRule>
  </conditionalFormatting>
  <conditionalFormatting sqref="G1279">
    <cfRule type="cellIs" dxfId="1" priority="2734" operator="equal">
      <formula>0</formula>
    </cfRule>
  </conditionalFormatting>
  <conditionalFormatting sqref="G1282">
    <cfRule type="cellIs" dxfId="1" priority="2750" operator="equal">
      <formula>0</formula>
    </cfRule>
  </conditionalFormatting>
  <conditionalFormatting sqref="G1283">
    <cfRule type="cellIs" dxfId="1" priority="2755" operator="equal">
      <formula>0</formula>
    </cfRule>
  </conditionalFormatting>
  <conditionalFormatting sqref="G1305">
    <cfRule type="expression" dxfId="0" priority="2782">
      <formula>G1306=0</formula>
    </cfRule>
  </conditionalFormatting>
  <conditionalFormatting sqref="G1306">
    <cfRule type="cellIs" dxfId="1" priority="2789" operator="equal">
      <formula>0</formula>
    </cfRule>
  </conditionalFormatting>
  <conditionalFormatting sqref="G1308">
    <cfRule type="cellIs" dxfId="1" priority="2801" operator="equal">
      <formula>0</formula>
    </cfRule>
  </conditionalFormatting>
  <conditionalFormatting sqref="G1309">
    <cfRule type="cellIs" dxfId="1" priority="2806" operator="equal">
      <formula>0</formula>
    </cfRule>
  </conditionalFormatting>
  <conditionalFormatting sqref="G1335">
    <cfRule type="expression" dxfId="0" priority="2849">
      <formula>G1336=0</formula>
    </cfRule>
  </conditionalFormatting>
  <conditionalFormatting sqref="G1336">
    <cfRule type="cellIs" dxfId="1" priority="2856" operator="equal">
      <formula>0</formula>
    </cfRule>
  </conditionalFormatting>
  <conditionalFormatting sqref="G1339">
    <cfRule type="cellIs" dxfId="1" priority="2870" operator="equal">
      <formula>0</formula>
    </cfRule>
  </conditionalFormatting>
  <conditionalFormatting sqref="G1340">
    <cfRule type="cellIs" dxfId="1" priority="2874" operator="equal">
      <formula>0</formula>
    </cfRule>
  </conditionalFormatting>
  <conditionalFormatting sqref="G135">
    <cfRule type="cellIs" dxfId="1" priority="327" operator="equal">
      <formula>0</formula>
    </cfRule>
  </conditionalFormatting>
  <conditionalFormatting sqref="G1362">
    <cfRule type="expression" dxfId="0" priority="2908">
      <formula>G1363=0</formula>
    </cfRule>
  </conditionalFormatting>
  <conditionalFormatting sqref="G1363">
    <cfRule type="cellIs" dxfId="1" priority="2915" operator="equal">
      <formula>0</formula>
    </cfRule>
  </conditionalFormatting>
  <conditionalFormatting sqref="G1364">
    <cfRule type="cellIs" dxfId="1" priority="2919" operator="equal">
      <formula>0</formula>
    </cfRule>
  </conditionalFormatting>
  <conditionalFormatting sqref="G1365">
    <cfRule type="cellIs" dxfId="1" priority="2926" operator="equal">
      <formula>0</formula>
    </cfRule>
  </conditionalFormatting>
  <conditionalFormatting sqref="G138">
    <cfRule type="cellIs" dxfId="1" priority="341" operator="equal">
      <formula>0</formula>
    </cfRule>
  </conditionalFormatting>
  <conditionalFormatting sqref="G1386">
    <cfRule type="expression" dxfId="0" priority="2957">
      <formula>G1387=0</formula>
    </cfRule>
  </conditionalFormatting>
  <conditionalFormatting sqref="G1387">
    <cfRule type="cellIs" dxfId="1" priority="2965" operator="equal">
      <formula>0</formula>
    </cfRule>
  </conditionalFormatting>
  <conditionalFormatting sqref="G139">
    <cfRule type="cellIs" dxfId="1" priority="347" operator="equal">
      <formula>0</formula>
    </cfRule>
  </conditionalFormatting>
  <conditionalFormatting sqref="G1390">
    <cfRule type="cellIs" dxfId="1" priority="2981" operator="equal">
      <formula>0</formula>
    </cfRule>
  </conditionalFormatting>
  <conditionalFormatting sqref="G1392">
    <cfRule type="cellIs" dxfId="1" priority="2989" operator="equal">
      <formula>0</formula>
    </cfRule>
  </conditionalFormatting>
  <conditionalFormatting sqref="G1393">
    <cfRule type="cellIs" dxfId="1" priority="2993" operator="equal">
      <formula>0</formula>
    </cfRule>
  </conditionalFormatting>
  <conditionalFormatting sqref="G1396">
    <cfRule type="expression" dxfId="0" priority="3004">
      <formula>G1397=0</formula>
    </cfRule>
  </conditionalFormatting>
  <conditionalFormatting sqref="G1397">
    <cfRule type="cellIs" dxfId="1" priority="3010" operator="equal">
      <formula>0</formula>
    </cfRule>
  </conditionalFormatting>
  <conditionalFormatting sqref="G140">
    <cfRule type="cellIs" dxfId="1" priority="351" operator="equal">
      <formula>0</formula>
    </cfRule>
  </conditionalFormatting>
  <conditionalFormatting sqref="G1404">
    <cfRule type="cellIs" dxfId="1" priority="3023" operator="equal">
      <formula>0</formula>
    </cfRule>
  </conditionalFormatting>
  <conditionalFormatting sqref="G141">
    <cfRule type="cellIs" dxfId="1" priority="355" operator="equal">
      <formula>0</formula>
    </cfRule>
  </conditionalFormatting>
  <conditionalFormatting sqref="G142">
    <cfRule type="cellIs" dxfId="1" priority="360" operator="equal">
      <formula>0</formula>
    </cfRule>
  </conditionalFormatting>
  <conditionalFormatting sqref="G1422">
    <cfRule type="expression" dxfId="0" priority="3041">
      <formula>G1423=0</formula>
    </cfRule>
  </conditionalFormatting>
  <conditionalFormatting sqref="G1423">
    <cfRule type="cellIs" dxfId="1" priority="3052" operator="equal">
      <formula>0</formula>
    </cfRule>
  </conditionalFormatting>
  <conditionalFormatting sqref="G1425">
    <cfRule type="cellIs" dxfId="1" priority="3065" operator="equal">
      <formula>0</formula>
    </cfRule>
  </conditionalFormatting>
  <conditionalFormatting sqref="G1426">
    <cfRule type="cellIs" dxfId="1" priority="3069" operator="equal">
      <formula>0</formula>
    </cfRule>
  </conditionalFormatting>
  <conditionalFormatting sqref="G1427">
    <cfRule type="cellIs" dxfId="1" priority="3073" operator="equal">
      <formula>0</formula>
    </cfRule>
  </conditionalFormatting>
  <conditionalFormatting sqref="G1429">
    <cfRule type="cellIs" dxfId="1" priority="3085" operator="equal">
      <formula>0</formula>
    </cfRule>
  </conditionalFormatting>
  <conditionalFormatting sqref="G1430">
    <cfRule type="cellIs" dxfId="1" priority="3090" operator="equal">
      <formula>0</formula>
    </cfRule>
  </conditionalFormatting>
  <conditionalFormatting sqref="G1431">
    <cfRule type="cellIs" dxfId="1" priority="3094" operator="equal">
      <formula>0</formula>
    </cfRule>
  </conditionalFormatting>
  <conditionalFormatting sqref="G1435">
    <cfRule type="cellIs" dxfId="1" priority="3113" operator="equal">
      <formula>0</formula>
    </cfRule>
  </conditionalFormatting>
  <conditionalFormatting sqref="G1438">
    <cfRule type="cellIs" dxfId="1" priority="3125" operator="equal">
      <formula>0</formula>
    </cfRule>
  </conditionalFormatting>
  <conditionalFormatting sqref="G144">
    <cfRule type="expression" dxfId="0" priority="367">
      <formula>G145=0</formula>
    </cfRule>
  </conditionalFormatting>
  <conditionalFormatting sqref="G1443">
    <cfRule type="expression" dxfId="0" priority="3146">
      <formula>G1444=0</formula>
    </cfRule>
  </conditionalFormatting>
  <conditionalFormatting sqref="G1444">
    <cfRule type="cellIs" dxfId="1" priority="3153" operator="equal">
      <formula>0</formula>
    </cfRule>
  </conditionalFormatting>
  <conditionalFormatting sqref="G1449">
    <cfRule type="cellIs" dxfId="1" priority="3162" operator="equal">
      <formula>0</formula>
    </cfRule>
  </conditionalFormatting>
  <conditionalFormatting sqref="G145">
    <cfRule type="cellIs" dxfId="1" priority="375" operator="equal">
      <formula>0</formula>
    </cfRule>
  </conditionalFormatting>
  <conditionalFormatting sqref="G1461">
    <cfRule type="cellIs" dxfId="1" priority="3183" operator="equal">
      <formula>0</formula>
    </cfRule>
  </conditionalFormatting>
  <conditionalFormatting sqref="G1491">
    <cfRule type="expression" dxfId="0" priority="3214">
      <formula>G1492=0</formula>
    </cfRule>
  </conditionalFormatting>
  <conditionalFormatting sqref="G1492">
    <cfRule type="cellIs" dxfId="1" priority="3221" operator="equal">
      <formula>0</formula>
    </cfRule>
  </conditionalFormatting>
  <conditionalFormatting sqref="G1494">
    <cfRule type="cellIs" dxfId="1" priority="3232" operator="equal">
      <formula>0</formula>
    </cfRule>
  </conditionalFormatting>
  <conditionalFormatting sqref="G1495">
    <cfRule type="cellIs" dxfId="1" priority="3237" operator="equal">
      <formula>0</formula>
    </cfRule>
  </conditionalFormatting>
  <conditionalFormatting sqref="G1521">
    <cfRule type="expression" dxfId="0" priority="3281">
      <formula>G1522=0</formula>
    </cfRule>
  </conditionalFormatting>
  <conditionalFormatting sqref="G1522">
    <cfRule type="cellIs" dxfId="1" priority="3287" operator="equal">
      <formula>0</formula>
    </cfRule>
  </conditionalFormatting>
  <conditionalFormatting sqref="G1524">
    <cfRule type="cellIs" dxfId="1" priority="3297" operator="equal">
      <formula>0</formula>
    </cfRule>
  </conditionalFormatting>
  <conditionalFormatting sqref="G153">
    <cfRule type="cellIs" dxfId="1" priority="390" operator="equal">
      <formula>0</formula>
    </cfRule>
  </conditionalFormatting>
  <conditionalFormatting sqref="G1554">
    <cfRule type="expression" dxfId="0" priority="3341">
      <formula>G1555=0</formula>
    </cfRule>
  </conditionalFormatting>
  <conditionalFormatting sqref="G1555">
    <cfRule type="cellIs" dxfId="1" priority="3352" operator="equal">
      <formula>0</formula>
    </cfRule>
  </conditionalFormatting>
  <conditionalFormatting sqref="G1559">
    <cfRule type="cellIs" dxfId="1" priority="3372" operator="equal">
      <formula>0</formula>
    </cfRule>
  </conditionalFormatting>
  <conditionalFormatting sqref="G1562">
    <cfRule type="cellIs" dxfId="1" priority="3387" operator="equal">
      <formula>0</formula>
    </cfRule>
  </conditionalFormatting>
  <conditionalFormatting sqref="G1567">
    <cfRule type="cellIs" dxfId="1" priority="3408" operator="equal">
      <formula>0</formula>
    </cfRule>
  </conditionalFormatting>
  <conditionalFormatting sqref="G1568">
    <cfRule type="cellIs" dxfId="1" priority="3413" operator="equal">
      <formula>0</formula>
    </cfRule>
  </conditionalFormatting>
  <conditionalFormatting sqref="G1573">
    <cfRule type="expression" dxfId="0" priority="3432">
      <formula>G1574=0</formula>
    </cfRule>
  </conditionalFormatting>
  <conditionalFormatting sqref="G1574">
    <cfRule type="cellIs" dxfId="1" priority="3439" operator="equal">
      <formula>0</formula>
    </cfRule>
  </conditionalFormatting>
  <conditionalFormatting sqref="G1581">
    <cfRule type="cellIs" dxfId="1" priority="3454" operator="equal">
      <formula>0</formula>
    </cfRule>
  </conditionalFormatting>
  <conditionalFormatting sqref="G1644">
    <cfRule type="expression" dxfId="0" priority="3549">
      <formula>G1645=0</formula>
    </cfRule>
  </conditionalFormatting>
  <conditionalFormatting sqref="G1645">
    <cfRule type="cellIs" dxfId="1" priority="3558" operator="equal">
      <formula>0</formula>
    </cfRule>
  </conditionalFormatting>
  <conditionalFormatting sqref="G1648">
    <cfRule type="cellIs" dxfId="1" priority="3573" operator="equal">
      <formula>0</formula>
    </cfRule>
  </conditionalFormatting>
  <conditionalFormatting sqref="G1653">
    <cfRule type="expression" dxfId="0" priority="3593">
      <formula>G1654=0</formula>
    </cfRule>
  </conditionalFormatting>
  <conditionalFormatting sqref="G1654">
    <cfRule type="cellIs" dxfId="1" priority="3600" operator="equal">
      <formula>0</formula>
    </cfRule>
  </conditionalFormatting>
  <conditionalFormatting sqref="G1659">
    <cfRule type="cellIs" dxfId="1" priority="3610" operator="equal">
      <formula>0</formula>
    </cfRule>
  </conditionalFormatting>
  <conditionalFormatting sqref="G166">
    <cfRule type="cellIs" dxfId="1" priority="411" operator="equal">
      <formula>0</formula>
    </cfRule>
  </conditionalFormatting>
  <conditionalFormatting sqref="G1677">
    <cfRule type="expression" dxfId="0" priority="3631">
      <formula>G1678=0</formula>
    </cfRule>
  </conditionalFormatting>
  <conditionalFormatting sqref="G1678">
    <cfRule type="cellIs" dxfId="1" priority="3637" operator="equal">
      <formula>0</formula>
    </cfRule>
  </conditionalFormatting>
  <conditionalFormatting sqref="G1680">
    <cfRule type="cellIs" dxfId="1" priority="3644" operator="equal">
      <formula>0</formula>
    </cfRule>
  </conditionalFormatting>
  <conditionalFormatting sqref="G1682">
    <cfRule type="cellIs" dxfId="1" priority="3654" operator="equal">
      <formula>0</formula>
    </cfRule>
  </conditionalFormatting>
  <conditionalFormatting sqref="G1710">
    <cfRule type="expression" dxfId="0" priority="3689">
      <formula>G1711=0</formula>
    </cfRule>
  </conditionalFormatting>
  <conditionalFormatting sqref="G1711">
    <cfRule type="cellIs" dxfId="1" priority="3694" operator="equal">
      <formula>0</formula>
    </cfRule>
  </conditionalFormatting>
  <conditionalFormatting sqref="G1712">
    <cfRule type="cellIs" dxfId="1" priority="3699" operator="equal">
      <formula>0</formula>
    </cfRule>
  </conditionalFormatting>
  <conditionalFormatting sqref="G1731">
    <cfRule type="expression" dxfId="0" priority="3720">
      <formula>G1732=0</formula>
    </cfRule>
  </conditionalFormatting>
  <conditionalFormatting sqref="G1732">
    <cfRule type="cellIs" dxfId="1" priority="3725" operator="equal">
      <formula>0</formula>
    </cfRule>
  </conditionalFormatting>
  <conditionalFormatting sqref="G1733">
    <cfRule type="cellIs" dxfId="1" priority="3730" operator="equal">
      <formula>0</formula>
    </cfRule>
  </conditionalFormatting>
  <conditionalFormatting sqref="G1734">
    <cfRule type="cellIs" dxfId="1" priority="3735" operator="equal">
      <formula>0</formula>
    </cfRule>
  </conditionalFormatting>
  <conditionalFormatting sqref="G1752">
    <cfRule type="expression" dxfId="0" priority="3748">
      <formula>G1753=0</formula>
    </cfRule>
  </conditionalFormatting>
  <conditionalFormatting sqref="G1753">
    <cfRule type="cellIs" dxfId="1" priority="3754" operator="equal">
      <formula>0</formula>
    </cfRule>
  </conditionalFormatting>
  <conditionalFormatting sqref="G1755">
    <cfRule type="cellIs" dxfId="1" priority="3765" operator="equal">
      <formula>0</formula>
    </cfRule>
  </conditionalFormatting>
  <conditionalFormatting sqref="G1782">
    <cfRule type="expression" dxfId="0" priority="3801">
      <formula>G1783=0</formula>
    </cfRule>
  </conditionalFormatting>
  <conditionalFormatting sqref="G1783">
    <cfRule type="cellIs" dxfId="1" priority="3809" operator="equal">
      <formula>0</formula>
    </cfRule>
  </conditionalFormatting>
  <conditionalFormatting sqref="G1792">
    <cfRule type="cellIs" dxfId="1" priority="3850" operator="equal">
      <formula>0</formula>
    </cfRule>
  </conditionalFormatting>
  <conditionalFormatting sqref="G1793">
    <cfRule type="cellIs" dxfId="1" priority="3853" operator="equal">
      <formula>0</formula>
    </cfRule>
  </conditionalFormatting>
  <conditionalFormatting sqref="G1795">
    <cfRule type="cellIs" dxfId="1" priority="3861" operator="equal">
      <formula>0</formula>
    </cfRule>
  </conditionalFormatting>
  <conditionalFormatting sqref="G1798">
    <cfRule type="cellIs" dxfId="1" priority="3874" operator="equal">
      <formula>0</formula>
    </cfRule>
  </conditionalFormatting>
  <conditionalFormatting sqref="G1799">
    <cfRule type="cellIs" dxfId="1" priority="3878" operator="equal">
      <formula>0</formula>
    </cfRule>
  </conditionalFormatting>
  <conditionalFormatting sqref="G1801">
    <cfRule type="expression" dxfId="0" priority="3884">
      <formula>G1802=0</formula>
    </cfRule>
  </conditionalFormatting>
  <conditionalFormatting sqref="G1802">
    <cfRule type="cellIs" dxfId="1" priority="3889" operator="equal">
      <formula>0</formula>
    </cfRule>
  </conditionalFormatting>
  <conditionalFormatting sqref="G1805">
    <cfRule type="cellIs" dxfId="1" priority="3895" operator="equal">
      <formula>0</formula>
    </cfRule>
  </conditionalFormatting>
  <conditionalFormatting sqref="G1810">
    <cfRule type="cellIs" dxfId="1" priority="3904" operator="equal">
      <formula>0</formula>
    </cfRule>
  </conditionalFormatting>
  <conditionalFormatting sqref="G1811">
    <cfRule type="cellIs" dxfId="1" priority="3906" operator="equal">
      <formula>0</formula>
    </cfRule>
  </conditionalFormatting>
  <conditionalFormatting sqref="G1814">
    <cfRule type="cellIs" dxfId="1" priority="3912" operator="equal">
      <formula>0</formula>
    </cfRule>
  </conditionalFormatting>
  <conditionalFormatting sqref="G1845">
    <cfRule type="expression" dxfId="0" priority="3956">
      <formula>G1846=0</formula>
    </cfRule>
  </conditionalFormatting>
  <conditionalFormatting sqref="G1846">
    <cfRule type="cellIs" dxfId="1" priority="3962" operator="equal">
      <formula>0</formula>
    </cfRule>
  </conditionalFormatting>
  <conditionalFormatting sqref="G1849">
    <cfRule type="cellIs" dxfId="1" priority="3977" operator="equal">
      <formula>0</formula>
    </cfRule>
  </conditionalFormatting>
  <conditionalFormatting sqref="G1852">
    <cfRule type="expression" dxfId="0" priority="3986">
      <formula>G1853=0</formula>
    </cfRule>
  </conditionalFormatting>
  <conditionalFormatting sqref="G1853">
    <cfRule type="cellIs" dxfId="1" priority="3991" operator="equal">
      <formula>0</formula>
    </cfRule>
  </conditionalFormatting>
  <conditionalFormatting sqref="G1857">
    <cfRule type="cellIs" dxfId="1" priority="3999" operator="equal">
      <formula>0</formula>
    </cfRule>
  </conditionalFormatting>
  <conditionalFormatting sqref="G1890">
    <cfRule type="expression" dxfId="0" priority="4031">
      <formula>G1891=0</formula>
    </cfRule>
  </conditionalFormatting>
  <conditionalFormatting sqref="G1891">
    <cfRule type="cellIs" dxfId="1" priority="4038" operator="equal">
      <formula>0</formula>
    </cfRule>
  </conditionalFormatting>
  <conditionalFormatting sqref="G1893">
    <cfRule type="cellIs" dxfId="1" priority="4046" operator="equal">
      <formula>0</formula>
    </cfRule>
  </conditionalFormatting>
  <conditionalFormatting sqref="G1898">
    <cfRule type="cellIs" dxfId="1" priority="4069" operator="equal">
      <formula>0</formula>
    </cfRule>
  </conditionalFormatting>
  <conditionalFormatting sqref="G1926">
    <cfRule type="expression" dxfId="0" priority="4098">
      <formula>G1927=0</formula>
    </cfRule>
  </conditionalFormatting>
  <conditionalFormatting sqref="G1927">
    <cfRule type="cellIs" dxfId="1" priority="4104" operator="equal">
      <formula>0</formula>
    </cfRule>
  </conditionalFormatting>
  <conditionalFormatting sqref="G1929">
    <cfRule type="cellIs" dxfId="1" priority="4114" operator="equal">
      <formula>0</formula>
    </cfRule>
  </conditionalFormatting>
  <conditionalFormatting sqref="G1959">
    <cfRule type="expression" dxfId="0" priority="4157">
      <formula>G1960=0</formula>
    </cfRule>
  </conditionalFormatting>
  <conditionalFormatting sqref="G1960">
    <cfRule type="cellIs" dxfId="1" priority="4164" operator="equal">
      <formula>0</formula>
    </cfRule>
  </conditionalFormatting>
  <conditionalFormatting sqref="G1964">
    <cfRule type="cellIs" dxfId="1" priority="4181" operator="equal">
      <formula>0</formula>
    </cfRule>
  </conditionalFormatting>
  <conditionalFormatting sqref="G1965">
    <cfRule type="cellIs" dxfId="1" priority="4187" operator="equal">
      <formula>0</formula>
    </cfRule>
  </conditionalFormatting>
  <conditionalFormatting sqref="G1995">
    <cfRule type="expression" dxfId="0" priority="4224">
      <formula>G1996=0</formula>
    </cfRule>
  </conditionalFormatting>
  <conditionalFormatting sqref="G1996">
    <cfRule type="cellIs" dxfId="1" priority="4233" operator="equal">
      <formula>0</formula>
    </cfRule>
  </conditionalFormatting>
  <conditionalFormatting sqref="G1998">
    <cfRule type="cellIs" dxfId="1" priority="4245" operator="equal">
      <formula>0</formula>
    </cfRule>
  </conditionalFormatting>
  <conditionalFormatting sqref="G1999">
    <cfRule type="cellIs" dxfId="1" priority="4251" operator="equal">
      <formula>0</formula>
    </cfRule>
  </conditionalFormatting>
  <conditionalFormatting sqref="G2022">
    <cfRule type="expression" dxfId="0" priority="4280">
      <formula>G2023=0</formula>
    </cfRule>
  </conditionalFormatting>
  <conditionalFormatting sqref="G2023">
    <cfRule type="cellIs" dxfId="1" priority="4287" operator="equal">
      <formula>0</formula>
    </cfRule>
  </conditionalFormatting>
  <conditionalFormatting sqref="G2032">
    <cfRule type="cellIs" dxfId="1" priority="4324" operator="equal">
      <formula>0</formula>
    </cfRule>
  </conditionalFormatting>
  <conditionalFormatting sqref="G2033">
    <cfRule type="cellIs" dxfId="1" priority="4329" operator="equal">
      <formula>0</formula>
    </cfRule>
  </conditionalFormatting>
  <conditionalFormatting sqref="G2039">
    <cfRule type="cellIs" dxfId="1" priority="4355" operator="equal">
      <formula>0</formula>
    </cfRule>
  </conditionalFormatting>
  <conditionalFormatting sqref="G204">
    <cfRule type="expression" dxfId="0" priority="457">
      <formula>G205=0</formula>
    </cfRule>
  </conditionalFormatting>
  <conditionalFormatting sqref="G2041">
    <cfRule type="expression" dxfId="0" priority="4360">
      <formula>G2042=0</formula>
    </cfRule>
  </conditionalFormatting>
  <conditionalFormatting sqref="G2042">
    <cfRule type="cellIs" dxfId="1" priority="4369" operator="equal">
      <formula>0</formula>
    </cfRule>
  </conditionalFormatting>
  <conditionalFormatting sqref="G2045">
    <cfRule type="cellIs" dxfId="1" priority="4379" operator="equal">
      <formula>0</formula>
    </cfRule>
  </conditionalFormatting>
  <conditionalFormatting sqref="G205">
    <cfRule type="cellIs" dxfId="1" priority="469" operator="equal">
      <formula>0</formula>
    </cfRule>
  </conditionalFormatting>
  <conditionalFormatting sqref="G2054">
    <cfRule type="cellIs" dxfId="1" priority="4396" operator="equal">
      <formula>0</formula>
    </cfRule>
  </conditionalFormatting>
  <conditionalFormatting sqref="G2055">
    <cfRule type="cellIs" dxfId="1" priority="4398" operator="equal">
      <formula>0</formula>
    </cfRule>
  </conditionalFormatting>
  <conditionalFormatting sqref="G2085">
    <cfRule type="expression" dxfId="0" priority="4433">
      <formula>G2086=0</formula>
    </cfRule>
  </conditionalFormatting>
  <conditionalFormatting sqref="G2086">
    <cfRule type="cellIs" dxfId="1" priority="4442" operator="equal">
      <formula>0</formula>
    </cfRule>
  </conditionalFormatting>
  <conditionalFormatting sqref="G2087">
    <cfRule type="cellIs" dxfId="1" priority="4451" operator="equal">
      <formula>0</formula>
    </cfRule>
  </conditionalFormatting>
  <conditionalFormatting sqref="G2089">
    <cfRule type="cellIs" dxfId="1" priority="4460" operator="equal">
      <formula>0</formula>
    </cfRule>
  </conditionalFormatting>
  <conditionalFormatting sqref="G2093">
    <cfRule type="expression" dxfId="0" priority="4475">
      <formula>G2094=0</formula>
    </cfRule>
  </conditionalFormatting>
  <conditionalFormatting sqref="G2094">
    <cfRule type="cellIs" dxfId="1" priority="4480" operator="equal">
      <formula>0</formula>
    </cfRule>
  </conditionalFormatting>
  <conditionalFormatting sqref="G2099">
    <cfRule type="cellIs" dxfId="1" priority="4488" operator="equal">
      <formula>0</formula>
    </cfRule>
  </conditionalFormatting>
  <conditionalFormatting sqref="G2115">
    <cfRule type="expression" dxfId="0" priority="4500">
      <formula>G2116=0</formula>
    </cfRule>
  </conditionalFormatting>
  <conditionalFormatting sqref="G2116">
    <cfRule type="cellIs" dxfId="1" priority="4507" operator="equal">
      <formula>0</formula>
    </cfRule>
  </conditionalFormatting>
  <conditionalFormatting sqref="G2117">
    <cfRule type="cellIs" dxfId="1" priority="4512" operator="equal">
      <formula>0</formula>
    </cfRule>
  </conditionalFormatting>
  <conditionalFormatting sqref="G2136">
    <cfRule type="expression" dxfId="0" priority="4530">
      <formula>G2137=0</formula>
    </cfRule>
  </conditionalFormatting>
  <conditionalFormatting sqref="G2137">
    <cfRule type="cellIs" dxfId="1" priority="4535" operator="equal">
      <formula>0</formula>
    </cfRule>
  </conditionalFormatting>
  <conditionalFormatting sqref="G2143">
    <cfRule type="cellIs" dxfId="1" priority="4559" operator="equal">
      <formula>0</formula>
    </cfRule>
  </conditionalFormatting>
  <conditionalFormatting sqref="G216">
    <cfRule type="cellIs" dxfId="1" priority="521" operator="equal">
      <formula>0</formula>
    </cfRule>
  </conditionalFormatting>
  <conditionalFormatting sqref="G217">
    <cfRule type="cellIs" dxfId="1" priority="528" operator="equal">
      <formula>0</formula>
    </cfRule>
  </conditionalFormatting>
  <conditionalFormatting sqref="G218">
    <cfRule type="cellIs" dxfId="1" priority="532" operator="equal">
      <formula>0</formula>
    </cfRule>
  </conditionalFormatting>
  <conditionalFormatting sqref="G219">
    <cfRule type="cellIs" dxfId="1" priority="536" operator="equal">
      <formula>0</formula>
    </cfRule>
  </conditionalFormatting>
  <conditionalFormatting sqref="G220">
    <cfRule type="cellIs" dxfId="1" priority="542" operator="equal">
      <formula>0</formula>
    </cfRule>
  </conditionalFormatting>
  <conditionalFormatting sqref="G221">
    <cfRule type="cellIs" dxfId="1" priority="545" operator="equal">
      <formula>0</formula>
    </cfRule>
  </conditionalFormatting>
  <conditionalFormatting sqref="G223">
    <cfRule type="expression" dxfId="0" priority="553">
      <formula>G224=0</formula>
    </cfRule>
  </conditionalFormatting>
  <conditionalFormatting sqref="G2230">
    <cfRule type="expression" dxfId="0" priority="4709">
      <formula>G2231=0</formula>
    </cfRule>
  </conditionalFormatting>
  <conditionalFormatting sqref="G2231">
    <cfRule type="cellIs" dxfId="1" priority="4714" operator="equal">
      <formula>0</formula>
    </cfRule>
  </conditionalFormatting>
  <conditionalFormatting sqref="G2235">
    <cfRule type="cellIs" dxfId="1" priority="4721" operator="equal">
      <formula>0</formula>
    </cfRule>
  </conditionalFormatting>
  <conditionalFormatting sqref="G224">
    <cfRule type="cellIs" dxfId="1" priority="559" operator="equal">
      <formula>0</formula>
    </cfRule>
  </conditionalFormatting>
  <conditionalFormatting sqref="G2250">
    <cfRule type="expression" dxfId="0" priority="4732">
      <formula>G2251=0</formula>
    </cfRule>
  </conditionalFormatting>
  <conditionalFormatting sqref="G2251">
    <cfRule type="cellIs" dxfId="1" priority="4738" operator="equal">
      <formula>0</formula>
    </cfRule>
  </conditionalFormatting>
  <conditionalFormatting sqref="G2252">
    <cfRule type="cellIs" dxfId="1" priority="4744" operator="equal">
      <formula>0</formula>
    </cfRule>
  </conditionalFormatting>
  <conditionalFormatting sqref="G2271">
    <cfRule type="expression" dxfId="0" priority="4764">
      <formula>G2272=0</formula>
    </cfRule>
  </conditionalFormatting>
  <conditionalFormatting sqref="G2272">
    <cfRule type="cellIs" dxfId="1" priority="4770" operator="equal">
      <formula>0</formula>
    </cfRule>
  </conditionalFormatting>
  <conditionalFormatting sqref="G2275">
    <cfRule type="cellIs" dxfId="1" priority="4785" operator="equal">
      <formula>0</formula>
    </cfRule>
  </conditionalFormatting>
  <conditionalFormatting sqref="G2282">
    <cfRule type="cellIs" dxfId="1" priority="4811" operator="equal">
      <formula>0</formula>
    </cfRule>
  </conditionalFormatting>
  <conditionalFormatting sqref="G2284">
    <cfRule type="cellIs" dxfId="1" priority="4819" operator="equal">
      <formula>0</formula>
    </cfRule>
  </conditionalFormatting>
  <conditionalFormatting sqref="G2285">
    <cfRule type="cellIs" dxfId="1" priority="4823" operator="equal">
      <formula>0</formula>
    </cfRule>
  </conditionalFormatting>
  <conditionalFormatting sqref="G2286">
    <cfRule type="cellIs" dxfId="1" priority="4827" operator="equal">
      <formula>0</formula>
    </cfRule>
  </conditionalFormatting>
  <conditionalFormatting sqref="G2287">
    <cfRule type="cellIs" dxfId="1" priority="4833" operator="equal">
      <formula>0</formula>
    </cfRule>
  </conditionalFormatting>
  <conditionalFormatting sqref="G2288">
    <cfRule type="cellIs" dxfId="1" priority="4838" operator="equal">
      <formula>0</formula>
    </cfRule>
  </conditionalFormatting>
  <conditionalFormatting sqref="G2290">
    <cfRule type="expression" dxfId="0" priority="4843">
      <formula>G2291=0</formula>
    </cfRule>
  </conditionalFormatting>
  <conditionalFormatting sqref="G2291">
    <cfRule type="cellIs" dxfId="1" priority="4851" operator="equal">
      <formula>0</formula>
    </cfRule>
  </conditionalFormatting>
  <conditionalFormatting sqref="G2297">
    <cfRule type="cellIs" dxfId="1" priority="4866" operator="equal">
      <formula>0</formula>
    </cfRule>
  </conditionalFormatting>
  <conditionalFormatting sqref="G230">
    <cfRule type="cellIs" dxfId="1" priority="569" operator="equal">
      <formula>0</formula>
    </cfRule>
  </conditionalFormatting>
  <conditionalFormatting sqref="G2334">
    <cfRule type="expression" dxfId="0" priority="4914">
      <formula>G2335=0</formula>
    </cfRule>
  </conditionalFormatting>
  <conditionalFormatting sqref="G2335">
    <cfRule type="cellIs" dxfId="1" priority="4924" operator="equal">
      <formula>0</formula>
    </cfRule>
  </conditionalFormatting>
  <conditionalFormatting sqref="G2340">
    <cfRule type="cellIs" dxfId="1" priority="4949" operator="equal">
      <formula>0</formula>
    </cfRule>
  </conditionalFormatting>
  <conditionalFormatting sqref="G2341">
    <cfRule type="cellIs" dxfId="1" priority="4953" operator="equal">
      <formula>0</formula>
    </cfRule>
  </conditionalFormatting>
  <conditionalFormatting sqref="G2342">
    <cfRule type="cellIs" dxfId="1" priority="4960" operator="equal">
      <formula>0</formula>
    </cfRule>
  </conditionalFormatting>
  <conditionalFormatting sqref="G2347">
    <cfRule type="cellIs" dxfId="1" priority="4984" operator="equal">
      <formula>0</formula>
    </cfRule>
  </conditionalFormatting>
  <conditionalFormatting sqref="G2349">
    <cfRule type="cellIs" dxfId="1" priority="4991" operator="equal">
      <formula>0</formula>
    </cfRule>
  </conditionalFormatting>
  <conditionalFormatting sqref="G2351">
    <cfRule type="expression" dxfId="0" priority="5000">
      <formula>G2352=0</formula>
    </cfRule>
  </conditionalFormatting>
  <conditionalFormatting sqref="G2352">
    <cfRule type="cellIs" dxfId="1" priority="5006" operator="equal">
      <formula>0</formula>
    </cfRule>
  </conditionalFormatting>
  <conditionalFormatting sqref="G2361">
    <cfRule type="cellIs" dxfId="1" priority="5022" operator="equal">
      <formula>0</formula>
    </cfRule>
  </conditionalFormatting>
  <conditionalFormatting sqref="G2391">
    <cfRule type="expression" dxfId="0" priority="5062">
      <formula>G2392=0</formula>
    </cfRule>
  </conditionalFormatting>
  <conditionalFormatting sqref="G2392">
    <cfRule type="cellIs" dxfId="1" priority="5072" operator="equal">
      <formula>0</formula>
    </cfRule>
  </conditionalFormatting>
  <conditionalFormatting sqref="G2397">
    <cfRule type="cellIs" dxfId="1" priority="5094" operator="equal">
      <formula>0</formula>
    </cfRule>
  </conditionalFormatting>
  <conditionalFormatting sqref="G2398">
    <cfRule type="cellIs" dxfId="1" priority="5099" operator="equal">
      <formula>0</formula>
    </cfRule>
  </conditionalFormatting>
  <conditionalFormatting sqref="G2401">
    <cfRule type="cellIs" dxfId="1" priority="5111" operator="equal">
      <formula>0</formula>
    </cfRule>
  </conditionalFormatting>
  <conditionalFormatting sqref="G2404">
    <cfRule type="expression" dxfId="0" priority="5120">
      <formula>G2405=0</formula>
    </cfRule>
  </conditionalFormatting>
  <conditionalFormatting sqref="G2405">
    <cfRule type="cellIs" dxfId="1" priority="5126" operator="equal">
      <formula>0</formula>
    </cfRule>
  </conditionalFormatting>
  <conditionalFormatting sqref="G2411">
    <cfRule type="cellIs" dxfId="1" priority="5135" operator="equal">
      <formula>0</formula>
    </cfRule>
  </conditionalFormatting>
  <conditionalFormatting sqref="G2436">
    <cfRule type="expression" dxfId="0" priority="5168">
      <formula>G2437=0</formula>
    </cfRule>
  </conditionalFormatting>
  <conditionalFormatting sqref="G2437">
    <cfRule type="cellIs" dxfId="1" priority="5173" operator="equal">
      <formula>0</formula>
    </cfRule>
  </conditionalFormatting>
  <conditionalFormatting sqref="G2438">
    <cfRule type="cellIs" dxfId="1" priority="5178" operator="equal">
      <formula>0</formula>
    </cfRule>
  </conditionalFormatting>
  <conditionalFormatting sqref="G2440">
    <cfRule type="cellIs" dxfId="1" priority="5187" operator="equal">
      <formula>0</formula>
    </cfRule>
  </conditionalFormatting>
  <conditionalFormatting sqref="G2463">
    <cfRule type="expression" dxfId="0" priority="5220">
      <formula>G2464=0</formula>
    </cfRule>
  </conditionalFormatting>
  <conditionalFormatting sqref="G2464">
    <cfRule type="cellIs" dxfId="1" priority="5225" operator="equal">
      <formula>0</formula>
    </cfRule>
  </conditionalFormatting>
  <conditionalFormatting sqref="G2475">
    <cfRule type="cellIs" dxfId="1" priority="5269" operator="equal">
      <formula>0</formula>
    </cfRule>
  </conditionalFormatting>
  <conditionalFormatting sqref="G2556">
    <cfRule type="expression" dxfId="0" priority="5387">
      <formula>G2557=0</formula>
    </cfRule>
  </conditionalFormatting>
  <conditionalFormatting sqref="G2557">
    <cfRule type="cellIs" dxfId="1" priority="5397" operator="equal">
      <formula>0</formula>
    </cfRule>
  </conditionalFormatting>
  <conditionalFormatting sqref="G2559">
    <cfRule type="cellIs" dxfId="1" priority="5409" operator="equal">
      <formula>0</formula>
    </cfRule>
  </conditionalFormatting>
  <conditionalFormatting sqref="G2564">
    <cfRule type="cellIs" dxfId="1" priority="5428" operator="equal">
      <formula>0</formula>
    </cfRule>
  </conditionalFormatting>
  <conditionalFormatting sqref="G2567">
    <cfRule type="cellIs" dxfId="1" priority="5439" operator="equal">
      <formula>0</formula>
    </cfRule>
  </conditionalFormatting>
  <conditionalFormatting sqref="G2569">
    <cfRule type="expression" dxfId="0" priority="5445">
      <formula>G2570=0</formula>
    </cfRule>
  </conditionalFormatting>
  <conditionalFormatting sqref="G2570">
    <cfRule type="cellIs" dxfId="1" priority="5452" operator="equal">
      <formula>0</formula>
    </cfRule>
  </conditionalFormatting>
  <conditionalFormatting sqref="G2576">
    <cfRule type="cellIs" dxfId="1" priority="5461" operator="equal">
      <formula>0</formula>
    </cfRule>
  </conditionalFormatting>
  <conditionalFormatting sqref="G2580">
    <cfRule type="cellIs" dxfId="1" priority="5468" operator="equal">
      <formula>0</formula>
    </cfRule>
  </conditionalFormatting>
  <conditionalFormatting sqref="G2601">
    <cfRule type="expression" dxfId="0" priority="5489">
      <formula>G2602=0</formula>
    </cfRule>
  </conditionalFormatting>
  <conditionalFormatting sqref="G2602">
    <cfRule type="cellIs" dxfId="1" priority="5495" operator="equal">
      <formula>0</formula>
    </cfRule>
  </conditionalFormatting>
  <conditionalFormatting sqref="G2603">
    <cfRule type="cellIs" dxfId="1" priority="5501" operator="equal">
      <formula>0</formula>
    </cfRule>
  </conditionalFormatting>
  <conditionalFormatting sqref="G2649">
    <cfRule type="expression" dxfId="0" priority="5563">
      <formula>G2650=0</formula>
    </cfRule>
  </conditionalFormatting>
  <conditionalFormatting sqref="G2650">
    <cfRule type="cellIs" dxfId="1" priority="5570" operator="equal">
      <formula>0</formula>
    </cfRule>
  </conditionalFormatting>
  <conditionalFormatting sqref="G2654">
    <cfRule type="cellIs" dxfId="1" priority="5590" operator="equal">
      <formula>0</formula>
    </cfRule>
  </conditionalFormatting>
  <conditionalFormatting sqref="G2655">
    <cfRule type="cellIs" dxfId="1" priority="5595" operator="equal">
      <formula>0</formula>
    </cfRule>
  </conditionalFormatting>
  <conditionalFormatting sqref="G267">
    <cfRule type="expression" dxfId="0" priority="615">
      <formula>G268=0</formula>
    </cfRule>
  </conditionalFormatting>
  <conditionalFormatting sqref="G2679">
    <cfRule type="expression" dxfId="0" priority="5630">
      <formula>G2680=0</formula>
    </cfRule>
  </conditionalFormatting>
  <conditionalFormatting sqref="G268">
    <cfRule type="cellIs" dxfId="1" priority="627" operator="equal">
      <formula>0</formula>
    </cfRule>
  </conditionalFormatting>
  <conditionalFormatting sqref="G2680">
    <cfRule type="cellIs" dxfId="1" priority="5635" operator="equal">
      <formula>0</formula>
    </cfRule>
  </conditionalFormatting>
  <conditionalFormatting sqref="G2684">
    <cfRule type="cellIs" dxfId="1" priority="5651" operator="equal">
      <formula>0</formula>
    </cfRule>
  </conditionalFormatting>
  <conditionalFormatting sqref="G269">
    <cfRule type="cellIs" dxfId="1" priority="637" operator="equal">
      <formula>0</formula>
    </cfRule>
  </conditionalFormatting>
  <conditionalFormatting sqref="G27">
    <cfRule type="expression" dxfId="0" priority="5">
      <formula>G28=0</formula>
    </cfRule>
  </conditionalFormatting>
  <conditionalFormatting sqref="G2706">
    <cfRule type="expression" dxfId="0" priority="5681">
      <formula>G2707=0</formula>
    </cfRule>
  </conditionalFormatting>
  <conditionalFormatting sqref="G2707">
    <cfRule type="cellIs" dxfId="1" priority="5688" operator="equal">
      <formula>0</formula>
    </cfRule>
  </conditionalFormatting>
  <conditionalFormatting sqref="G2708">
    <cfRule type="cellIs" dxfId="1" priority="5695" operator="equal">
      <formula>0</formula>
    </cfRule>
  </conditionalFormatting>
  <conditionalFormatting sqref="G271">
    <cfRule type="cellIs" dxfId="1" priority="647" operator="equal">
      <formula>0</formula>
    </cfRule>
  </conditionalFormatting>
  <conditionalFormatting sqref="G2710">
    <cfRule type="cellIs" dxfId="1" priority="5701" operator="equal">
      <formula>0</formula>
    </cfRule>
  </conditionalFormatting>
  <conditionalFormatting sqref="G273">
    <cfRule type="cellIs" dxfId="1" priority="657" operator="equal">
      <formula>0</formula>
    </cfRule>
  </conditionalFormatting>
  <conditionalFormatting sqref="G2730">
    <cfRule type="expression" dxfId="0" priority="5723">
      <formula>G2731=0</formula>
    </cfRule>
  </conditionalFormatting>
  <conditionalFormatting sqref="G2731">
    <cfRule type="cellIs" dxfId="1" priority="5730" operator="equal">
      <formula>0</formula>
    </cfRule>
  </conditionalFormatting>
  <conditionalFormatting sqref="G2732">
    <cfRule type="cellIs" dxfId="1" priority="5735" operator="equal">
      <formula>0</formula>
    </cfRule>
  </conditionalFormatting>
  <conditionalFormatting sqref="G274">
    <cfRule type="cellIs" dxfId="1" priority="662" operator="equal">
      <formula>0</formula>
    </cfRule>
  </conditionalFormatting>
  <conditionalFormatting sqref="G275">
    <cfRule type="cellIs" dxfId="1" priority="668" operator="equal">
      <formula>0</formula>
    </cfRule>
  </conditionalFormatting>
  <conditionalFormatting sqref="G276">
    <cfRule type="cellIs" dxfId="1" priority="673" operator="equal">
      <formula>0</formula>
    </cfRule>
  </conditionalFormatting>
  <conditionalFormatting sqref="G277">
    <cfRule type="cellIs" dxfId="1" priority="677" operator="equal">
      <formula>0</formula>
    </cfRule>
  </conditionalFormatting>
  <conditionalFormatting sqref="G28">
    <cfRule type="cellIs" dxfId="1" priority="17" operator="equal">
      <formula>0</formula>
    </cfRule>
  </conditionalFormatting>
  <conditionalFormatting sqref="G29">
    <cfRule type="cellIs" dxfId="1" priority="27" operator="equal">
      <formula>0</formula>
    </cfRule>
  </conditionalFormatting>
  <conditionalFormatting sqref="G293">
    <cfRule type="cellIs" dxfId="1" priority="745" operator="equal">
      <formula>0</formula>
    </cfRule>
  </conditionalFormatting>
  <conditionalFormatting sqref="G295">
    <cfRule type="expression" dxfId="0" priority="752">
      <formula>G296=0</formula>
    </cfRule>
  </conditionalFormatting>
  <conditionalFormatting sqref="G296">
    <cfRule type="cellIs" dxfId="1" priority="760" operator="equal">
      <formula>0</formula>
    </cfRule>
  </conditionalFormatting>
  <conditionalFormatting sqref="G304">
    <cfRule type="cellIs" dxfId="1" priority="775" operator="equal">
      <formula>0</formula>
    </cfRule>
  </conditionalFormatting>
  <conditionalFormatting sqref="G318">
    <cfRule type="cellIs" dxfId="1" priority="798" operator="equal">
      <formula>0</formula>
    </cfRule>
  </conditionalFormatting>
  <conditionalFormatting sqref="G32">
    <cfRule type="cellIs" dxfId="1" priority="40" operator="equal">
      <formula>0</formula>
    </cfRule>
  </conditionalFormatting>
  <conditionalFormatting sqref="G357">
    <cfRule type="expression" dxfId="0" priority="845">
      <formula>G358=0</formula>
    </cfRule>
  </conditionalFormatting>
  <conditionalFormatting sqref="G358">
    <cfRule type="cellIs" dxfId="1" priority="851" operator="equal">
      <formula>0</formula>
    </cfRule>
  </conditionalFormatting>
  <conditionalFormatting sqref="G361">
    <cfRule type="cellIs" dxfId="1" priority="863" operator="equal">
      <formula>0</formula>
    </cfRule>
  </conditionalFormatting>
  <conditionalFormatting sqref="G37">
    <cfRule type="cellIs" dxfId="1" priority="64" operator="equal">
      <formula>0</formula>
    </cfRule>
  </conditionalFormatting>
  <conditionalFormatting sqref="G387">
    <cfRule type="expression" dxfId="0" priority="904">
      <formula>G388=0</formula>
    </cfRule>
  </conditionalFormatting>
  <conditionalFormatting sqref="G388">
    <cfRule type="cellIs" dxfId="1" priority="911" operator="equal">
      <formula>0</formula>
    </cfRule>
  </conditionalFormatting>
  <conditionalFormatting sqref="G390">
    <cfRule type="cellIs" dxfId="1" priority="921" operator="equal">
      <formula>0</formula>
    </cfRule>
  </conditionalFormatting>
  <conditionalFormatting sqref="G391">
    <cfRule type="cellIs" dxfId="1" priority="926" operator="equal">
      <formula>0</formula>
    </cfRule>
  </conditionalFormatting>
  <conditionalFormatting sqref="G429">
    <cfRule type="expression" dxfId="0" priority="963">
      <formula>G430=0</formula>
    </cfRule>
  </conditionalFormatting>
  <conditionalFormatting sqref="G430">
    <cfRule type="cellIs" dxfId="1" priority="973" operator="equal">
      <formula>0</formula>
    </cfRule>
  </conditionalFormatting>
  <conditionalFormatting sqref="G431">
    <cfRule type="cellIs" dxfId="1" priority="981" operator="equal">
      <formula>0</formula>
    </cfRule>
  </conditionalFormatting>
  <conditionalFormatting sqref="G432">
    <cfRule type="cellIs" dxfId="1" priority="988" operator="equal">
      <formula>0</formula>
    </cfRule>
  </conditionalFormatting>
  <conditionalFormatting sqref="G437">
    <cfRule type="cellIs" dxfId="1" priority="1013" operator="equal">
      <formula>0</formula>
    </cfRule>
  </conditionalFormatting>
  <conditionalFormatting sqref="G440">
    <cfRule type="expression" dxfId="0" priority="1022">
      <formula>G441=0</formula>
    </cfRule>
  </conditionalFormatting>
  <conditionalFormatting sqref="G441">
    <cfRule type="cellIs" dxfId="1" priority="1027" operator="equal">
      <formula>0</formula>
    </cfRule>
  </conditionalFormatting>
  <conditionalFormatting sqref="G449">
    <cfRule type="cellIs" dxfId="1" priority="1043" operator="equal">
      <formula>0</formula>
    </cfRule>
  </conditionalFormatting>
  <conditionalFormatting sqref="G45">
    <cfRule type="cellIs" dxfId="1" priority="97" operator="equal">
      <formula>0</formula>
    </cfRule>
  </conditionalFormatting>
  <conditionalFormatting sqref="G468">
    <cfRule type="expression" dxfId="0" priority="1063">
      <formula>G469=0</formula>
    </cfRule>
  </conditionalFormatting>
  <conditionalFormatting sqref="G469">
    <cfRule type="cellIs" dxfId="1" priority="1072" operator="equal">
      <formula>0</formula>
    </cfRule>
  </conditionalFormatting>
  <conditionalFormatting sqref="G475">
    <cfRule type="cellIs" dxfId="1" priority="1101" operator="equal">
      <formula>0</formula>
    </cfRule>
  </conditionalFormatting>
  <conditionalFormatting sqref="G476">
    <cfRule type="cellIs" dxfId="1" priority="1108" operator="equal">
      <formula>0</formula>
    </cfRule>
  </conditionalFormatting>
  <conditionalFormatting sqref="G478">
    <cfRule type="expression" dxfId="0" priority="1113">
      <formula>G479=0</formula>
    </cfRule>
  </conditionalFormatting>
  <conditionalFormatting sqref="G479">
    <cfRule type="cellIs" dxfId="1" priority="1119" operator="equal">
      <formula>0</formula>
    </cfRule>
  </conditionalFormatting>
  <conditionalFormatting sqref="G48">
    <cfRule type="cellIs" dxfId="1" priority="111" operator="equal">
      <formula>0</formula>
    </cfRule>
  </conditionalFormatting>
  <conditionalFormatting sqref="G485">
    <cfRule type="cellIs" dxfId="1" priority="1129" operator="equal">
      <formula>0</formula>
    </cfRule>
  </conditionalFormatting>
  <conditionalFormatting sqref="G49">
    <cfRule type="cellIs" dxfId="1" priority="117" operator="equal">
      <formula>0</formula>
    </cfRule>
  </conditionalFormatting>
  <conditionalFormatting sqref="G50">
    <cfRule type="cellIs" dxfId="1" priority="122" operator="equal">
      <formula>0</formula>
    </cfRule>
  </conditionalFormatting>
  <conditionalFormatting sqref="G504">
    <cfRule type="expression" dxfId="0" priority="1148">
      <formula>G505=0</formula>
    </cfRule>
  </conditionalFormatting>
  <conditionalFormatting sqref="G505">
    <cfRule type="cellIs" dxfId="1" priority="1154" operator="equal">
      <formula>0</formula>
    </cfRule>
  </conditionalFormatting>
  <conditionalFormatting sqref="G507">
    <cfRule type="cellIs" dxfId="1" priority="1164" operator="equal">
      <formula>0</formula>
    </cfRule>
  </conditionalFormatting>
  <conditionalFormatting sqref="G508">
    <cfRule type="cellIs" dxfId="1" priority="1169" operator="equal">
      <formula>0</formula>
    </cfRule>
  </conditionalFormatting>
  <conditionalFormatting sqref="G510">
    <cfRule type="cellIs" dxfId="1" priority="1176" operator="equal">
      <formula>0</formula>
    </cfRule>
  </conditionalFormatting>
  <conditionalFormatting sqref="G53">
    <cfRule type="cellIs" dxfId="1" priority="136" operator="equal">
      <formula>0</formula>
    </cfRule>
  </conditionalFormatting>
  <conditionalFormatting sqref="G534">
    <cfRule type="expression" dxfId="0" priority="1212">
      <formula>G535=0</formula>
    </cfRule>
  </conditionalFormatting>
  <conditionalFormatting sqref="G535">
    <cfRule type="cellIs" dxfId="1" priority="1217" operator="equal">
      <formula>0</formula>
    </cfRule>
  </conditionalFormatting>
  <conditionalFormatting sqref="G536">
    <cfRule type="cellIs" dxfId="1" priority="1222" operator="equal">
      <formula>0</formula>
    </cfRule>
  </conditionalFormatting>
  <conditionalFormatting sqref="G55">
    <cfRule type="expression" dxfId="0" priority="142">
      <formula>G56=0</formula>
    </cfRule>
  </conditionalFormatting>
  <conditionalFormatting sqref="G552">
    <cfRule type="expression" dxfId="0" priority="1239">
      <formula>G553=0</formula>
    </cfRule>
  </conditionalFormatting>
  <conditionalFormatting sqref="G553">
    <cfRule type="cellIs" dxfId="1" priority="1248" operator="equal">
      <formula>0</formula>
    </cfRule>
  </conditionalFormatting>
  <conditionalFormatting sqref="G556">
    <cfRule type="cellIs" dxfId="1" priority="1266" operator="equal">
      <formula>0</formula>
    </cfRule>
  </conditionalFormatting>
  <conditionalFormatting sqref="G557">
    <cfRule type="cellIs" dxfId="1" priority="1269" operator="equal">
      <formula>0</formula>
    </cfRule>
  </conditionalFormatting>
  <conditionalFormatting sqref="G56">
    <cfRule type="cellIs" dxfId="1" priority="150" operator="equal">
      <formula>0</formula>
    </cfRule>
  </conditionalFormatting>
  <conditionalFormatting sqref="G560">
    <cfRule type="cellIs" dxfId="1" priority="1283" operator="equal">
      <formula>0</formula>
    </cfRule>
  </conditionalFormatting>
  <conditionalFormatting sqref="G588">
    <cfRule type="expression" dxfId="0" priority="1319">
      <formula>G589=0</formula>
    </cfRule>
  </conditionalFormatting>
  <conditionalFormatting sqref="G589">
    <cfRule type="cellIs" dxfId="1" priority="1326" operator="equal">
      <formula>0</formula>
    </cfRule>
  </conditionalFormatting>
  <conditionalFormatting sqref="G590">
    <cfRule type="cellIs" dxfId="1" priority="1333" operator="equal">
      <formula>0</formula>
    </cfRule>
  </conditionalFormatting>
  <conditionalFormatting sqref="G594">
    <cfRule type="cellIs" dxfId="1" priority="1351" operator="equal">
      <formula>0</formula>
    </cfRule>
  </conditionalFormatting>
  <conditionalFormatting sqref="G618">
    <cfRule type="expression" dxfId="0" priority="1386">
      <formula>G619=0</formula>
    </cfRule>
  </conditionalFormatting>
  <conditionalFormatting sqref="G619">
    <cfRule type="cellIs" dxfId="1" priority="1392" operator="equal">
      <formula>0</formula>
    </cfRule>
  </conditionalFormatting>
  <conditionalFormatting sqref="G625">
    <cfRule type="cellIs" dxfId="1" priority="1417" operator="equal">
      <formula>0</formula>
    </cfRule>
  </conditionalFormatting>
  <conditionalFormatting sqref="G629">
    <cfRule type="expression" dxfId="0" priority="1430">
      <formula>G630=0</formula>
    </cfRule>
  </conditionalFormatting>
  <conditionalFormatting sqref="G630">
    <cfRule type="cellIs" dxfId="1" priority="1438" operator="equal">
      <formula>0</formula>
    </cfRule>
  </conditionalFormatting>
  <conditionalFormatting sqref="G634">
    <cfRule type="cellIs" dxfId="1" priority="1449" operator="equal">
      <formula>0</formula>
    </cfRule>
  </conditionalFormatting>
  <conditionalFormatting sqref="G64">
    <cfRule type="cellIs" dxfId="1" priority="165" operator="equal">
      <formula>0</formula>
    </cfRule>
  </conditionalFormatting>
  <conditionalFormatting sqref="G657">
    <cfRule type="expression" dxfId="0" priority="1477">
      <formula>G658=0</formula>
    </cfRule>
  </conditionalFormatting>
  <conditionalFormatting sqref="G658">
    <cfRule type="cellIs" dxfId="1" priority="1488" operator="equal">
      <formula>0</formula>
    </cfRule>
  </conditionalFormatting>
  <conditionalFormatting sqref="G659">
    <cfRule type="cellIs" dxfId="1" priority="1498" operator="equal">
      <formula>0</formula>
    </cfRule>
  </conditionalFormatting>
  <conditionalFormatting sqref="G660">
    <cfRule type="cellIs" dxfId="1" priority="1503" operator="equal">
      <formula>0</formula>
    </cfRule>
  </conditionalFormatting>
  <conditionalFormatting sqref="G662">
    <cfRule type="cellIs" dxfId="1" priority="1510" operator="equal">
      <formula>0</formula>
    </cfRule>
  </conditionalFormatting>
  <conditionalFormatting sqref="G663">
    <cfRule type="cellIs" dxfId="1" priority="1515" operator="equal">
      <formula>0</formula>
    </cfRule>
  </conditionalFormatting>
  <conditionalFormatting sqref="G664">
    <cfRule type="cellIs" dxfId="1" priority="1520" operator="equal">
      <formula>0</formula>
    </cfRule>
  </conditionalFormatting>
  <conditionalFormatting sqref="G666">
    <cfRule type="cellIs" dxfId="1" priority="1529" operator="equal">
      <formula>0</formula>
    </cfRule>
  </conditionalFormatting>
  <conditionalFormatting sqref="G667">
    <cfRule type="cellIs" dxfId="1" priority="1535" operator="equal">
      <formula>0</formula>
    </cfRule>
  </conditionalFormatting>
  <conditionalFormatting sqref="G674">
    <cfRule type="expression" dxfId="0" priority="1558">
      <formula>G675=0</formula>
    </cfRule>
  </conditionalFormatting>
  <conditionalFormatting sqref="G675">
    <cfRule type="cellIs" dxfId="1" priority="1564" operator="equal">
      <formula>0</formula>
    </cfRule>
  </conditionalFormatting>
  <conditionalFormatting sqref="G678">
    <cfRule type="cellIs" dxfId="1" priority="1570" operator="equal">
      <formula>0</formula>
    </cfRule>
  </conditionalFormatting>
  <conditionalFormatting sqref="G682">
    <cfRule type="cellIs" dxfId="1" priority="1575" operator="equal">
      <formula>0</formula>
    </cfRule>
  </conditionalFormatting>
  <conditionalFormatting sqref="G683">
    <cfRule type="cellIs" dxfId="1" priority="1577" operator="equal">
      <formula>0</formula>
    </cfRule>
  </conditionalFormatting>
  <conditionalFormatting sqref="G685">
    <cfRule type="cellIs" dxfId="1" priority="1579" operator="equal">
      <formula>0</formula>
    </cfRule>
  </conditionalFormatting>
  <conditionalFormatting sqref="G686">
    <cfRule type="cellIs" dxfId="1" priority="1581" operator="equal">
      <formula>0</formula>
    </cfRule>
  </conditionalFormatting>
  <conditionalFormatting sqref="G714">
    <cfRule type="expression" dxfId="0" priority="1610">
      <formula>G715=0</formula>
    </cfRule>
  </conditionalFormatting>
  <conditionalFormatting sqref="G715">
    <cfRule type="cellIs" dxfId="1" priority="1615" operator="equal">
      <formula>0</formula>
    </cfRule>
  </conditionalFormatting>
  <conditionalFormatting sqref="G716">
    <cfRule type="cellIs" dxfId="1" priority="1620" operator="equal">
      <formula>0</formula>
    </cfRule>
  </conditionalFormatting>
  <conditionalFormatting sqref="G732">
    <cfRule type="expression" dxfId="0" priority="1631">
      <formula>G733=0</formula>
    </cfRule>
  </conditionalFormatting>
  <conditionalFormatting sqref="G733">
    <cfRule type="cellIs" dxfId="1" priority="1636" operator="equal">
      <formula>0</formula>
    </cfRule>
  </conditionalFormatting>
  <conditionalFormatting sqref="G734">
    <cfRule type="cellIs" dxfId="1" priority="1641" operator="equal">
      <formula>0</formula>
    </cfRule>
  </conditionalFormatting>
  <conditionalFormatting sqref="G750">
    <cfRule type="expression" dxfId="0" priority="1652">
      <formula>G751=0</formula>
    </cfRule>
  </conditionalFormatting>
  <conditionalFormatting sqref="G751">
    <cfRule type="cellIs" dxfId="1" priority="1658" operator="equal">
      <formula>0</formula>
    </cfRule>
  </conditionalFormatting>
  <conditionalFormatting sqref="G752">
    <cfRule type="cellIs" dxfId="1" priority="1664" operator="equal">
      <formula>0</formula>
    </cfRule>
  </conditionalFormatting>
  <conditionalFormatting sqref="G78">
    <cfRule type="cellIs" dxfId="1" priority="188" operator="equal">
      <formula>0</formula>
    </cfRule>
  </conditionalFormatting>
  <conditionalFormatting sqref="G792">
    <cfRule type="expression" dxfId="0" priority="1715">
      <formula>G793=0</formula>
    </cfRule>
  </conditionalFormatting>
  <conditionalFormatting sqref="G793">
    <cfRule type="cellIs" dxfId="1" priority="1723" operator="equal">
      <formula>0</formula>
    </cfRule>
  </conditionalFormatting>
  <conditionalFormatting sqref="G794">
    <cfRule type="cellIs" dxfId="1" priority="1729" operator="equal">
      <formula>0</formula>
    </cfRule>
  </conditionalFormatting>
  <conditionalFormatting sqref="G796">
    <cfRule type="cellIs" dxfId="1" priority="1739" operator="equal">
      <formula>0</formula>
    </cfRule>
  </conditionalFormatting>
  <conditionalFormatting sqref="G797">
    <cfRule type="cellIs" dxfId="1" priority="1743" operator="equal">
      <formula>0</formula>
    </cfRule>
  </conditionalFormatting>
  <conditionalFormatting sqref="G801">
    <cfRule type="cellIs" dxfId="1" priority="1759" operator="equal">
      <formula>0</formula>
    </cfRule>
  </conditionalFormatting>
  <conditionalFormatting sqref="G805">
    <cfRule type="cellIs" dxfId="1" priority="1774" operator="equal">
      <formula>0</formula>
    </cfRule>
  </conditionalFormatting>
  <conditionalFormatting sqref="G809">
    <cfRule type="cellIs" dxfId="1" priority="1791" operator="equal">
      <formula>0</formula>
    </cfRule>
  </conditionalFormatting>
  <conditionalFormatting sqref="G810">
    <cfRule type="cellIs" dxfId="1" priority="1796" operator="equal">
      <formula>0</formula>
    </cfRule>
  </conditionalFormatting>
  <conditionalFormatting sqref="G818">
    <cfRule type="cellIs" dxfId="1" priority="1830" operator="equal">
      <formula>0</formula>
    </cfRule>
  </conditionalFormatting>
  <conditionalFormatting sqref="G820">
    <cfRule type="expression" dxfId="0" priority="1835">
      <formula>G821=0</formula>
    </cfRule>
  </conditionalFormatting>
  <conditionalFormatting sqref="G821">
    <cfRule type="cellIs" dxfId="1" priority="1843" operator="equal">
      <formula>0</formula>
    </cfRule>
  </conditionalFormatting>
  <conditionalFormatting sqref="G827">
    <cfRule type="cellIs" dxfId="1" priority="1858" operator="equal">
      <formula>0</formula>
    </cfRule>
  </conditionalFormatting>
  <conditionalFormatting sqref="G828">
    <cfRule type="cellIs" dxfId="1" priority="1860" operator="equal">
      <formula>0</formula>
    </cfRule>
  </conditionalFormatting>
  <conditionalFormatting sqref="G836">
    <cfRule type="cellIs" dxfId="1" priority="1876" operator="equal">
      <formula>0</formula>
    </cfRule>
  </conditionalFormatting>
  <conditionalFormatting sqref="G844">
    <cfRule type="cellIs" dxfId="1" priority="1891" operator="equal">
      <formula>0</formula>
    </cfRule>
  </conditionalFormatting>
  <conditionalFormatting sqref="G882">
    <cfRule type="expression" dxfId="0" priority="1932">
      <formula>G883=0</formula>
    </cfRule>
  </conditionalFormatting>
  <conditionalFormatting sqref="G883">
    <cfRule type="cellIs" dxfId="1" priority="1939" operator="equal">
      <formula>0</formula>
    </cfRule>
  </conditionalFormatting>
  <conditionalFormatting sqref="G885">
    <cfRule type="cellIs" dxfId="1" priority="1949" operator="equal">
      <formula>0</formula>
    </cfRule>
  </conditionalFormatting>
  <conditionalFormatting sqref="G948">
    <cfRule type="expression" dxfId="0" priority="2025">
      <formula>G949=0</formula>
    </cfRule>
  </conditionalFormatting>
  <conditionalFormatting sqref="G949">
    <cfRule type="cellIs" dxfId="1" priority="2035" operator="equal">
      <formula>0</formula>
    </cfRule>
  </conditionalFormatting>
  <conditionalFormatting sqref="G951">
    <cfRule type="cellIs" dxfId="1" priority="2047" operator="equal">
      <formula>0</formula>
    </cfRule>
  </conditionalFormatting>
  <conditionalFormatting sqref="G953">
    <cfRule type="cellIs" dxfId="1" priority="2055" operator="equal">
      <formula>0</formula>
    </cfRule>
  </conditionalFormatting>
  <conditionalFormatting sqref="G955">
    <cfRule type="cellIs" dxfId="1" priority="2062" operator="equal">
      <formula>0</formula>
    </cfRule>
  </conditionalFormatting>
  <conditionalFormatting sqref="G959">
    <cfRule type="expression" dxfId="0" priority="2075">
      <formula>G960=0</formula>
    </cfRule>
  </conditionalFormatting>
  <conditionalFormatting sqref="G960">
    <cfRule type="cellIs" dxfId="1" priority="2080" operator="equal">
      <formula>0</formula>
    </cfRule>
  </conditionalFormatting>
  <conditionalFormatting sqref="G966">
    <cfRule type="cellIs" dxfId="1" priority="2088" operator="equal">
      <formula>0</formula>
    </cfRule>
  </conditionalFormatting>
  <conditionalFormatting sqref="G987">
    <cfRule type="expression" dxfId="0" priority="2113">
      <formula>G988=0</formula>
    </cfRule>
  </conditionalFormatting>
  <conditionalFormatting sqref="G988">
    <cfRule type="cellIs" dxfId="1" priority="2122" operator="equal">
      <formula>0</formula>
    </cfRule>
  </conditionalFormatting>
  <conditionalFormatting sqref="G992">
    <cfRule type="cellIs" dxfId="1" priority="2139" operator="equal">
      <formula>0</formula>
    </cfRule>
  </conditionalFormatting>
  <conditionalFormatting sqref="G993">
    <cfRule type="cellIs" dxfId="1" priority="2148" operator="equal">
      <formula>0</formula>
    </cfRule>
  </conditionalFormatting>
  <conditionalFormatting sqref="H1065">
    <cfRule type="expression" dxfId="0" priority="2254">
      <formula>H1066=0</formula>
    </cfRule>
  </conditionalFormatting>
  <conditionalFormatting sqref="H1066">
    <cfRule type="cellIs" dxfId="1" priority="2260" operator="equal">
      <formula>0</formula>
    </cfRule>
  </conditionalFormatting>
  <conditionalFormatting sqref="H1067">
    <cfRule type="cellIs" dxfId="1" priority="2266" operator="equal">
      <formula>0</formula>
    </cfRule>
  </conditionalFormatting>
  <conditionalFormatting sqref="H1083">
    <cfRule type="expression" dxfId="0" priority="2278">
      <formula>H1084=0</formula>
    </cfRule>
  </conditionalFormatting>
  <conditionalFormatting sqref="H1084">
    <cfRule type="cellIs" dxfId="1" priority="2289" operator="equal">
      <formula>0</formula>
    </cfRule>
  </conditionalFormatting>
  <conditionalFormatting sqref="H1086">
    <cfRule type="cellIs" dxfId="1" priority="2302" operator="equal">
      <formula>0</formula>
    </cfRule>
  </conditionalFormatting>
  <conditionalFormatting sqref="H1091">
    <cfRule type="cellIs" dxfId="1" priority="2321" operator="equal">
      <formula>0</formula>
    </cfRule>
  </conditionalFormatting>
  <conditionalFormatting sqref="H1113">
    <cfRule type="expression" dxfId="0" priority="2411">
      <formula>H1114=0</formula>
    </cfRule>
  </conditionalFormatting>
  <conditionalFormatting sqref="H1114">
    <cfRule type="cellIs" dxfId="1" priority="2421" operator="equal">
      <formula>0</formula>
    </cfRule>
  </conditionalFormatting>
  <conditionalFormatting sqref="H1119">
    <cfRule type="cellIs" dxfId="1" priority="2434" operator="equal">
      <formula>0</formula>
    </cfRule>
  </conditionalFormatting>
  <conditionalFormatting sqref="H1121">
    <cfRule type="cellIs" dxfId="1" priority="2439" operator="equal">
      <formula>0</formula>
    </cfRule>
  </conditionalFormatting>
  <conditionalFormatting sqref="H1123">
    <cfRule type="cellIs" dxfId="1" priority="2443" operator="equal">
      <formula>0</formula>
    </cfRule>
  </conditionalFormatting>
  <conditionalFormatting sqref="H1143">
    <cfRule type="expression" dxfId="0" priority="2482">
      <formula>H1144=0</formula>
    </cfRule>
  </conditionalFormatting>
  <conditionalFormatting sqref="H1144">
    <cfRule type="cellIs" dxfId="1" priority="2488" operator="equal">
      <formula>0</formula>
    </cfRule>
  </conditionalFormatting>
  <conditionalFormatting sqref="H117">
    <cfRule type="expression" dxfId="0" priority="236">
      <formula>H118=0</formula>
    </cfRule>
  </conditionalFormatting>
  <conditionalFormatting sqref="H1170">
    <cfRule type="cellIs" dxfId="1" priority="2517" operator="equal">
      <formula>0</formula>
    </cfRule>
  </conditionalFormatting>
  <conditionalFormatting sqref="H1171">
    <cfRule type="cellIs" dxfId="1" priority="2519" operator="equal">
      <formula>0</formula>
    </cfRule>
  </conditionalFormatting>
  <conditionalFormatting sqref="H118">
    <cfRule type="cellIs" dxfId="1" priority="248" operator="equal">
      <formula>0</formula>
    </cfRule>
  </conditionalFormatting>
  <conditionalFormatting sqref="H1197">
    <cfRule type="expression" dxfId="0" priority="2552">
      <formula>H1198=0</formula>
    </cfRule>
  </conditionalFormatting>
  <conditionalFormatting sqref="H1198">
    <cfRule type="cellIs" dxfId="1" priority="2562" operator="equal">
      <formula>0</formula>
    </cfRule>
  </conditionalFormatting>
  <conditionalFormatting sqref="H1205">
    <cfRule type="cellIs" dxfId="1" priority="2592" operator="equal">
      <formula>0</formula>
    </cfRule>
  </conditionalFormatting>
  <conditionalFormatting sqref="H121">
    <cfRule type="cellIs" dxfId="1" priority="267" operator="equal">
      <formula>0</formula>
    </cfRule>
  </conditionalFormatting>
  <conditionalFormatting sqref="H1246">
    <cfRule type="expression" dxfId="0" priority="2678">
      <formula>H1247=0</formula>
    </cfRule>
  </conditionalFormatting>
  <conditionalFormatting sqref="H1247">
    <cfRule type="cellIs" dxfId="1" priority="2686" operator="equal">
      <formula>0</formula>
    </cfRule>
  </conditionalFormatting>
  <conditionalFormatting sqref="H1252">
    <cfRule type="cellIs" dxfId="1" priority="2698" operator="equal">
      <formula>0</formula>
    </cfRule>
  </conditionalFormatting>
  <conditionalFormatting sqref="H1278">
    <cfRule type="expression" dxfId="0" priority="2728">
      <formula>H1279=0</formula>
    </cfRule>
  </conditionalFormatting>
  <conditionalFormatting sqref="H1279">
    <cfRule type="cellIs" dxfId="1" priority="2735" operator="equal">
      <formula>0</formula>
    </cfRule>
  </conditionalFormatting>
  <conditionalFormatting sqref="H1280">
    <cfRule type="cellIs" dxfId="1" priority="2740" operator="equal">
      <formula>0</formula>
    </cfRule>
  </conditionalFormatting>
  <conditionalFormatting sqref="H1305">
    <cfRule type="expression" dxfId="0" priority="2783">
      <formula>H1306=0</formula>
    </cfRule>
  </conditionalFormatting>
  <conditionalFormatting sqref="H1306">
    <cfRule type="cellIs" dxfId="1" priority="2790" operator="equal">
      <formula>0</formula>
    </cfRule>
  </conditionalFormatting>
  <conditionalFormatting sqref="H1307">
    <cfRule type="cellIs" dxfId="1" priority="2795" operator="equal">
      <formula>0</formula>
    </cfRule>
  </conditionalFormatting>
  <conditionalFormatting sqref="H1335">
    <cfRule type="expression" dxfId="0" priority="2850">
      <formula>H1336=0</formula>
    </cfRule>
  </conditionalFormatting>
  <conditionalFormatting sqref="H1336">
    <cfRule type="cellIs" dxfId="1" priority="2857" operator="equal">
      <formula>0</formula>
    </cfRule>
  </conditionalFormatting>
  <conditionalFormatting sqref="H1338">
    <cfRule type="cellIs" dxfId="1" priority="2865" operator="equal">
      <formula>0</formula>
    </cfRule>
  </conditionalFormatting>
  <conditionalFormatting sqref="H135">
    <cfRule type="cellIs" dxfId="1" priority="328" operator="equal">
      <formula>0</formula>
    </cfRule>
  </conditionalFormatting>
  <conditionalFormatting sqref="H1362">
    <cfRule type="expression" dxfId="0" priority="2909">
      <formula>H1363=0</formula>
    </cfRule>
  </conditionalFormatting>
  <conditionalFormatting sqref="H1363">
    <cfRule type="cellIs" dxfId="1" priority="2916" operator="equal">
      <formula>0</formula>
    </cfRule>
  </conditionalFormatting>
  <conditionalFormatting sqref="H1364">
    <cfRule type="cellIs" dxfId="1" priority="2920" operator="equal">
      <formula>0</formula>
    </cfRule>
  </conditionalFormatting>
  <conditionalFormatting sqref="H138">
    <cfRule type="cellIs" dxfId="1" priority="342" operator="equal">
      <formula>0</formula>
    </cfRule>
  </conditionalFormatting>
  <conditionalFormatting sqref="H1386">
    <cfRule type="expression" dxfId="0" priority="2958">
      <formula>H1387=0</formula>
    </cfRule>
  </conditionalFormatting>
  <conditionalFormatting sqref="H1387">
    <cfRule type="cellIs" dxfId="1" priority="2966" operator="equal">
      <formula>0</formula>
    </cfRule>
  </conditionalFormatting>
  <conditionalFormatting sqref="H1388">
    <cfRule type="cellIs" dxfId="1" priority="2970" operator="equal">
      <formula>0</formula>
    </cfRule>
  </conditionalFormatting>
  <conditionalFormatting sqref="H139">
    <cfRule type="cellIs" dxfId="1" priority="348" operator="equal">
      <formula>0</formula>
    </cfRule>
  </conditionalFormatting>
  <conditionalFormatting sqref="H1392">
    <cfRule type="cellIs" dxfId="1" priority="2990" operator="equal">
      <formula>0</formula>
    </cfRule>
  </conditionalFormatting>
  <conditionalFormatting sqref="H1393">
    <cfRule type="cellIs" dxfId="1" priority="2994" operator="equal">
      <formula>0</formula>
    </cfRule>
  </conditionalFormatting>
  <conditionalFormatting sqref="H1396">
    <cfRule type="expression" dxfId="0" priority="3005">
      <formula>H1397=0</formula>
    </cfRule>
  </conditionalFormatting>
  <conditionalFormatting sqref="H1397">
    <cfRule type="cellIs" dxfId="1" priority="3011" operator="equal">
      <formula>0</formula>
    </cfRule>
  </conditionalFormatting>
  <conditionalFormatting sqref="H140">
    <cfRule type="cellIs" dxfId="1" priority="352" operator="equal">
      <formula>0</formula>
    </cfRule>
  </conditionalFormatting>
  <conditionalFormatting sqref="H1404">
    <cfRule type="cellIs" dxfId="1" priority="3024" operator="equal">
      <formula>0</formula>
    </cfRule>
  </conditionalFormatting>
  <conditionalFormatting sqref="H141">
    <cfRule type="cellIs" dxfId="1" priority="356" operator="equal">
      <formula>0</formula>
    </cfRule>
  </conditionalFormatting>
  <conditionalFormatting sqref="H142">
    <cfRule type="cellIs" dxfId="1" priority="361" operator="equal">
      <formula>0</formula>
    </cfRule>
  </conditionalFormatting>
  <conditionalFormatting sqref="H1422">
    <cfRule type="expression" dxfId="0" priority="3042">
      <formula>H1423=0</formula>
    </cfRule>
  </conditionalFormatting>
  <conditionalFormatting sqref="H1423">
    <cfRule type="cellIs" dxfId="1" priority="3053" operator="equal">
      <formula>0</formula>
    </cfRule>
  </conditionalFormatting>
  <conditionalFormatting sqref="H1425">
    <cfRule type="cellIs" dxfId="1" priority="3066" operator="equal">
      <formula>0</formula>
    </cfRule>
  </conditionalFormatting>
  <conditionalFormatting sqref="H1426">
    <cfRule type="cellIs" dxfId="1" priority="3070" operator="equal">
      <formula>0</formula>
    </cfRule>
  </conditionalFormatting>
  <conditionalFormatting sqref="H1427">
    <cfRule type="cellIs" dxfId="1" priority="3074" operator="equal">
      <formula>0</formula>
    </cfRule>
  </conditionalFormatting>
  <conditionalFormatting sqref="H1429">
    <cfRule type="cellIs" dxfId="1" priority="3086" operator="equal">
      <formula>0</formula>
    </cfRule>
  </conditionalFormatting>
  <conditionalFormatting sqref="H1430">
    <cfRule type="cellIs" dxfId="1" priority="3091" operator="equal">
      <formula>0</formula>
    </cfRule>
  </conditionalFormatting>
  <conditionalFormatting sqref="H1431">
    <cfRule type="cellIs" dxfId="1" priority="3095" operator="equal">
      <formula>0</formula>
    </cfRule>
  </conditionalFormatting>
  <conditionalFormatting sqref="H1435">
    <cfRule type="cellIs" dxfId="1" priority="3114" operator="equal">
      <formula>0</formula>
    </cfRule>
  </conditionalFormatting>
  <conditionalFormatting sqref="H1438">
    <cfRule type="cellIs" dxfId="1" priority="3126" operator="equal">
      <formula>0</formula>
    </cfRule>
  </conditionalFormatting>
  <conditionalFormatting sqref="H144">
    <cfRule type="expression" dxfId="0" priority="368">
      <formula>H145=0</formula>
    </cfRule>
  </conditionalFormatting>
  <conditionalFormatting sqref="H1443">
    <cfRule type="expression" dxfId="0" priority="3147">
      <formula>H1444=0</formula>
    </cfRule>
  </conditionalFormatting>
  <conditionalFormatting sqref="H1444">
    <cfRule type="cellIs" dxfId="1" priority="3154" operator="equal">
      <formula>0</formula>
    </cfRule>
  </conditionalFormatting>
  <conditionalFormatting sqref="H1449">
    <cfRule type="cellIs" dxfId="1" priority="3163" operator="equal">
      <formula>0</formula>
    </cfRule>
  </conditionalFormatting>
  <conditionalFormatting sqref="H145">
    <cfRule type="cellIs" dxfId="1" priority="376" operator="equal">
      <formula>0</formula>
    </cfRule>
  </conditionalFormatting>
  <conditionalFormatting sqref="H1452">
    <cfRule type="cellIs" dxfId="1" priority="3168" operator="equal">
      <formula>0</formula>
    </cfRule>
  </conditionalFormatting>
  <conditionalFormatting sqref="H1457">
    <cfRule type="cellIs" dxfId="1" priority="3177" operator="equal">
      <formula>0</formula>
    </cfRule>
  </conditionalFormatting>
  <conditionalFormatting sqref="H1459">
    <cfRule type="cellIs" dxfId="1" priority="3180" operator="equal">
      <formula>0</formula>
    </cfRule>
  </conditionalFormatting>
  <conditionalFormatting sqref="H1491">
    <cfRule type="expression" dxfId="0" priority="3215">
      <formula>H1492=0</formula>
    </cfRule>
  </conditionalFormatting>
  <conditionalFormatting sqref="H1492">
    <cfRule type="cellIs" dxfId="1" priority="3222" operator="equal">
      <formula>0</formula>
    </cfRule>
  </conditionalFormatting>
  <conditionalFormatting sqref="H1496">
    <cfRule type="cellIs" dxfId="1" priority="3241" operator="equal">
      <formula>0</formula>
    </cfRule>
  </conditionalFormatting>
  <conditionalFormatting sqref="H1521">
    <cfRule type="expression" dxfId="0" priority="3282">
      <formula>H1522=0</formula>
    </cfRule>
  </conditionalFormatting>
  <conditionalFormatting sqref="H1522">
    <cfRule type="cellIs" dxfId="1" priority="3288" operator="equal">
      <formula>0</formula>
    </cfRule>
  </conditionalFormatting>
  <conditionalFormatting sqref="H1528">
    <cfRule type="cellIs" dxfId="1" priority="3314" operator="equal">
      <formula>0</formula>
    </cfRule>
  </conditionalFormatting>
  <conditionalFormatting sqref="H153">
    <cfRule type="cellIs" dxfId="1" priority="391" operator="equal">
      <formula>0</formula>
    </cfRule>
  </conditionalFormatting>
  <conditionalFormatting sqref="H1554">
    <cfRule type="expression" dxfId="0" priority="3342">
      <formula>H1555=0</formula>
    </cfRule>
  </conditionalFormatting>
  <conditionalFormatting sqref="H1555">
    <cfRule type="cellIs" dxfId="1" priority="3353" operator="equal">
      <formula>0</formula>
    </cfRule>
  </conditionalFormatting>
  <conditionalFormatting sqref="H1558">
    <cfRule type="cellIs" dxfId="1" priority="3368" operator="equal">
      <formula>0</formula>
    </cfRule>
  </conditionalFormatting>
  <conditionalFormatting sqref="H156">
    <cfRule type="cellIs" dxfId="1" priority="396" operator="equal">
      <formula>0</formula>
    </cfRule>
  </conditionalFormatting>
  <conditionalFormatting sqref="H1560">
    <cfRule type="cellIs" dxfId="1" priority="3376" operator="equal">
      <formula>0</formula>
    </cfRule>
  </conditionalFormatting>
  <conditionalFormatting sqref="H1563">
    <cfRule type="cellIs" dxfId="1" priority="3391" operator="equal">
      <formula>0</formula>
    </cfRule>
  </conditionalFormatting>
  <conditionalFormatting sqref="H1573">
    <cfRule type="expression" dxfId="0" priority="3433">
      <formula>H1574=0</formula>
    </cfRule>
  </conditionalFormatting>
  <conditionalFormatting sqref="H1574">
    <cfRule type="cellIs" dxfId="1" priority="3440" operator="equal">
      <formula>0</formula>
    </cfRule>
  </conditionalFormatting>
  <conditionalFormatting sqref="H1585">
    <cfRule type="cellIs" dxfId="1" priority="3461" operator="equal">
      <formula>0</formula>
    </cfRule>
  </conditionalFormatting>
  <conditionalFormatting sqref="H160">
    <cfRule type="cellIs" dxfId="1" priority="402" operator="equal">
      <formula>0</formula>
    </cfRule>
  </conditionalFormatting>
  <conditionalFormatting sqref="H164">
    <cfRule type="cellIs" dxfId="1" priority="408" operator="equal">
      <formula>0</formula>
    </cfRule>
  </conditionalFormatting>
  <conditionalFormatting sqref="H1644">
    <cfRule type="expression" dxfId="0" priority="3550">
      <formula>H1645=0</formula>
    </cfRule>
  </conditionalFormatting>
  <conditionalFormatting sqref="H1645">
    <cfRule type="cellIs" dxfId="1" priority="3559" operator="equal">
      <formula>0</formula>
    </cfRule>
  </conditionalFormatting>
  <conditionalFormatting sqref="H1648">
    <cfRule type="cellIs" dxfId="1" priority="3574" operator="equal">
      <formula>0</formula>
    </cfRule>
  </conditionalFormatting>
  <conditionalFormatting sqref="H1653">
    <cfRule type="expression" dxfId="0" priority="3594">
      <formula>H1654=0</formula>
    </cfRule>
  </conditionalFormatting>
  <conditionalFormatting sqref="H1654">
    <cfRule type="cellIs" dxfId="1" priority="3601" operator="equal">
      <formula>0</formula>
    </cfRule>
  </conditionalFormatting>
  <conditionalFormatting sqref="H1659">
    <cfRule type="cellIs" dxfId="1" priority="3611" operator="equal">
      <formula>0</formula>
    </cfRule>
  </conditionalFormatting>
  <conditionalFormatting sqref="H1677">
    <cfRule type="expression" dxfId="0" priority="3632">
      <formula>H1678=0</formula>
    </cfRule>
  </conditionalFormatting>
  <conditionalFormatting sqref="H1678">
    <cfRule type="cellIs" dxfId="1" priority="3638" operator="equal">
      <formula>0</formula>
    </cfRule>
  </conditionalFormatting>
  <conditionalFormatting sqref="H1680">
    <cfRule type="cellIs" dxfId="1" priority="3645" operator="equal">
      <formula>0</formula>
    </cfRule>
  </conditionalFormatting>
  <conditionalFormatting sqref="H1752">
    <cfRule type="expression" dxfId="0" priority="3749">
      <formula>H1753=0</formula>
    </cfRule>
  </conditionalFormatting>
  <conditionalFormatting sqref="H1753">
    <cfRule type="cellIs" dxfId="1" priority="3755" operator="equal">
      <formula>0</formula>
    </cfRule>
  </conditionalFormatting>
  <conditionalFormatting sqref="H1754">
    <cfRule type="cellIs" dxfId="1" priority="3760" operator="equal">
      <formula>0</formula>
    </cfRule>
  </conditionalFormatting>
  <conditionalFormatting sqref="H1782">
    <cfRule type="expression" dxfId="0" priority="3802">
      <formula>H1783=0</formula>
    </cfRule>
  </conditionalFormatting>
  <conditionalFormatting sqref="H1783">
    <cfRule type="cellIs" dxfId="1" priority="3810" operator="equal">
      <formula>0</formula>
    </cfRule>
  </conditionalFormatting>
  <conditionalFormatting sqref="H1793">
    <cfRule type="cellIs" dxfId="1" priority="3854" operator="equal">
      <formula>0</formula>
    </cfRule>
  </conditionalFormatting>
  <conditionalFormatting sqref="H1795">
    <cfRule type="cellIs" dxfId="1" priority="3862" operator="equal">
      <formula>0</formula>
    </cfRule>
  </conditionalFormatting>
  <conditionalFormatting sqref="H1796">
    <cfRule type="cellIs" dxfId="1" priority="3867" operator="equal">
      <formula>0</formula>
    </cfRule>
  </conditionalFormatting>
  <conditionalFormatting sqref="H1798">
    <cfRule type="cellIs" dxfId="1" priority="3875" operator="equal">
      <formula>0</formula>
    </cfRule>
  </conditionalFormatting>
  <conditionalFormatting sqref="H1799">
    <cfRule type="cellIs" dxfId="1" priority="3879" operator="equal">
      <formula>0</formula>
    </cfRule>
  </conditionalFormatting>
  <conditionalFormatting sqref="H1845">
    <cfRule type="expression" dxfId="0" priority="3957">
      <formula>H1846=0</formula>
    </cfRule>
  </conditionalFormatting>
  <conditionalFormatting sqref="H1846">
    <cfRule type="cellIs" dxfId="1" priority="3963" operator="equal">
      <formula>0</formula>
    </cfRule>
  </conditionalFormatting>
  <conditionalFormatting sqref="H1848">
    <cfRule type="cellIs" dxfId="1" priority="3972" operator="equal">
      <formula>0</formula>
    </cfRule>
  </conditionalFormatting>
  <conditionalFormatting sqref="H1890">
    <cfRule type="expression" dxfId="0" priority="4032">
      <formula>H1891=0</formula>
    </cfRule>
  </conditionalFormatting>
  <conditionalFormatting sqref="H1891">
    <cfRule type="cellIs" dxfId="1" priority="4039" operator="equal">
      <formula>0</formula>
    </cfRule>
  </conditionalFormatting>
  <conditionalFormatting sqref="H1897">
    <cfRule type="cellIs" dxfId="1" priority="4064" operator="equal">
      <formula>0</formula>
    </cfRule>
  </conditionalFormatting>
  <conditionalFormatting sqref="H1926">
    <cfRule type="expression" dxfId="0" priority="4099">
      <formula>H1927=0</formula>
    </cfRule>
  </conditionalFormatting>
  <conditionalFormatting sqref="H1927">
    <cfRule type="cellIs" dxfId="1" priority="4105" operator="equal">
      <formula>0</formula>
    </cfRule>
  </conditionalFormatting>
  <conditionalFormatting sqref="H1929">
    <cfRule type="cellIs" dxfId="1" priority="4115" operator="equal">
      <formula>0</formula>
    </cfRule>
  </conditionalFormatting>
  <conditionalFormatting sqref="H1959">
    <cfRule type="expression" dxfId="0" priority="4158">
      <formula>H1960=0</formula>
    </cfRule>
  </conditionalFormatting>
  <conditionalFormatting sqref="H1960">
    <cfRule type="cellIs" dxfId="1" priority="4165" operator="equal">
      <formula>0</formula>
    </cfRule>
  </conditionalFormatting>
  <conditionalFormatting sqref="H1962">
    <cfRule type="cellIs" dxfId="1" priority="4175" operator="equal">
      <formula>0</formula>
    </cfRule>
  </conditionalFormatting>
  <conditionalFormatting sqref="H1995">
    <cfRule type="expression" dxfId="0" priority="4225">
      <formula>H1996=0</formula>
    </cfRule>
  </conditionalFormatting>
  <conditionalFormatting sqref="H1996">
    <cfRule type="cellIs" dxfId="1" priority="4234" operator="equal">
      <formula>0</formula>
    </cfRule>
  </conditionalFormatting>
  <conditionalFormatting sqref="H1998">
    <cfRule type="cellIs" dxfId="1" priority="4246" operator="equal">
      <formula>0</formula>
    </cfRule>
  </conditionalFormatting>
  <conditionalFormatting sqref="H2000">
    <cfRule type="cellIs" dxfId="1" priority="4256" operator="equal">
      <formula>0</formula>
    </cfRule>
  </conditionalFormatting>
  <conditionalFormatting sqref="H2022">
    <cfRule type="expression" dxfId="0" priority="4281">
      <formula>H2023=0</formula>
    </cfRule>
  </conditionalFormatting>
  <conditionalFormatting sqref="H2023">
    <cfRule type="cellIs" dxfId="1" priority="4288" operator="equal">
      <formula>0</formula>
    </cfRule>
  </conditionalFormatting>
  <conditionalFormatting sqref="H2038">
    <cfRule type="cellIs" dxfId="1" priority="4350" operator="equal">
      <formula>0</formula>
    </cfRule>
  </conditionalFormatting>
  <conditionalFormatting sqref="H204">
    <cfRule type="expression" dxfId="0" priority="458">
      <formula>H205=0</formula>
    </cfRule>
  </conditionalFormatting>
  <conditionalFormatting sqref="H2041">
    <cfRule type="expression" dxfId="0" priority="4361">
      <formula>H2042=0</formula>
    </cfRule>
  </conditionalFormatting>
  <conditionalFormatting sqref="H2042">
    <cfRule type="cellIs" dxfId="1" priority="4370" operator="equal">
      <formula>0</formula>
    </cfRule>
  </conditionalFormatting>
  <conditionalFormatting sqref="H2047">
    <cfRule type="cellIs" dxfId="1" priority="4383" operator="equal">
      <formula>0</formula>
    </cfRule>
  </conditionalFormatting>
  <conditionalFormatting sqref="H205">
    <cfRule type="cellIs" dxfId="1" priority="470" operator="equal">
      <formula>0</formula>
    </cfRule>
  </conditionalFormatting>
  <conditionalFormatting sqref="H2050">
    <cfRule type="cellIs" dxfId="1" priority="4389" operator="equal">
      <formula>0</formula>
    </cfRule>
  </conditionalFormatting>
  <conditionalFormatting sqref="H2056">
    <cfRule type="cellIs" dxfId="1" priority="4400" operator="equal">
      <formula>0</formula>
    </cfRule>
  </conditionalFormatting>
  <conditionalFormatting sqref="H2085">
    <cfRule type="expression" dxfId="0" priority="4434">
      <formula>H2086=0</formula>
    </cfRule>
  </conditionalFormatting>
  <conditionalFormatting sqref="H2086">
    <cfRule type="cellIs" dxfId="1" priority="4443" operator="equal">
      <formula>0</formula>
    </cfRule>
  </conditionalFormatting>
  <conditionalFormatting sqref="H2090">
    <cfRule type="cellIs" dxfId="1" priority="4465" operator="equal">
      <formula>0</formula>
    </cfRule>
  </conditionalFormatting>
  <conditionalFormatting sqref="H2115">
    <cfRule type="expression" dxfId="0" priority="4501">
      <formula>H2116=0</formula>
    </cfRule>
  </conditionalFormatting>
  <conditionalFormatting sqref="H2116">
    <cfRule type="cellIs" dxfId="1" priority="4508" operator="equal">
      <formula>0</formula>
    </cfRule>
  </conditionalFormatting>
  <conditionalFormatting sqref="H2117">
    <cfRule type="cellIs" dxfId="1" priority="4513" operator="equal">
      <formula>0</formula>
    </cfRule>
  </conditionalFormatting>
  <conditionalFormatting sqref="H212">
    <cfRule type="cellIs" dxfId="1" priority="504" operator="equal">
      <formula>0</formula>
    </cfRule>
  </conditionalFormatting>
  <conditionalFormatting sqref="H213">
    <cfRule type="cellIs" dxfId="1" priority="510" operator="equal">
      <formula>0</formula>
    </cfRule>
  </conditionalFormatting>
  <conditionalFormatting sqref="H218">
    <cfRule type="cellIs" dxfId="1" priority="533" operator="equal">
      <formula>0</formula>
    </cfRule>
  </conditionalFormatting>
  <conditionalFormatting sqref="H219">
    <cfRule type="cellIs" dxfId="1" priority="537" operator="equal">
      <formula>0</formula>
    </cfRule>
  </conditionalFormatting>
  <conditionalFormatting sqref="H223">
    <cfRule type="expression" dxfId="0" priority="554">
      <formula>H224=0</formula>
    </cfRule>
  </conditionalFormatting>
  <conditionalFormatting sqref="H224">
    <cfRule type="cellIs" dxfId="1" priority="560" operator="equal">
      <formula>0</formula>
    </cfRule>
  </conditionalFormatting>
  <conditionalFormatting sqref="H2250">
    <cfRule type="expression" dxfId="0" priority="4733">
      <formula>H2251=0</formula>
    </cfRule>
  </conditionalFormatting>
  <conditionalFormatting sqref="H2251">
    <cfRule type="cellIs" dxfId="1" priority="4739" operator="equal">
      <formula>0</formula>
    </cfRule>
  </conditionalFormatting>
  <conditionalFormatting sqref="H2252">
    <cfRule type="cellIs" dxfId="1" priority="4745" operator="equal">
      <formula>0</formula>
    </cfRule>
  </conditionalFormatting>
  <conditionalFormatting sqref="H2271">
    <cfRule type="expression" dxfId="0" priority="4765">
      <formula>H2272=0</formula>
    </cfRule>
  </conditionalFormatting>
  <conditionalFormatting sqref="H2272">
    <cfRule type="cellIs" dxfId="1" priority="4771" operator="equal">
      <formula>0</formula>
    </cfRule>
  </conditionalFormatting>
  <conditionalFormatting sqref="H2274">
    <cfRule type="cellIs" dxfId="1" priority="4780" operator="equal">
      <formula>0</formula>
    </cfRule>
  </conditionalFormatting>
  <conditionalFormatting sqref="H2282">
    <cfRule type="cellIs" dxfId="1" priority="4812" operator="equal">
      <formula>0</formula>
    </cfRule>
  </conditionalFormatting>
  <conditionalFormatting sqref="H2284">
    <cfRule type="cellIs" dxfId="1" priority="4820" operator="equal">
      <formula>0</formula>
    </cfRule>
  </conditionalFormatting>
  <conditionalFormatting sqref="H2285">
    <cfRule type="cellIs" dxfId="1" priority="4824" operator="equal">
      <formula>0</formula>
    </cfRule>
  </conditionalFormatting>
  <conditionalFormatting sqref="H2286">
    <cfRule type="cellIs" dxfId="1" priority="4828" operator="equal">
      <formula>0</formula>
    </cfRule>
  </conditionalFormatting>
  <conditionalFormatting sqref="H2290">
    <cfRule type="expression" dxfId="0" priority="4844">
      <formula>H2291=0</formula>
    </cfRule>
  </conditionalFormatting>
  <conditionalFormatting sqref="H2291">
    <cfRule type="cellIs" dxfId="1" priority="4852" operator="equal">
      <formula>0</formula>
    </cfRule>
  </conditionalFormatting>
  <conditionalFormatting sqref="H2298">
    <cfRule type="cellIs" dxfId="1" priority="4868" operator="equal">
      <formula>0</formula>
    </cfRule>
  </conditionalFormatting>
  <conditionalFormatting sqref="H230">
    <cfRule type="cellIs" dxfId="1" priority="570" operator="equal">
      <formula>0</formula>
    </cfRule>
  </conditionalFormatting>
  <conditionalFormatting sqref="H2307">
    <cfRule type="cellIs" dxfId="1" priority="4886" operator="equal">
      <formula>0</formula>
    </cfRule>
  </conditionalFormatting>
  <conditionalFormatting sqref="H232">
    <cfRule type="cellIs" dxfId="1" priority="573" operator="equal">
      <formula>0</formula>
    </cfRule>
  </conditionalFormatting>
  <conditionalFormatting sqref="H2334">
    <cfRule type="expression" dxfId="0" priority="4915">
      <formula>H2335=0</formula>
    </cfRule>
  </conditionalFormatting>
  <conditionalFormatting sqref="H2335">
    <cfRule type="cellIs" dxfId="1" priority="4925" operator="equal">
      <formula>0</formula>
    </cfRule>
  </conditionalFormatting>
  <conditionalFormatting sqref="H2339">
    <cfRule type="cellIs" dxfId="1" priority="4946" operator="equal">
      <formula>0</formula>
    </cfRule>
  </conditionalFormatting>
  <conditionalFormatting sqref="H2341">
    <cfRule type="cellIs" dxfId="1" priority="4954" operator="equal">
      <formula>0</formula>
    </cfRule>
  </conditionalFormatting>
  <conditionalFormatting sqref="H2343">
    <cfRule type="cellIs" dxfId="1" priority="4962" operator="equal">
      <formula>0</formula>
    </cfRule>
  </conditionalFormatting>
  <conditionalFormatting sqref="H2344">
    <cfRule type="cellIs" dxfId="1" priority="4967" operator="equal">
      <formula>0</formula>
    </cfRule>
  </conditionalFormatting>
  <conditionalFormatting sqref="H2348">
    <cfRule type="cellIs" dxfId="1" priority="4987" operator="equal">
      <formula>0</formula>
    </cfRule>
  </conditionalFormatting>
  <conditionalFormatting sqref="H2349">
    <cfRule type="cellIs" dxfId="1" priority="4992" operator="equal">
      <formula>0</formula>
    </cfRule>
  </conditionalFormatting>
  <conditionalFormatting sqref="H2351">
    <cfRule type="expression" dxfId="0" priority="5001">
      <formula>H2352=0</formula>
    </cfRule>
  </conditionalFormatting>
  <conditionalFormatting sqref="H2352">
    <cfRule type="cellIs" dxfId="1" priority="5007" operator="equal">
      <formula>0</formula>
    </cfRule>
  </conditionalFormatting>
  <conditionalFormatting sqref="H236">
    <cfRule type="cellIs" dxfId="1" priority="579" operator="equal">
      <formula>0</formula>
    </cfRule>
  </conditionalFormatting>
  <conditionalFormatting sqref="H2363">
    <cfRule type="cellIs" dxfId="1" priority="5026" operator="equal">
      <formula>0</formula>
    </cfRule>
  </conditionalFormatting>
  <conditionalFormatting sqref="H238">
    <cfRule type="cellIs" dxfId="1" priority="583" operator="equal">
      <formula>0</formula>
    </cfRule>
  </conditionalFormatting>
  <conditionalFormatting sqref="H239">
    <cfRule type="cellIs" dxfId="1" priority="584" operator="equal">
      <formula>0</formula>
    </cfRule>
  </conditionalFormatting>
  <conditionalFormatting sqref="H2391">
    <cfRule type="expression" dxfId="0" priority="5063">
      <formula>H2392=0</formula>
    </cfRule>
  </conditionalFormatting>
  <conditionalFormatting sqref="H2392">
    <cfRule type="cellIs" dxfId="1" priority="5073" operator="equal">
      <formula>0</formula>
    </cfRule>
  </conditionalFormatting>
  <conditionalFormatting sqref="H2395">
    <cfRule type="cellIs" dxfId="1" priority="5086" operator="equal">
      <formula>0</formula>
    </cfRule>
  </conditionalFormatting>
  <conditionalFormatting sqref="H2399">
    <cfRule type="cellIs" dxfId="1" priority="5103" operator="equal">
      <formula>0</formula>
    </cfRule>
  </conditionalFormatting>
  <conditionalFormatting sqref="H2404">
    <cfRule type="expression" dxfId="0" priority="5121">
      <formula>H2405=0</formula>
    </cfRule>
  </conditionalFormatting>
  <conditionalFormatting sqref="H2405">
    <cfRule type="cellIs" dxfId="1" priority="5127" operator="equal">
      <formula>0</formula>
    </cfRule>
  </conditionalFormatting>
  <conditionalFormatting sqref="H2415">
    <cfRule type="cellIs" dxfId="1" priority="5142" operator="equal">
      <formula>0</formula>
    </cfRule>
  </conditionalFormatting>
  <conditionalFormatting sqref="H2556">
    <cfRule type="expression" dxfId="0" priority="5388">
      <formula>H2557=0</formula>
    </cfRule>
  </conditionalFormatting>
  <conditionalFormatting sqref="H2557">
    <cfRule type="cellIs" dxfId="1" priority="5398" operator="equal">
      <formula>0</formula>
    </cfRule>
  </conditionalFormatting>
  <conditionalFormatting sqref="H2562">
    <cfRule type="cellIs" dxfId="1" priority="5420" operator="equal">
      <formula>0</formula>
    </cfRule>
  </conditionalFormatting>
  <conditionalFormatting sqref="H2565">
    <cfRule type="cellIs" dxfId="1" priority="5432" operator="equal">
      <formula>0</formula>
    </cfRule>
  </conditionalFormatting>
  <conditionalFormatting sqref="H2569">
    <cfRule type="expression" dxfId="0" priority="5446">
      <formula>H2570=0</formula>
    </cfRule>
  </conditionalFormatting>
  <conditionalFormatting sqref="H2570">
    <cfRule type="cellIs" dxfId="1" priority="5453" operator="equal">
      <formula>0</formula>
    </cfRule>
  </conditionalFormatting>
  <conditionalFormatting sqref="H2578">
    <cfRule type="cellIs" dxfId="1" priority="5463" operator="equal">
      <formula>0</formula>
    </cfRule>
  </conditionalFormatting>
  <conditionalFormatting sqref="H2579">
    <cfRule type="cellIs" dxfId="1" priority="5465" operator="equal">
      <formula>0</formula>
    </cfRule>
  </conditionalFormatting>
  <conditionalFormatting sqref="H2601">
    <cfRule type="expression" dxfId="0" priority="5490">
      <formula>H2602=0</formula>
    </cfRule>
  </conditionalFormatting>
  <conditionalFormatting sqref="H2602">
    <cfRule type="cellIs" dxfId="1" priority="5496" operator="equal">
      <formula>0</formula>
    </cfRule>
  </conditionalFormatting>
  <conditionalFormatting sqref="H2603">
    <cfRule type="cellIs" dxfId="1" priority="5502" operator="equal">
      <formula>0</formula>
    </cfRule>
  </conditionalFormatting>
  <conditionalFormatting sqref="H2649">
    <cfRule type="expression" dxfId="0" priority="5564">
      <formula>H2650=0</formula>
    </cfRule>
  </conditionalFormatting>
  <conditionalFormatting sqref="H2650">
    <cfRule type="cellIs" dxfId="1" priority="5571" operator="equal">
      <formula>0</formula>
    </cfRule>
  </conditionalFormatting>
  <conditionalFormatting sqref="H2651">
    <cfRule type="cellIs" dxfId="1" priority="5576" operator="equal">
      <formula>0</formula>
    </cfRule>
  </conditionalFormatting>
  <conditionalFormatting sqref="H267">
    <cfRule type="expression" dxfId="0" priority="616">
      <formula>H268=0</formula>
    </cfRule>
  </conditionalFormatting>
  <conditionalFormatting sqref="H268">
    <cfRule type="cellIs" dxfId="1" priority="628" operator="equal">
      <formula>0</formula>
    </cfRule>
  </conditionalFormatting>
  <conditionalFormatting sqref="H269">
    <cfRule type="cellIs" dxfId="1" priority="638" operator="equal">
      <formula>0</formula>
    </cfRule>
  </conditionalFormatting>
  <conditionalFormatting sqref="H27">
    <cfRule type="expression" dxfId="0" priority="6">
      <formula>H28=0</formula>
    </cfRule>
  </conditionalFormatting>
  <conditionalFormatting sqref="H2706">
    <cfRule type="expression" dxfId="0" priority="5682">
      <formula>H2707=0</formula>
    </cfRule>
  </conditionalFormatting>
  <conditionalFormatting sqref="H2707">
    <cfRule type="cellIs" dxfId="1" priority="5689" operator="equal">
      <formula>0</formula>
    </cfRule>
  </conditionalFormatting>
  <conditionalFormatting sqref="H271">
    <cfRule type="cellIs" dxfId="1" priority="648" operator="equal">
      <formula>0</formula>
    </cfRule>
  </conditionalFormatting>
  <conditionalFormatting sqref="H2710">
    <cfRule type="cellIs" dxfId="1" priority="5702" operator="equal">
      <formula>0</formula>
    </cfRule>
  </conditionalFormatting>
  <conditionalFormatting sqref="H273">
    <cfRule type="cellIs" dxfId="1" priority="658" operator="equal">
      <formula>0</formula>
    </cfRule>
  </conditionalFormatting>
  <conditionalFormatting sqref="H2730">
    <cfRule type="expression" dxfId="0" priority="5724">
      <formula>H2731=0</formula>
    </cfRule>
  </conditionalFormatting>
  <conditionalFormatting sqref="H2731">
    <cfRule type="cellIs" dxfId="1" priority="5731" operator="equal">
      <formula>0</formula>
    </cfRule>
  </conditionalFormatting>
  <conditionalFormatting sqref="H2732">
    <cfRule type="cellIs" dxfId="1" priority="5736" operator="equal">
      <formula>0</formula>
    </cfRule>
  </conditionalFormatting>
  <conditionalFormatting sqref="H274">
    <cfRule type="cellIs" dxfId="1" priority="663" operator="equal">
      <formula>0</formula>
    </cfRule>
  </conditionalFormatting>
  <conditionalFormatting sqref="H275">
    <cfRule type="cellIs" dxfId="1" priority="669" operator="equal">
      <formula>0</formula>
    </cfRule>
  </conditionalFormatting>
  <conditionalFormatting sqref="H276">
    <cfRule type="cellIs" dxfId="1" priority="674" operator="equal">
      <formula>0</formula>
    </cfRule>
  </conditionalFormatting>
  <conditionalFormatting sqref="H277">
    <cfRule type="cellIs" dxfId="1" priority="678" operator="equal">
      <formula>0</formula>
    </cfRule>
  </conditionalFormatting>
  <conditionalFormatting sqref="H28">
    <cfRule type="cellIs" dxfId="1" priority="18" operator="equal">
      <formula>0</formula>
    </cfRule>
  </conditionalFormatting>
  <conditionalFormatting sqref="H29">
    <cfRule type="cellIs" dxfId="1" priority="28" operator="equal">
      <formula>0</formula>
    </cfRule>
  </conditionalFormatting>
  <conditionalFormatting sqref="H293">
    <cfRule type="cellIs" dxfId="1" priority="746" operator="equal">
      <formula>0</formula>
    </cfRule>
  </conditionalFormatting>
  <conditionalFormatting sqref="H295">
    <cfRule type="expression" dxfId="0" priority="753">
      <formula>H296=0</formula>
    </cfRule>
  </conditionalFormatting>
  <conditionalFormatting sqref="H296">
    <cfRule type="cellIs" dxfId="1" priority="761" operator="equal">
      <formula>0</formula>
    </cfRule>
  </conditionalFormatting>
  <conditionalFormatting sqref="H304">
    <cfRule type="cellIs" dxfId="1" priority="776" operator="equal">
      <formula>0</formula>
    </cfRule>
  </conditionalFormatting>
  <conditionalFormatting sqref="H307">
    <cfRule type="cellIs" dxfId="1" priority="781" operator="equal">
      <formula>0</formula>
    </cfRule>
  </conditionalFormatting>
  <conditionalFormatting sqref="H311">
    <cfRule type="cellIs" dxfId="1" priority="787" operator="equal">
      <formula>0</formula>
    </cfRule>
  </conditionalFormatting>
  <conditionalFormatting sqref="H313">
    <cfRule type="cellIs" dxfId="1" priority="791" operator="equal">
      <formula>0</formula>
    </cfRule>
  </conditionalFormatting>
  <conditionalFormatting sqref="H316">
    <cfRule type="cellIs" dxfId="1" priority="795" operator="equal">
      <formula>0</formula>
    </cfRule>
  </conditionalFormatting>
  <conditionalFormatting sqref="H32">
    <cfRule type="cellIs" dxfId="1" priority="41" operator="equal">
      <formula>0</formula>
    </cfRule>
  </conditionalFormatting>
  <conditionalFormatting sqref="H357">
    <cfRule type="expression" dxfId="0" priority="846">
      <formula>H358=0</formula>
    </cfRule>
  </conditionalFormatting>
  <conditionalFormatting sqref="H358">
    <cfRule type="cellIs" dxfId="1" priority="852" operator="equal">
      <formula>0</formula>
    </cfRule>
  </conditionalFormatting>
  <conditionalFormatting sqref="H361">
    <cfRule type="cellIs" dxfId="1" priority="864" operator="equal">
      <formula>0</formula>
    </cfRule>
  </conditionalFormatting>
  <conditionalFormatting sqref="H37">
    <cfRule type="cellIs" dxfId="1" priority="65" operator="equal">
      <formula>0</formula>
    </cfRule>
  </conditionalFormatting>
  <conditionalFormatting sqref="H387">
    <cfRule type="expression" dxfId="0" priority="905">
      <formula>H388=0</formula>
    </cfRule>
  </conditionalFormatting>
  <conditionalFormatting sqref="H388">
    <cfRule type="cellIs" dxfId="1" priority="912" operator="equal">
      <formula>0</formula>
    </cfRule>
  </conditionalFormatting>
  <conditionalFormatting sqref="H391">
    <cfRule type="cellIs" dxfId="1" priority="927" operator="equal">
      <formula>0</formula>
    </cfRule>
  </conditionalFormatting>
  <conditionalFormatting sqref="H429">
    <cfRule type="expression" dxfId="0" priority="964">
      <formula>H430=0</formula>
    </cfRule>
  </conditionalFormatting>
  <conditionalFormatting sqref="H430">
    <cfRule type="cellIs" dxfId="1" priority="974" operator="equal">
      <formula>0</formula>
    </cfRule>
  </conditionalFormatting>
  <conditionalFormatting sqref="H435">
    <cfRule type="cellIs" dxfId="1" priority="1002" operator="equal">
      <formula>0</formula>
    </cfRule>
  </conditionalFormatting>
  <conditionalFormatting sqref="H436">
    <cfRule type="cellIs" dxfId="1" priority="1007" operator="equal">
      <formula>0</formula>
    </cfRule>
  </conditionalFormatting>
  <conditionalFormatting sqref="H45">
    <cfRule type="cellIs" dxfId="1" priority="98" operator="equal">
      <formula>0</formula>
    </cfRule>
  </conditionalFormatting>
  <conditionalFormatting sqref="H468">
    <cfRule type="expression" dxfId="0" priority="1064">
      <formula>H469=0</formula>
    </cfRule>
  </conditionalFormatting>
  <conditionalFormatting sqref="H469">
    <cfRule type="cellIs" dxfId="1" priority="1073" operator="equal">
      <formula>0</formula>
    </cfRule>
  </conditionalFormatting>
  <conditionalFormatting sqref="H470">
    <cfRule type="cellIs" dxfId="1" priority="1081" operator="equal">
      <formula>0</formula>
    </cfRule>
  </conditionalFormatting>
  <conditionalFormatting sqref="H471">
    <cfRule type="cellIs" dxfId="1" priority="1086" operator="equal">
      <formula>0</formula>
    </cfRule>
  </conditionalFormatting>
  <conditionalFormatting sqref="H478">
    <cfRule type="expression" dxfId="0" priority="1114">
      <formula>H479=0</formula>
    </cfRule>
  </conditionalFormatting>
  <conditionalFormatting sqref="H479">
    <cfRule type="cellIs" dxfId="1" priority="1120" operator="equal">
      <formula>0</formula>
    </cfRule>
  </conditionalFormatting>
  <conditionalFormatting sqref="H48">
    <cfRule type="cellIs" dxfId="1" priority="112" operator="equal">
      <formula>0</formula>
    </cfRule>
  </conditionalFormatting>
  <conditionalFormatting sqref="H486">
    <cfRule type="cellIs" dxfId="1" priority="1131" operator="equal">
      <formula>0</formula>
    </cfRule>
  </conditionalFormatting>
  <conditionalFormatting sqref="H49">
    <cfRule type="cellIs" dxfId="1" priority="118" operator="equal">
      <formula>0</formula>
    </cfRule>
  </conditionalFormatting>
  <conditionalFormatting sqref="H50">
    <cfRule type="cellIs" dxfId="1" priority="123" operator="equal">
      <formula>0</formula>
    </cfRule>
  </conditionalFormatting>
  <conditionalFormatting sqref="H504">
    <cfRule type="expression" dxfId="0" priority="1149">
      <formula>H505=0</formula>
    </cfRule>
  </conditionalFormatting>
  <conditionalFormatting sqref="H505">
    <cfRule type="cellIs" dxfId="1" priority="1155" operator="equal">
      <formula>0</formula>
    </cfRule>
  </conditionalFormatting>
  <conditionalFormatting sqref="H510">
    <cfRule type="cellIs" dxfId="1" priority="1177" operator="equal">
      <formula>0</formula>
    </cfRule>
  </conditionalFormatting>
  <conditionalFormatting sqref="H53">
    <cfRule type="cellIs" dxfId="1" priority="137" operator="equal">
      <formula>0</formula>
    </cfRule>
  </conditionalFormatting>
  <conditionalFormatting sqref="H55">
    <cfRule type="expression" dxfId="0" priority="143">
      <formula>H56=0</formula>
    </cfRule>
  </conditionalFormatting>
  <conditionalFormatting sqref="H552">
    <cfRule type="expression" dxfId="0" priority="1240">
      <formula>H553=0</formula>
    </cfRule>
  </conditionalFormatting>
  <conditionalFormatting sqref="H553">
    <cfRule type="cellIs" dxfId="1" priority="1249" operator="equal">
      <formula>0</formula>
    </cfRule>
  </conditionalFormatting>
  <conditionalFormatting sqref="H555">
    <cfRule type="cellIs" dxfId="1" priority="1261" operator="equal">
      <formula>0</formula>
    </cfRule>
  </conditionalFormatting>
  <conditionalFormatting sqref="H558">
    <cfRule type="cellIs" dxfId="1" priority="1276" operator="equal">
      <formula>0</formula>
    </cfRule>
  </conditionalFormatting>
  <conditionalFormatting sqref="H56">
    <cfRule type="cellIs" dxfId="1" priority="151" operator="equal">
      <formula>0</formula>
    </cfRule>
  </conditionalFormatting>
  <conditionalFormatting sqref="H588">
    <cfRule type="expression" dxfId="0" priority="1320">
      <formula>H589=0</formula>
    </cfRule>
  </conditionalFormatting>
  <conditionalFormatting sqref="H589">
    <cfRule type="cellIs" dxfId="1" priority="1327" operator="equal">
      <formula>0</formula>
    </cfRule>
  </conditionalFormatting>
  <conditionalFormatting sqref="H592">
    <cfRule type="cellIs" dxfId="1" priority="1341" operator="equal">
      <formula>0</formula>
    </cfRule>
  </conditionalFormatting>
  <conditionalFormatting sqref="H618">
    <cfRule type="expression" dxfId="0" priority="1387">
      <formula>H619=0</formula>
    </cfRule>
  </conditionalFormatting>
  <conditionalFormatting sqref="H619">
    <cfRule type="cellIs" dxfId="1" priority="1393" operator="equal">
      <formula>0</formula>
    </cfRule>
  </conditionalFormatting>
  <conditionalFormatting sqref="H625">
    <cfRule type="cellIs" dxfId="1" priority="1418" operator="equal">
      <formula>0</formula>
    </cfRule>
  </conditionalFormatting>
  <conditionalFormatting sqref="H629">
    <cfRule type="expression" dxfId="0" priority="1431">
      <formula>H630=0</formula>
    </cfRule>
  </conditionalFormatting>
  <conditionalFormatting sqref="H630">
    <cfRule type="cellIs" dxfId="1" priority="1439" operator="equal">
      <formula>0</formula>
    </cfRule>
  </conditionalFormatting>
  <conditionalFormatting sqref="H635">
    <cfRule type="cellIs" dxfId="1" priority="1450" operator="equal">
      <formula>0</formula>
    </cfRule>
  </conditionalFormatting>
  <conditionalFormatting sqref="H64">
    <cfRule type="cellIs" dxfId="1" priority="166" operator="equal">
      <formula>0</formula>
    </cfRule>
  </conditionalFormatting>
  <conditionalFormatting sqref="H657">
    <cfRule type="expression" dxfId="0" priority="1478">
      <formula>H658=0</formula>
    </cfRule>
  </conditionalFormatting>
  <conditionalFormatting sqref="H658">
    <cfRule type="cellIs" dxfId="1" priority="1489" operator="equal">
      <formula>0</formula>
    </cfRule>
  </conditionalFormatting>
  <conditionalFormatting sqref="H661">
    <cfRule type="cellIs" dxfId="1" priority="1505" operator="equal">
      <formula>0</formula>
    </cfRule>
  </conditionalFormatting>
  <conditionalFormatting sqref="H664">
    <cfRule type="cellIs" dxfId="1" priority="1521" operator="equal">
      <formula>0</formula>
    </cfRule>
  </conditionalFormatting>
  <conditionalFormatting sqref="H668">
    <cfRule type="cellIs" dxfId="1" priority="1538" operator="equal">
      <formula>0</formula>
    </cfRule>
  </conditionalFormatting>
  <conditionalFormatting sqref="H669">
    <cfRule type="cellIs" dxfId="1" priority="1543" operator="equal">
      <formula>0</formula>
    </cfRule>
  </conditionalFormatting>
  <conditionalFormatting sqref="H67">
    <cfRule type="cellIs" dxfId="1" priority="171" operator="equal">
      <formula>0</formula>
    </cfRule>
  </conditionalFormatting>
  <conditionalFormatting sqref="H670">
    <cfRule type="cellIs" dxfId="1" priority="1547" operator="equal">
      <formula>0</formula>
    </cfRule>
  </conditionalFormatting>
  <conditionalFormatting sqref="H672">
    <cfRule type="cellIs" dxfId="1" priority="1553" operator="equal">
      <formula>0</formula>
    </cfRule>
  </conditionalFormatting>
  <conditionalFormatting sqref="H674">
    <cfRule type="expression" dxfId="0" priority="1559">
      <formula>H675=0</formula>
    </cfRule>
  </conditionalFormatting>
  <conditionalFormatting sqref="H675">
    <cfRule type="cellIs" dxfId="1" priority="1565" operator="equal">
      <formula>0</formula>
    </cfRule>
  </conditionalFormatting>
  <conditionalFormatting sqref="H678">
    <cfRule type="cellIs" dxfId="1" priority="1571" operator="equal">
      <formula>0</formula>
    </cfRule>
  </conditionalFormatting>
  <conditionalFormatting sqref="H684">
    <cfRule type="cellIs" dxfId="1" priority="1578" operator="equal">
      <formula>0</formula>
    </cfRule>
  </conditionalFormatting>
  <conditionalFormatting sqref="H685">
    <cfRule type="cellIs" dxfId="1" priority="1580" operator="equal">
      <formula>0</formula>
    </cfRule>
  </conditionalFormatting>
  <conditionalFormatting sqref="H688">
    <cfRule type="cellIs" dxfId="1" priority="1584" operator="equal">
      <formula>0</formula>
    </cfRule>
  </conditionalFormatting>
  <conditionalFormatting sqref="H71">
    <cfRule type="cellIs" dxfId="1" priority="177" operator="equal">
      <formula>0</formula>
    </cfRule>
  </conditionalFormatting>
  <conditionalFormatting sqref="H73">
    <cfRule type="cellIs" dxfId="1" priority="181" operator="equal">
      <formula>0</formula>
    </cfRule>
  </conditionalFormatting>
  <conditionalFormatting sqref="H750">
    <cfRule type="expression" dxfId="0" priority="1653">
      <formula>H751=0</formula>
    </cfRule>
  </conditionalFormatting>
  <conditionalFormatting sqref="H751">
    <cfRule type="cellIs" dxfId="1" priority="1659" operator="equal">
      <formula>0</formula>
    </cfRule>
  </conditionalFormatting>
  <conditionalFormatting sqref="H752">
    <cfRule type="cellIs" dxfId="1" priority="1665" operator="equal">
      <formula>0</formula>
    </cfRule>
  </conditionalFormatting>
  <conditionalFormatting sqref="H76">
    <cfRule type="cellIs" dxfId="1" priority="185" operator="equal">
      <formula>0</formula>
    </cfRule>
  </conditionalFormatting>
  <conditionalFormatting sqref="H792">
    <cfRule type="expression" dxfId="0" priority="1716">
      <formula>H793=0</formula>
    </cfRule>
  </conditionalFormatting>
  <conditionalFormatting sqref="H793">
    <cfRule type="cellIs" dxfId="1" priority="1724" operator="equal">
      <formula>0</formula>
    </cfRule>
  </conditionalFormatting>
  <conditionalFormatting sqref="H794">
    <cfRule type="cellIs" dxfId="1" priority="1730" operator="equal">
      <formula>0</formula>
    </cfRule>
  </conditionalFormatting>
  <conditionalFormatting sqref="H796">
    <cfRule type="cellIs" dxfId="1" priority="1740" operator="equal">
      <formula>0</formula>
    </cfRule>
  </conditionalFormatting>
  <conditionalFormatting sqref="H797">
    <cfRule type="cellIs" dxfId="1" priority="1744" operator="equal">
      <formula>0</formula>
    </cfRule>
  </conditionalFormatting>
  <conditionalFormatting sqref="H801">
    <cfRule type="cellIs" dxfId="1" priority="1760" operator="equal">
      <formula>0</formula>
    </cfRule>
  </conditionalFormatting>
  <conditionalFormatting sqref="H805">
    <cfRule type="cellIs" dxfId="1" priority="1775" operator="equal">
      <formula>0</formula>
    </cfRule>
  </conditionalFormatting>
  <conditionalFormatting sqref="H814">
    <cfRule type="cellIs" dxfId="1" priority="1813" operator="equal">
      <formula>0</formula>
    </cfRule>
  </conditionalFormatting>
  <conditionalFormatting sqref="H820">
    <cfRule type="expression" dxfId="0" priority="1836">
      <formula>H821=0</formula>
    </cfRule>
  </conditionalFormatting>
  <conditionalFormatting sqref="H821">
    <cfRule type="cellIs" dxfId="1" priority="1844" operator="equal">
      <formula>0</formula>
    </cfRule>
  </conditionalFormatting>
  <conditionalFormatting sqref="H829">
    <cfRule type="cellIs" dxfId="1" priority="1862" operator="equal">
      <formula>0</formula>
    </cfRule>
  </conditionalFormatting>
  <conditionalFormatting sqref="H831">
    <cfRule type="cellIs" dxfId="1" priority="1866" operator="equal">
      <formula>0</formula>
    </cfRule>
  </conditionalFormatting>
  <conditionalFormatting sqref="H832">
    <cfRule type="cellIs" dxfId="1" priority="1868" operator="equal">
      <formula>0</formula>
    </cfRule>
  </conditionalFormatting>
  <conditionalFormatting sqref="H882">
    <cfRule type="expression" dxfId="0" priority="1933">
      <formula>H883=0</formula>
    </cfRule>
  </conditionalFormatting>
  <conditionalFormatting sqref="H883">
    <cfRule type="cellIs" dxfId="1" priority="1940" operator="equal">
      <formula>0</formula>
    </cfRule>
  </conditionalFormatting>
  <conditionalFormatting sqref="H885">
    <cfRule type="cellIs" dxfId="1" priority="1950" operator="equal">
      <formula>0</formula>
    </cfRule>
  </conditionalFormatting>
  <conditionalFormatting sqref="H948">
    <cfRule type="expression" dxfId="0" priority="2026">
      <formula>H949=0</formula>
    </cfRule>
  </conditionalFormatting>
  <conditionalFormatting sqref="H949">
    <cfRule type="cellIs" dxfId="1" priority="2036" operator="equal">
      <formula>0</formula>
    </cfRule>
  </conditionalFormatting>
  <conditionalFormatting sqref="H955">
    <cfRule type="cellIs" dxfId="1" priority="2063" operator="equal">
      <formula>0</formula>
    </cfRule>
  </conditionalFormatting>
  <conditionalFormatting sqref="H987">
    <cfRule type="expression" dxfId="0" priority="2114">
      <formula>H988=0</formula>
    </cfRule>
  </conditionalFormatting>
  <conditionalFormatting sqref="H988">
    <cfRule type="cellIs" dxfId="1" priority="2123" operator="equal">
      <formula>0</formula>
    </cfRule>
  </conditionalFormatting>
  <conditionalFormatting sqref="H992">
    <cfRule type="cellIs" dxfId="1" priority="2140" operator="equal">
      <formula>0</formula>
    </cfRule>
  </conditionalFormatting>
  <conditionalFormatting sqref="I1083">
    <cfRule type="expression" dxfId="0" priority="2279">
      <formula>I1084=0</formula>
    </cfRule>
  </conditionalFormatting>
  <conditionalFormatting sqref="I1084">
    <cfRule type="cellIs" dxfId="1" priority="2290" operator="equal">
      <formula>0</formula>
    </cfRule>
  </conditionalFormatting>
  <conditionalFormatting sqref="I1086">
    <cfRule type="cellIs" dxfId="1" priority="2303" operator="equal">
      <formula>0</formula>
    </cfRule>
  </conditionalFormatting>
  <conditionalFormatting sqref="I1113">
    <cfRule type="expression" dxfId="0" priority="2412">
      <formula>I1114=0</formula>
    </cfRule>
  </conditionalFormatting>
  <conditionalFormatting sqref="I1114">
    <cfRule type="cellIs" dxfId="1" priority="2422" operator="equal">
      <formula>0</formula>
    </cfRule>
  </conditionalFormatting>
  <conditionalFormatting sqref="I1119">
    <cfRule type="cellIs" dxfId="1" priority="2435" operator="equal">
      <formula>0</formula>
    </cfRule>
  </conditionalFormatting>
  <conditionalFormatting sqref="I117">
    <cfRule type="expression" dxfId="0" priority="237">
      <formula>I118=0</formula>
    </cfRule>
  </conditionalFormatting>
  <conditionalFormatting sqref="I118">
    <cfRule type="cellIs" dxfId="1" priority="249" operator="equal">
      <formula>0</formula>
    </cfRule>
  </conditionalFormatting>
  <conditionalFormatting sqref="I1197">
    <cfRule type="expression" dxfId="0" priority="2553">
      <formula>I1198=0</formula>
    </cfRule>
  </conditionalFormatting>
  <conditionalFormatting sqref="I1198">
    <cfRule type="cellIs" dxfId="1" priority="2563" operator="equal">
      <formula>0</formula>
    </cfRule>
  </conditionalFormatting>
  <conditionalFormatting sqref="I1202">
    <cfRule type="cellIs" dxfId="1" priority="2579" operator="equal">
      <formula>0</formula>
    </cfRule>
  </conditionalFormatting>
  <conditionalFormatting sqref="I1246">
    <cfRule type="expression" dxfId="0" priority="2679">
      <formula>I1247=0</formula>
    </cfRule>
  </conditionalFormatting>
  <conditionalFormatting sqref="I1247">
    <cfRule type="cellIs" dxfId="1" priority="2687" operator="equal">
      <formula>0</formula>
    </cfRule>
  </conditionalFormatting>
  <conditionalFormatting sqref="I125">
    <cfRule type="cellIs" dxfId="1" priority="285" operator="equal">
      <formula>0</formula>
    </cfRule>
  </conditionalFormatting>
  <conditionalFormatting sqref="I1253">
    <cfRule type="cellIs" dxfId="1" priority="2700" operator="equal">
      <formula>0</formula>
    </cfRule>
  </conditionalFormatting>
  <conditionalFormatting sqref="I1257">
    <cfRule type="cellIs" dxfId="1" priority="2706" operator="equal">
      <formula>0</formula>
    </cfRule>
  </conditionalFormatting>
  <conditionalFormatting sqref="I127">
    <cfRule type="cellIs" dxfId="1" priority="293" operator="equal">
      <formula>0</formula>
    </cfRule>
  </conditionalFormatting>
  <conditionalFormatting sqref="I1278">
    <cfRule type="expression" dxfId="0" priority="2729">
      <formula>I1279=0</formula>
    </cfRule>
  </conditionalFormatting>
  <conditionalFormatting sqref="I1279">
    <cfRule type="cellIs" dxfId="1" priority="2736" operator="equal">
      <formula>0</formula>
    </cfRule>
  </conditionalFormatting>
  <conditionalFormatting sqref="I128">
    <cfRule type="cellIs" dxfId="1" priority="296" operator="equal">
      <formula>0</formula>
    </cfRule>
  </conditionalFormatting>
  <conditionalFormatting sqref="I1280">
    <cfRule type="cellIs" dxfId="1" priority="2741" operator="equal">
      <formula>0</formula>
    </cfRule>
  </conditionalFormatting>
  <conditionalFormatting sqref="I129">
    <cfRule type="cellIs" dxfId="1" priority="302" operator="equal">
      <formula>0</formula>
    </cfRule>
  </conditionalFormatting>
  <conditionalFormatting sqref="I1305">
    <cfRule type="expression" dxfId="0" priority="2784">
      <formula>I1306=0</formula>
    </cfRule>
  </conditionalFormatting>
  <conditionalFormatting sqref="I1306">
    <cfRule type="cellIs" dxfId="1" priority="2791" operator="equal">
      <formula>0</formula>
    </cfRule>
  </conditionalFormatting>
  <conditionalFormatting sqref="I1307">
    <cfRule type="cellIs" dxfId="1" priority="2796" operator="equal">
      <formula>0</formula>
    </cfRule>
  </conditionalFormatting>
  <conditionalFormatting sqref="I133">
    <cfRule type="cellIs" dxfId="1" priority="319" operator="equal">
      <formula>0</formula>
    </cfRule>
  </conditionalFormatting>
  <conditionalFormatting sqref="I1335">
    <cfRule type="expression" dxfId="0" priority="2851">
      <formula>I1336=0</formula>
    </cfRule>
  </conditionalFormatting>
  <conditionalFormatting sqref="I1336">
    <cfRule type="cellIs" dxfId="1" priority="2858" operator="equal">
      <formula>0</formula>
    </cfRule>
  </conditionalFormatting>
  <conditionalFormatting sqref="I1338">
    <cfRule type="cellIs" dxfId="1" priority="2866" operator="equal">
      <formula>0</formula>
    </cfRule>
  </conditionalFormatting>
  <conditionalFormatting sqref="I1362">
    <cfRule type="expression" dxfId="0" priority="2910">
      <formula>I1363=0</formula>
    </cfRule>
  </conditionalFormatting>
  <conditionalFormatting sqref="I1363">
    <cfRule type="cellIs" dxfId="1" priority="2917" operator="equal">
      <formula>0</formula>
    </cfRule>
  </conditionalFormatting>
  <conditionalFormatting sqref="I1364">
    <cfRule type="cellIs" dxfId="1" priority="2921" operator="equal">
      <formula>0</formula>
    </cfRule>
  </conditionalFormatting>
  <conditionalFormatting sqref="I1386">
    <cfRule type="expression" dxfId="0" priority="2959">
      <formula>I1387=0</formula>
    </cfRule>
  </conditionalFormatting>
  <conditionalFormatting sqref="I1387">
    <cfRule type="cellIs" dxfId="1" priority="2967" operator="equal">
      <formula>0</formula>
    </cfRule>
  </conditionalFormatting>
  <conditionalFormatting sqref="I1388">
    <cfRule type="cellIs" dxfId="1" priority="2971" operator="equal">
      <formula>0</formula>
    </cfRule>
  </conditionalFormatting>
  <conditionalFormatting sqref="I1392">
    <cfRule type="cellIs" dxfId="1" priority="2991" operator="equal">
      <formula>0</formula>
    </cfRule>
  </conditionalFormatting>
  <conditionalFormatting sqref="I1393">
    <cfRule type="cellIs" dxfId="1" priority="2995" operator="equal">
      <formula>0</formula>
    </cfRule>
  </conditionalFormatting>
  <conditionalFormatting sqref="I142">
    <cfRule type="cellIs" dxfId="1" priority="362" operator="equal">
      <formula>0</formula>
    </cfRule>
  </conditionalFormatting>
  <conditionalFormatting sqref="I1422">
    <cfRule type="expression" dxfId="0" priority="3043">
      <formula>I1423=0</formula>
    </cfRule>
  </conditionalFormatting>
  <conditionalFormatting sqref="I1423">
    <cfRule type="cellIs" dxfId="1" priority="3054" operator="equal">
      <formula>0</formula>
    </cfRule>
  </conditionalFormatting>
  <conditionalFormatting sqref="I1426">
    <cfRule type="cellIs" dxfId="1" priority="3071" operator="equal">
      <formula>0</formula>
    </cfRule>
  </conditionalFormatting>
  <conditionalFormatting sqref="I1427">
    <cfRule type="cellIs" dxfId="1" priority="3075" operator="equal">
      <formula>0</formula>
    </cfRule>
  </conditionalFormatting>
  <conditionalFormatting sqref="I1428">
    <cfRule type="cellIs" dxfId="1" priority="3082" operator="equal">
      <formula>0</formula>
    </cfRule>
  </conditionalFormatting>
  <conditionalFormatting sqref="I1432">
    <cfRule type="cellIs" dxfId="1" priority="3100" operator="equal">
      <formula>0</formula>
    </cfRule>
  </conditionalFormatting>
  <conditionalFormatting sqref="I1438">
    <cfRule type="cellIs" dxfId="1" priority="3127" operator="equal">
      <formula>0</formula>
    </cfRule>
  </conditionalFormatting>
  <conditionalFormatting sqref="I144">
    <cfRule type="expression" dxfId="0" priority="369">
      <formula>I145=0</formula>
    </cfRule>
  </conditionalFormatting>
  <conditionalFormatting sqref="I1443">
    <cfRule type="expression" dxfId="0" priority="3148">
      <formula>I1444=0</formula>
    </cfRule>
  </conditionalFormatting>
  <conditionalFormatting sqref="I1444">
    <cfRule type="cellIs" dxfId="1" priority="3155" operator="equal">
      <formula>0</formula>
    </cfRule>
  </conditionalFormatting>
  <conditionalFormatting sqref="I145">
    <cfRule type="cellIs" dxfId="1" priority="377" operator="equal">
      <formula>0</formula>
    </cfRule>
  </conditionalFormatting>
  <conditionalFormatting sqref="I1455">
    <cfRule type="cellIs" dxfId="1" priority="3173" operator="equal">
      <formula>0</formula>
    </cfRule>
  </conditionalFormatting>
  <conditionalFormatting sqref="I1462">
    <cfRule type="cellIs" dxfId="1" priority="3185" operator="equal">
      <formula>0</formula>
    </cfRule>
  </conditionalFormatting>
  <conditionalFormatting sqref="I1491">
    <cfRule type="expression" dxfId="0" priority="3216">
      <formula>I1492=0</formula>
    </cfRule>
  </conditionalFormatting>
  <conditionalFormatting sqref="I1492">
    <cfRule type="cellIs" dxfId="1" priority="3223" operator="equal">
      <formula>0</formula>
    </cfRule>
  </conditionalFormatting>
  <conditionalFormatting sqref="I1496">
    <cfRule type="cellIs" dxfId="1" priority="3242" operator="equal">
      <formula>0</formula>
    </cfRule>
  </conditionalFormatting>
  <conditionalFormatting sqref="I1554">
    <cfRule type="expression" dxfId="0" priority="3343">
      <formula>I1555=0</formula>
    </cfRule>
  </conditionalFormatting>
  <conditionalFormatting sqref="I1555">
    <cfRule type="cellIs" dxfId="1" priority="3354" operator="equal">
      <formula>0</formula>
    </cfRule>
  </conditionalFormatting>
  <conditionalFormatting sqref="I1559">
    <cfRule type="cellIs" dxfId="1" priority="3373" operator="equal">
      <formula>0</formula>
    </cfRule>
  </conditionalFormatting>
  <conditionalFormatting sqref="I1571">
    <cfRule type="cellIs" dxfId="1" priority="3427" operator="equal">
      <formula>0</formula>
    </cfRule>
  </conditionalFormatting>
  <conditionalFormatting sqref="I1573">
    <cfRule type="expression" dxfId="0" priority="3434">
      <formula>I1574=0</formula>
    </cfRule>
  </conditionalFormatting>
  <conditionalFormatting sqref="I1574">
    <cfRule type="cellIs" dxfId="1" priority="3441" operator="equal">
      <formula>0</formula>
    </cfRule>
  </conditionalFormatting>
  <conditionalFormatting sqref="I1587">
    <cfRule type="cellIs" dxfId="1" priority="3465" operator="equal">
      <formula>0</formula>
    </cfRule>
  </conditionalFormatting>
  <conditionalFormatting sqref="I162">
    <cfRule type="cellIs" dxfId="1" priority="405" operator="equal">
      <formula>0</formula>
    </cfRule>
  </conditionalFormatting>
  <conditionalFormatting sqref="I1644">
    <cfRule type="expression" dxfId="0" priority="3551">
      <formula>I1645=0</formula>
    </cfRule>
  </conditionalFormatting>
  <conditionalFormatting sqref="I1645">
    <cfRule type="cellIs" dxfId="1" priority="3560" operator="equal">
      <formula>0</formula>
    </cfRule>
  </conditionalFormatting>
  <conditionalFormatting sqref="I1649">
    <cfRule type="cellIs" dxfId="1" priority="3579" operator="equal">
      <formula>0</formula>
    </cfRule>
  </conditionalFormatting>
  <conditionalFormatting sqref="I1653">
    <cfRule type="expression" dxfId="0" priority="3595">
      <formula>I1654=0</formula>
    </cfRule>
  </conditionalFormatting>
  <conditionalFormatting sqref="I1654">
    <cfRule type="cellIs" dxfId="1" priority="3602" operator="equal">
      <formula>0</formula>
    </cfRule>
  </conditionalFormatting>
  <conditionalFormatting sqref="I1660">
    <cfRule type="cellIs" dxfId="1" priority="3613" operator="equal">
      <formula>0</formula>
    </cfRule>
  </conditionalFormatting>
  <conditionalFormatting sqref="I1782">
    <cfRule type="expression" dxfId="0" priority="3803">
      <formula>I1783=0</formula>
    </cfRule>
  </conditionalFormatting>
  <conditionalFormatting sqref="I1783">
    <cfRule type="cellIs" dxfId="1" priority="3811" operator="equal">
      <formula>0</formula>
    </cfRule>
  </conditionalFormatting>
  <conditionalFormatting sqref="I1785">
    <cfRule type="cellIs" dxfId="1" priority="3820" operator="equal">
      <formula>0</formula>
    </cfRule>
  </conditionalFormatting>
  <conditionalFormatting sqref="I1890">
    <cfRule type="expression" dxfId="0" priority="4033">
      <formula>I1891=0</formula>
    </cfRule>
  </conditionalFormatting>
  <conditionalFormatting sqref="I1891">
    <cfRule type="cellIs" dxfId="1" priority="4040" operator="equal">
      <formula>0</formula>
    </cfRule>
  </conditionalFormatting>
  <conditionalFormatting sqref="I1893">
    <cfRule type="cellIs" dxfId="1" priority="4047" operator="equal">
      <formula>0</formula>
    </cfRule>
  </conditionalFormatting>
  <conditionalFormatting sqref="I1959">
    <cfRule type="expression" dxfId="0" priority="4159">
      <formula>I1960=0</formula>
    </cfRule>
  </conditionalFormatting>
  <conditionalFormatting sqref="I1960">
    <cfRule type="cellIs" dxfId="1" priority="4166" operator="equal">
      <formula>0</formula>
    </cfRule>
  </conditionalFormatting>
  <conditionalFormatting sqref="I1964">
    <cfRule type="cellIs" dxfId="1" priority="4182" operator="equal">
      <formula>0</formula>
    </cfRule>
  </conditionalFormatting>
  <conditionalFormatting sqref="I1995">
    <cfRule type="expression" dxfId="0" priority="4226">
      <formula>I1996=0</formula>
    </cfRule>
  </conditionalFormatting>
  <conditionalFormatting sqref="I1996">
    <cfRule type="cellIs" dxfId="1" priority="4235" operator="equal">
      <formula>0</formula>
    </cfRule>
  </conditionalFormatting>
  <conditionalFormatting sqref="I1997">
    <cfRule type="cellIs" dxfId="1" priority="4242" operator="equal">
      <formula>0</formula>
    </cfRule>
  </conditionalFormatting>
  <conditionalFormatting sqref="I2000">
    <cfRule type="cellIs" dxfId="1" priority="4257" operator="equal">
      <formula>0</formula>
    </cfRule>
  </conditionalFormatting>
  <conditionalFormatting sqref="I2022">
    <cfRule type="expression" dxfId="0" priority="4282">
      <formula>I2023=0</formula>
    </cfRule>
  </conditionalFormatting>
  <conditionalFormatting sqref="I2023">
    <cfRule type="cellIs" dxfId="1" priority="4289" operator="equal">
      <formula>0</formula>
    </cfRule>
  </conditionalFormatting>
  <conditionalFormatting sqref="I2025">
    <cfRule type="cellIs" dxfId="1" priority="4297" operator="equal">
      <formula>0</formula>
    </cfRule>
  </conditionalFormatting>
  <conditionalFormatting sqref="I204">
    <cfRule type="expression" dxfId="0" priority="459">
      <formula>I205=0</formula>
    </cfRule>
  </conditionalFormatting>
  <conditionalFormatting sqref="I2041">
    <cfRule type="expression" dxfId="0" priority="4362">
      <formula>I2042=0</formula>
    </cfRule>
  </conditionalFormatting>
  <conditionalFormatting sqref="I2042">
    <cfRule type="cellIs" dxfId="1" priority="4371" operator="equal">
      <formula>0</formula>
    </cfRule>
  </conditionalFormatting>
  <conditionalFormatting sqref="I2048">
    <cfRule type="cellIs" dxfId="1" priority="4385" operator="equal">
      <formula>0</formula>
    </cfRule>
  </conditionalFormatting>
  <conditionalFormatting sqref="I205">
    <cfRule type="cellIs" dxfId="1" priority="471" operator="equal">
      <formula>0</formula>
    </cfRule>
  </conditionalFormatting>
  <conditionalFormatting sqref="I2085">
    <cfRule type="expression" dxfId="0" priority="4435">
      <formula>I2086=0</formula>
    </cfRule>
  </conditionalFormatting>
  <conditionalFormatting sqref="I2086">
    <cfRule type="cellIs" dxfId="1" priority="4444" operator="equal">
      <formula>0</formula>
    </cfRule>
  </conditionalFormatting>
  <conditionalFormatting sqref="I2088">
    <cfRule type="cellIs" dxfId="1" priority="4454" operator="equal">
      <formula>0</formula>
    </cfRule>
  </conditionalFormatting>
  <conditionalFormatting sqref="I209">
    <cfRule type="cellIs" dxfId="1" priority="494" operator="equal">
      <formula>0</formula>
    </cfRule>
  </conditionalFormatting>
  <conditionalFormatting sqref="I2115">
    <cfRule type="expression" dxfId="0" priority="4502">
      <formula>I2116=0</formula>
    </cfRule>
  </conditionalFormatting>
  <conditionalFormatting sqref="I2116">
    <cfRule type="cellIs" dxfId="1" priority="4509" operator="equal">
      <formula>0</formula>
    </cfRule>
  </conditionalFormatting>
  <conditionalFormatting sqref="I2117">
    <cfRule type="cellIs" dxfId="1" priority="4514" operator="equal">
      <formula>0</formula>
    </cfRule>
  </conditionalFormatting>
  <conditionalFormatting sqref="I218">
    <cfRule type="cellIs" dxfId="1" priority="534" operator="equal">
      <formula>0</formula>
    </cfRule>
  </conditionalFormatting>
  <conditionalFormatting sqref="I221">
    <cfRule type="cellIs" dxfId="1" priority="546" operator="equal">
      <formula>0</formula>
    </cfRule>
  </conditionalFormatting>
  <conditionalFormatting sqref="I2290">
    <cfRule type="expression" dxfId="0" priority="4845">
      <formula>I2291=0</formula>
    </cfRule>
  </conditionalFormatting>
  <conditionalFormatting sqref="I2291">
    <cfRule type="cellIs" dxfId="1" priority="4853" operator="equal">
      <formula>0</formula>
    </cfRule>
  </conditionalFormatting>
  <conditionalFormatting sqref="I2300">
    <cfRule type="cellIs" dxfId="1" priority="4872" operator="equal">
      <formula>0</formula>
    </cfRule>
  </conditionalFormatting>
  <conditionalFormatting sqref="I2303">
    <cfRule type="cellIs" dxfId="1" priority="4878" operator="equal">
      <formula>0</formula>
    </cfRule>
  </conditionalFormatting>
  <conditionalFormatting sqref="I2304">
    <cfRule type="cellIs" dxfId="1" priority="4880" operator="equal">
      <formula>0</formula>
    </cfRule>
  </conditionalFormatting>
  <conditionalFormatting sqref="I2334">
    <cfRule type="expression" dxfId="0" priority="4916">
      <formula>I2335=0</formula>
    </cfRule>
  </conditionalFormatting>
  <conditionalFormatting sqref="I2335">
    <cfRule type="cellIs" dxfId="1" priority="4926" operator="equal">
      <formula>0</formula>
    </cfRule>
  </conditionalFormatting>
  <conditionalFormatting sqref="I2339">
    <cfRule type="cellIs" dxfId="1" priority="4947" operator="equal">
      <formula>0</formula>
    </cfRule>
  </conditionalFormatting>
  <conditionalFormatting sqref="I2341">
    <cfRule type="cellIs" dxfId="1" priority="4955" operator="equal">
      <formula>0</formula>
    </cfRule>
  </conditionalFormatting>
  <conditionalFormatting sqref="I2343">
    <cfRule type="cellIs" dxfId="1" priority="4963" operator="equal">
      <formula>0</formula>
    </cfRule>
  </conditionalFormatting>
  <conditionalFormatting sqref="I2344">
    <cfRule type="cellIs" dxfId="1" priority="4968" operator="equal">
      <formula>0</formula>
    </cfRule>
  </conditionalFormatting>
  <conditionalFormatting sqref="I2348">
    <cfRule type="cellIs" dxfId="1" priority="4988" operator="equal">
      <formula>0</formula>
    </cfRule>
  </conditionalFormatting>
  <conditionalFormatting sqref="I2349">
    <cfRule type="cellIs" dxfId="1" priority="4993" operator="equal">
      <formula>0</formula>
    </cfRule>
  </conditionalFormatting>
  <conditionalFormatting sqref="I2391">
    <cfRule type="expression" dxfId="0" priority="5064">
      <formula>I2392=0</formula>
    </cfRule>
  </conditionalFormatting>
  <conditionalFormatting sqref="I2392">
    <cfRule type="cellIs" dxfId="1" priority="5074" operator="equal">
      <formula>0</formula>
    </cfRule>
  </conditionalFormatting>
  <conditionalFormatting sqref="I2395">
    <cfRule type="cellIs" dxfId="1" priority="5087" operator="equal">
      <formula>0</formula>
    </cfRule>
  </conditionalFormatting>
  <conditionalFormatting sqref="I2399">
    <cfRule type="cellIs" dxfId="1" priority="5104" operator="equal">
      <formula>0</formula>
    </cfRule>
  </conditionalFormatting>
  <conditionalFormatting sqref="I2556">
    <cfRule type="expression" dxfId="0" priority="5389">
      <formula>I2557=0</formula>
    </cfRule>
  </conditionalFormatting>
  <conditionalFormatting sqref="I2557">
    <cfRule type="cellIs" dxfId="1" priority="5399" operator="equal">
      <formula>0</formula>
    </cfRule>
  </conditionalFormatting>
  <conditionalFormatting sqref="I2562">
    <cfRule type="cellIs" dxfId="1" priority="5421" operator="equal">
      <formula>0</formula>
    </cfRule>
  </conditionalFormatting>
  <conditionalFormatting sqref="I2565">
    <cfRule type="cellIs" dxfId="1" priority="5433" operator="equal">
      <formula>0</formula>
    </cfRule>
  </conditionalFormatting>
  <conditionalFormatting sqref="I2569">
    <cfRule type="expression" dxfId="0" priority="5447">
      <formula>I2570=0</formula>
    </cfRule>
  </conditionalFormatting>
  <conditionalFormatting sqref="I2570">
    <cfRule type="cellIs" dxfId="1" priority="5454" operator="equal">
      <formula>0</formula>
    </cfRule>
  </conditionalFormatting>
  <conditionalFormatting sqref="I2578">
    <cfRule type="cellIs" dxfId="1" priority="5464" operator="equal">
      <formula>0</formula>
    </cfRule>
  </conditionalFormatting>
  <conditionalFormatting sqref="I2579">
    <cfRule type="cellIs" dxfId="1" priority="5466" operator="equal">
      <formula>0</formula>
    </cfRule>
  </conditionalFormatting>
  <conditionalFormatting sqref="I2649">
    <cfRule type="expression" dxfId="0" priority="5565">
      <formula>I2650=0</formula>
    </cfRule>
  </conditionalFormatting>
  <conditionalFormatting sqref="I2650">
    <cfRule type="cellIs" dxfId="1" priority="5572" operator="equal">
      <formula>0</formula>
    </cfRule>
  </conditionalFormatting>
  <conditionalFormatting sqref="I2651">
    <cfRule type="cellIs" dxfId="1" priority="5577" operator="equal">
      <formula>0</formula>
    </cfRule>
  </conditionalFormatting>
  <conditionalFormatting sqref="I267">
    <cfRule type="expression" dxfId="0" priority="617">
      <formula>I268=0</formula>
    </cfRule>
  </conditionalFormatting>
  <conditionalFormatting sqref="I268">
    <cfRule type="cellIs" dxfId="1" priority="629" operator="equal">
      <formula>0</formula>
    </cfRule>
  </conditionalFormatting>
  <conditionalFormatting sqref="I27">
    <cfRule type="expression" dxfId="0" priority="7">
      <formula>I28=0</formula>
    </cfRule>
  </conditionalFormatting>
  <conditionalFormatting sqref="I270">
    <cfRule type="cellIs" dxfId="1" priority="642" operator="equal">
      <formula>0</formula>
    </cfRule>
  </conditionalFormatting>
  <conditionalFormatting sqref="I2706">
    <cfRule type="expression" dxfId="0" priority="5683">
      <formula>I2707=0</formula>
    </cfRule>
  </conditionalFormatting>
  <conditionalFormatting sqref="I2707">
    <cfRule type="cellIs" dxfId="1" priority="5690" operator="equal">
      <formula>0</formula>
    </cfRule>
  </conditionalFormatting>
  <conditionalFormatting sqref="I2710">
    <cfRule type="cellIs" dxfId="1" priority="5703" operator="equal">
      <formula>0</formula>
    </cfRule>
  </conditionalFormatting>
  <conditionalFormatting sqref="I272">
    <cfRule type="cellIs" dxfId="1" priority="654" operator="equal">
      <formula>0</formula>
    </cfRule>
  </conditionalFormatting>
  <conditionalFormatting sqref="I273">
    <cfRule type="cellIs" dxfId="1" priority="659" operator="equal">
      <formula>0</formula>
    </cfRule>
  </conditionalFormatting>
  <conditionalFormatting sqref="I2730">
    <cfRule type="expression" dxfId="0" priority="5725">
      <formula>I2731=0</formula>
    </cfRule>
  </conditionalFormatting>
  <conditionalFormatting sqref="I2731">
    <cfRule type="cellIs" dxfId="1" priority="5732" operator="equal">
      <formula>0</formula>
    </cfRule>
  </conditionalFormatting>
  <conditionalFormatting sqref="I2732">
    <cfRule type="cellIs" dxfId="1" priority="5737" operator="equal">
      <formula>0</formula>
    </cfRule>
  </conditionalFormatting>
  <conditionalFormatting sqref="I274">
    <cfRule type="cellIs" dxfId="1" priority="664" operator="equal">
      <formula>0</formula>
    </cfRule>
  </conditionalFormatting>
  <conditionalFormatting sqref="I28">
    <cfRule type="cellIs" dxfId="1" priority="19" operator="equal">
      <formula>0</formula>
    </cfRule>
  </conditionalFormatting>
  <conditionalFormatting sqref="I281">
    <cfRule type="cellIs" dxfId="1" priority="694" operator="equal">
      <formula>0</formula>
    </cfRule>
  </conditionalFormatting>
  <conditionalFormatting sqref="I287">
    <cfRule type="cellIs" dxfId="1" priority="721" operator="equal">
      <formula>0</formula>
    </cfRule>
  </conditionalFormatting>
  <conditionalFormatting sqref="I295">
    <cfRule type="expression" dxfId="0" priority="754">
      <formula>I296=0</formula>
    </cfRule>
  </conditionalFormatting>
  <conditionalFormatting sqref="I296">
    <cfRule type="cellIs" dxfId="1" priority="762" operator="equal">
      <formula>0</formula>
    </cfRule>
  </conditionalFormatting>
  <conditionalFormatting sqref="I314">
    <cfRule type="cellIs" dxfId="1" priority="792" operator="equal">
      <formula>0</formula>
    </cfRule>
  </conditionalFormatting>
  <conditionalFormatting sqref="I36">
    <cfRule type="cellIs" dxfId="1" priority="59" operator="equal">
      <formula>0</formula>
    </cfRule>
  </conditionalFormatting>
  <conditionalFormatting sqref="I387">
    <cfRule type="expression" dxfId="0" priority="906">
      <formula>I388=0</formula>
    </cfRule>
  </conditionalFormatting>
  <conditionalFormatting sqref="I388">
    <cfRule type="cellIs" dxfId="1" priority="913" operator="equal">
      <formula>0</formula>
    </cfRule>
  </conditionalFormatting>
  <conditionalFormatting sqref="I389">
    <cfRule type="cellIs" dxfId="1" priority="916" operator="equal">
      <formula>0</formula>
    </cfRule>
  </conditionalFormatting>
  <conditionalFormatting sqref="I39">
    <cfRule type="cellIs" dxfId="1" priority="72" operator="equal">
      <formula>0</formula>
    </cfRule>
  </conditionalFormatting>
  <conditionalFormatting sqref="I429">
    <cfRule type="expression" dxfId="0" priority="965">
      <formula>I430=0</formula>
    </cfRule>
  </conditionalFormatting>
  <conditionalFormatting sqref="I43">
    <cfRule type="cellIs" dxfId="1" priority="90" operator="equal">
      <formula>0</formula>
    </cfRule>
  </conditionalFormatting>
  <conditionalFormatting sqref="I430">
    <cfRule type="cellIs" dxfId="1" priority="975" operator="equal">
      <formula>0</formula>
    </cfRule>
  </conditionalFormatting>
  <conditionalFormatting sqref="I431">
    <cfRule type="cellIs" dxfId="1" priority="982" operator="equal">
      <formula>0</formula>
    </cfRule>
  </conditionalFormatting>
  <conditionalFormatting sqref="I433">
    <cfRule type="cellIs" dxfId="1" priority="991" operator="equal">
      <formula>0</formula>
    </cfRule>
  </conditionalFormatting>
  <conditionalFormatting sqref="I45">
    <cfRule type="cellIs" dxfId="1" priority="99" operator="equal">
      <formula>0</formula>
    </cfRule>
  </conditionalFormatting>
  <conditionalFormatting sqref="I468">
    <cfRule type="expression" dxfId="0" priority="1065">
      <formula>I469=0</formula>
    </cfRule>
  </conditionalFormatting>
  <conditionalFormatting sqref="I469">
    <cfRule type="cellIs" dxfId="1" priority="1074" operator="equal">
      <formula>0</formula>
    </cfRule>
  </conditionalFormatting>
  <conditionalFormatting sqref="I475">
    <cfRule type="cellIs" dxfId="1" priority="1102" operator="equal">
      <formula>0</formula>
    </cfRule>
  </conditionalFormatting>
  <conditionalFormatting sqref="I48">
    <cfRule type="cellIs" dxfId="1" priority="113" operator="equal">
      <formula>0</formula>
    </cfRule>
  </conditionalFormatting>
  <conditionalFormatting sqref="I52">
    <cfRule type="cellIs" dxfId="1" priority="133" operator="equal">
      <formula>0</formula>
    </cfRule>
  </conditionalFormatting>
  <conditionalFormatting sqref="I55">
    <cfRule type="expression" dxfId="0" priority="144">
      <formula>I56=0</formula>
    </cfRule>
  </conditionalFormatting>
  <conditionalFormatting sqref="I552">
    <cfRule type="expression" dxfId="0" priority="1241">
      <formula>I553=0</formula>
    </cfRule>
  </conditionalFormatting>
  <conditionalFormatting sqref="I553">
    <cfRule type="cellIs" dxfId="1" priority="1250" operator="equal">
      <formula>0</formula>
    </cfRule>
  </conditionalFormatting>
  <conditionalFormatting sqref="I557">
    <cfRule type="cellIs" dxfId="1" priority="1270" operator="equal">
      <formula>0</formula>
    </cfRule>
  </conditionalFormatting>
  <conditionalFormatting sqref="I56">
    <cfRule type="cellIs" dxfId="1" priority="152" operator="equal">
      <formula>0</formula>
    </cfRule>
  </conditionalFormatting>
  <conditionalFormatting sqref="I560">
    <cfRule type="cellIs" dxfId="1" priority="1284" operator="equal">
      <formula>0</formula>
    </cfRule>
  </conditionalFormatting>
  <conditionalFormatting sqref="I588">
    <cfRule type="expression" dxfId="0" priority="1321">
      <formula>I589=0</formula>
    </cfRule>
  </conditionalFormatting>
  <conditionalFormatting sqref="I589">
    <cfRule type="cellIs" dxfId="1" priority="1328" operator="equal">
      <formula>0</formula>
    </cfRule>
  </conditionalFormatting>
  <conditionalFormatting sqref="I592">
    <cfRule type="cellIs" dxfId="1" priority="1342" operator="equal">
      <formula>0</formula>
    </cfRule>
  </conditionalFormatting>
  <conditionalFormatting sqref="I629">
    <cfRule type="expression" dxfId="0" priority="1432">
      <formula>I630=0</formula>
    </cfRule>
  </conditionalFormatting>
  <conditionalFormatting sqref="I630">
    <cfRule type="cellIs" dxfId="1" priority="1440" operator="equal">
      <formula>0</formula>
    </cfRule>
  </conditionalFormatting>
  <conditionalFormatting sqref="I636">
    <cfRule type="cellIs" dxfId="1" priority="1451" operator="equal">
      <formula>0</formula>
    </cfRule>
  </conditionalFormatting>
  <conditionalFormatting sqref="I657">
    <cfRule type="expression" dxfId="0" priority="1479">
      <formula>I658=0</formula>
    </cfRule>
  </conditionalFormatting>
  <conditionalFormatting sqref="I658">
    <cfRule type="cellIs" dxfId="1" priority="1490" operator="equal">
      <formula>0</formula>
    </cfRule>
  </conditionalFormatting>
  <conditionalFormatting sqref="I661">
    <cfRule type="cellIs" dxfId="1" priority="1506" operator="equal">
      <formula>0</formula>
    </cfRule>
  </conditionalFormatting>
  <conditionalFormatting sqref="I662">
    <cfRule type="cellIs" dxfId="1" priority="1511" operator="equal">
      <formula>0</formula>
    </cfRule>
  </conditionalFormatting>
  <conditionalFormatting sqref="I667">
    <cfRule type="cellIs" dxfId="1" priority="1536" operator="equal">
      <formula>0</formula>
    </cfRule>
  </conditionalFormatting>
  <conditionalFormatting sqref="I669">
    <cfRule type="cellIs" dxfId="1" priority="1544" operator="equal">
      <formula>0</formula>
    </cfRule>
  </conditionalFormatting>
  <conditionalFormatting sqref="I670">
    <cfRule type="cellIs" dxfId="1" priority="1548" operator="equal">
      <formula>0</formula>
    </cfRule>
  </conditionalFormatting>
  <conditionalFormatting sqref="I74">
    <cfRule type="cellIs" dxfId="1" priority="182" operator="equal">
      <formula>0</formula>
    </cfRule>
  </conditionalFormatting>
  <conditionalFormatting sqref="I792">
    <cfRule type="expression" dxfId="0" priority="1717">
      <formula>I793=0</formula>
    </cfRule>
  </conditionalFormatting>
  <conditionalFormatting sqref="I793">
    <cfRule type="cellIs" dxfId="1" priority="1725" operator="equal">
      <formula>0</formula>
    </cfRule>
  </conditionalFormatting>
  <conditionalFormatting sqref="I794">
    <cfRule type="cellIs" dxfId="1" priority="1731" operator="equal">
      <formula>0</formula>
    </cfRule>
  </conditionalFormatting>
  <conditionalFormatting sqref="I820">
    <cfRule type="expression" dxfId="0" priority="1837">
      <formula>I821=0</formula>
    </cfRule>
  </conditionalFormatting>
  <conditionalFormatting sqref="I821">
    <cfRule type="cellIs" dxfId="1" priority="1845" operator="equal">
      <formula>0</formula>
    </cfRule>
  </conditionalFormatting>
  <conditionalFormatting sqref="I830">
    <cfRule type="cellIs" dxfId="1" priority="1864" operator="equal">
      <formula>0</formula>
    </cfRule>
  </conditionalFormatting>
  <conditionalFormatting sqref="I833">
    <cfRule type="cellIs" dxfId="1" priority="1870" operator="equal">
      <formula>0</formula>
    </cfRule>
  </conditionalFormatting>
  <conditionalFormatting sqref="I837">
    <cfRule type="cellIs" dxfId="1" priority="1878" operator="equal">
      <formula>0</formula>
    </cfRule>
  </conditionalFormatting>
  <conditionalFormatting sqref="I846">
    <cfRule type="cellIs" dxfId="1" priority="1895" operator="equal">
      <formula>0</formula>
    </cfRule>
  </conditionalFormatting>
  <conditionalFormatting sqref="I882">
    <cfRule type="expression" dxfId="0" priority="1934">
      <formula>I883=0</formula>
    </cfRule>
  </conditionalFormatting>
  <conditionalFormatting sqref="I883">
    <cfRule type="cellIs" dxfId="1" priority="1941" operator="equal">
      <formula>0</formula>
    </cfRule>
  </conditionalFormatting>
  <conditionalFormatting sqref="I885">
    <cfRule type="cellIs" dxfId="1" priority="1951" operator="equal">
      <formula>0</formula>
    </cfRule>
  </conditionalFormatting>
  <conditionalFormatting sqref="I948">
    <cfRule type="expression" dxfId="0" priority="2027">
      <formula>I949=0</formula>
    </cfRule>
  </conditionalFormatting>
  <conditionalFormatting sqref="I949">
    <cfRule type="cellIs" dxfId="1" priority="2037" operator="equal">
      <formula>0</formula>
    </cfRule>
  </conditionalFormatting>
  <conditionalFormatting sqref="I952">
    <cfRule type="cellIs" dxfId="1" priority="2051" operator="equal">
      <formula>0</formula>
    </cfRule>
  </conditionalFormatting>
  <conditionalFormatting sqref="I987">
    <cfRule type="expression" dxfId="0" priority="2115">
      <formula>I988=0</formula>
    </cfRule>
  </conditionalFormatting>
  <conditionalFormatting sqref="I988">
    <cfRule type="cellIs" dxfId="1" priority="2124" operator="equal">
      <formula>0</formula>
    </cfRule>
  </conditionalFormatting>
  <conditionalFormatting sqref="I992">
    <cfRule type="cellIs" dxfId="1" priority="2141" operator="equal">
      <formula>0</formula>
    </cfRule>
  </conditionalFormatting>
  <conditionalFormatting sqref="J1083">
    <cfRule type="expression" dxfId="0" priority="2280">
      <formula>J1084=0</formula>
    </cfRule>
  </conditionalFormatting>
  <conditionalFormatting sqref="J1084">
    <cfRule type="cellIs" dxfId="1" priority="2291" operator="equal">
      <formula>0</formula>
    </cfRule>
  </conditionalFormatting>
  <conditionalFormatting sqref="J1111">
    <cfRule type="cellIs" dxfId="1" priority="2405" operator="equal">
      <formula>0</formula>
    </cfRule>
  </conditionalFormatting>
  <conditionalFormatting sqref="J1113">
    <cfRule type="expression" dxfId="0" priority="2413">
      <formula>J1114=0</formula>
    </cfRule>
  </conditionalFormatting>
  <conditionalFormatting sqref="J1114">
    <cfRule type="cellIs" dxfId="1" priority="2423" operator="equal">
      <formula>0</formula>
    </cfRule>
  </conditionalFormatting>
  <conditionalFormatting sqref="J1124">
    <cfRule type="cellIs" dxfId="1" priority="2445" operator="equal">
      <formula>0</formula>
    </cfRule>
  </conditionalFormatting>
  <conditionalFormatting sqref="J1128">
    <cfRule type="cellIs" dxfId="1" priority="2452" operator="equal">
      <formula>0</formula>
    </cfRule>
  </conditionalFormatting>
  <conditionalFormatting sqref="J1130">
    <cfRule type="cellIs" dxfId="1" priority="2456" operator="equal">
      <formula>0</formula>
    </cfRule>
  </conditionalFormatting>
  <conditionalFormatting sqref="J117">
    <cfRule type="expression" dxfId="0" priority="238">
      <formula>J118=0</formula>
    </cfRule>
  </conditionalFormatting>
  <conditionalFormatting sqref="J118">
    <cfRule type="cellIs" dxfId="1" priority="250" operator="equal">
      <formula>0</formula>
    </cfRule>
  </conditionalFormatting>
  <conditionalFormatting sqref="J1197">
    <cfRule type="expression" dxfId="0" priority="2554">
      <formula>J1198=0</formula>
    </cfRule>
  </conditionalFormatting>
  <conditionalFormatting sqref="J1198">
    <cfRule type="cellIs" dxfId="1" priority="2564" operator="equal">
      <formula>0</formula>
    </cfRule>
  </conditionalFormatting>
  <conditionalFormatting sqref="J1203">
    <cfRule type="cellIs" dxfId="1" priority="2582" operator="equal">
      <formula>0</formula>
    </cfRule>
  </conditionalFormatting>
  <conditionalFormatting sqref="J123">
    <cfRule type="cellIs" dxfId="1" priority="277" operator="equal">
      <formula>0</formula>
    </cfRule>
  </conditionalFormatting>
  <conditionalFormatting sqref="J1246">
    <cfRule type="expression" dxfId="0" priority="2680">
      <formula>J1247=0</formula>
    </cfRule>
  </conditionalFormatting>
  <conditionalFormatting sqref="J1247">
    <cfRule type="cellIs" dxfId="1" priority="2688" operator="equal">
      <formula>0</formula>
    </cfRule>
  </conditionalFormatting>
  <conditionalFormatting sqref="J125">
    <cfRule type="cellIs" dxfId="1" priority="286" operator="equal">
      <formula>0</formula>
    </cfRule>
  </conditionalFormatting>
  <conditionalFormatting sqref="J1254">
    <cfRule type="cellIs" dxfId="1" priority="2701" operator="equal">
      <formula>0</formula>
    </cfRule>
  </conditionalFormatting>
  <conditionalFormatting sqref="J134">
    <cfRule type="cellIs" dxfId="1" priority="324" operator="equal">
      <formula>0</formula>
    </cfRule>
  </conditionalFormatting>
  <conditionalFormatting sqref="J136">
    <cfRule type="cellIs" dxfId="1" priority="333" operator="equal">
      <formula>0</formula>
    </cfRule>
  </conditionalFormatting>
  <conditionalFormatting sqref="J138">
    <cfRule type="cellIs" dxfId="1" priority="343" operator="equal">
      <formula>0</formula>
    </cfRule>
  </conditionalFormatting>
  <conditionalFormatting sqref="J1386">
    <cfRule type="expression" dxfId="0" priority="2960">
      <formula>J1387=0</formula>
    </cfRule>
  </conditionalFormatting>
  <conditionalFormatting sqref="J1387">
    <cfRule type="cellIs" dxfId="1" priority="2968" operator="equal">
      <formula>0</formula>
    </cfRule>
  </conditionalFormatting>
  <conditionalFormatting sqref="J1388">
    <cfRule type="cellIs" dxfId="1" priority="2972" operator="equal">
      <formula>0</formula>
    </cfRule>
  </conditionalFormatting>
  <conditionalFormatting sqref="J1391">
    <cfRule type="cellIs" dxfId="1" priority="2986" operator="equal">
      <formula>0</formula>
    </cfRule>
  </conditionalFormatting>
  <conditionalFormatting sqref="J141">
    <cfRule type="cellIs" dxfId="1" priority="357" operator="equal">
      <formula>0</formula>
    </cfRule>
  </conditionalFormatting>
  <conditionalFormatting sqref="J1422">
    <cfRule type="expression" dxfId="0" priority="3044">
      <formula>J1423=0</formula>
    </cfRule>
  </conditionalFormatting>
  <conditionalFormatting sqref="J1423">
    <cfRule type="cellIs" dxfId="1" priority="3055" operator="equal">
      <formula>0</formula>
    </cfRule>
  </conditionalFormatting>
  <conditionalFormatting sqref="J1427">
    <cfRule type="cellIs" dxfId="1" priority="3076" operator="equal">
      <formula>0</formula>
    </cfRule>
  </conditionalFormatting>
  <conditionalFormatting sqref="J1429">
    <cfRule type="cellIs" dxfId="1" priority="3087" operator="equal">
      <formula>0</formula>
    </cfRule>
  </conditionalFormatting>
  <conditionalFormatting sqref="J1436">
    <cfRule type="cellIs" dxfId="1" priority="3116" operator="equal">
      <formula>0</formula>
    </cfRule>
  </conditionalFormatting>
  <conditionalFormatting sqref="J144">
    <cfRule type="expression" dxfId="0" priority="370">
      <formula>J145=0</formula>
    </cfRule>
  </conditionalFormatting>
  <conditionalFormatting sqref="J1440">
    <cfRule type="cellIs" dxfId="1" priority="3137" operator="equal">
      <formula>0</formula>
    </cfRule>
  </conditionalFormatting>
  <conditionalFormatting sqref="J1441">
    <cfRule type="cellIs" dxfId="1" priority="3139" operator="equal">
      <formula>0</formula>
    </cfRule>
  </conditionalFormatting>
  <conditionalFormatting sqref="J145">
    <cfRule type="cellIs" dxfId="1" priority="378" operator="equal">
      <formula>0</formula>
    </cfRule>
  </conditionalFormatting>
  <conditionalFormatting sqref="J1554">
    <cfRule type="expression" dxfId="0" priority="3344">
      <formula>J1555=0</formula>
    </cfRule>
  </conditionalFormatting>
  <conditionalFormatting sqref="J1555">
    <cfRule type="cellIs" dxfId="1" priority="3355" operator="equal">
      <formula>0</formula>
    </cfRule>
  </conditionalFormatting>
  <conditionalFormatting sqref="J1558">
    <cfRule type="cellIs" dxfId="1" priority="3369" operator="equal">
      <formula>0</formula>
    </cfRule>
  </conditionalFormatting>
  <conditionalFormatting sqref="J1560">
    <cfRule type="cellIs" dxfId="1" priority="3377" operator="equal">
      <formula>0</formula>
    </cfRule>
  </conditionalFormatting>
  <conditionalFormatting sqref="J1644">
    <cfRule type="expression" dxfId="0" priority="3552">
      <formula>J1645=0</formula>
    </cfRule>
  </conditionalFormatting>
  <conditionalFormatting sqref="J1645">
    <cfRule type="cellIs" dxfId="1" priority="3561" operator="equal">
      <formula>0</formula>
    </cfRule>
  </conditionalFormatting>
  <conditionalFormatting sqref="J1649">
    <cfRule type="cellIs" dxfId="1" priority="3580" operator="equal">
      <formula>0</formula>
    </cfRule>
  </conditionalFormatting>
  <conditionalFormatting sqref="J169">
    <cfRule type="cellIs" dxfId="1" priority="416" operator="equal">
      <formula>0</formula>
    </cfRule>
  </conditionalFormatting>
  <conditionalFormatting sqref="J1782">
    <cfRule type="expression" dxfId="0" priority="3804">
      <formula>J1783=0</formula>
    </cfRule>
  </conditionalFormatting>
  <conditionalFormatting sqref="J1783">
    <cfRule type="cellIs" dxfId="1" priority="3812" operator="equal">
      <formula>0</formula>
    </cfRule>
  </conditionalFormatting>
  <conditionalFormatting sqref="J1785">
    <cfRule type="cellIs" dxfId="1" priority="3821" operator="equal">
      <formula>0</formula>
    </cfRule>
  </conditionalFormatting>
  <conditionalFormatting sqref="J1995">
    <cfRule type="expression" dxfId="0" priority="4227">
      <formula>J1996=0</formula>
    </cfRule>
  </conditionalFormatting>
  <conditionalFormatting sqref="J1996">
    <cfRule type="cellIs" dxfId="1" priority="4236" operator="equal">
      <formula>0</formula>
    </cfRule>
  </conditionalFormatting>
  <conditionalFormatting sqref="J1998">
    <cfRule type="cellIs" dxfId="1" priority="4247" operator="equal">
      <formula>0</formula>
    </cfRule>
  </conditionalFormatting>
  <conditionalFormatting sqref="J204">
    <cfRule type="expression" dxfId="0" priority="460">
      <formula>J205=0</formula>
    </cfRule>
  </conditionalFormatting>
  <conditionalFormatting sqref="J2041">
    <cfRule type="expression" dxfId="0" priority="4363">
      <formula>J2042=0</formula>
    </cfRule>
  </conditionalFormatting>
  <conditionalFormatting sqref="J2042">
    <cfRule type="cellIs" dxfId="1" priority="4372" operator="equal">
      <formula>0</formula>
    </cfRule>
  </conditionalFormatting>
  <conditionalFormatting sqref="J2049">
    <cfRule type="cellIs" dxfId="1" priority="4387" operator="equal">
      <formula>0</formula>
    </cfRule>
  </conditionalFormatting>
  <conditionalFormatting sqref="J205">
    <cfRule type="cellIs" dxfId="1" priority="472" operator="equal">
      <formula>0</formula>
    </cfRule>
  </conditionalFormatting>
  <conditionalFormatting sqref="J2058">
    <cfRule type="cellIs" dxfId="1" priority="4404" operator="equal">
      <formula>0</formula>
    </cfRule>
  </conditionalFormatting>
  <conditionalFormatting sqref="J2085">
    <cfRule type="expression" dxfId="0" priority="4436">
      <formula>J2086=0</formula>
    </cfRule>
  </conditionalFormatting>
  <conditionalFormatting sqref="J2086">
    <cfRule type="cellIs" dxfId="1" priority="4445" operator="equal">
      <formula>0</formula>
    </cfRule>
  </conditionalFormatting>
  <conditionalFormatting sqref="J2091">
    <cfRule type="cellIs" dxfId="1" priority="4470" operator="equal">
      <formula>0</formula>
    </cfRule>
  </conditionalFormatting>
  <conditionalFormatting sqref="J216">
    <cfRule type="cellIs" dxfId="1" priority="522" operator="equal">
      <formula>0</formula>
    </cfRule>
  </conditionalFormatting>
  <conditionalFormatting sqref="J221">
    <cfRule type="cellIs" dxfId="1" priority="547" operator="equal">
      <formula>0</formula>
    </cfRule>
  </conditionalFormatting>
  <conditionalFormatting sqref="J2290">
    <cfRule type="expression" dxfId="0" priority="4846">
      <formula>J2291=0</formula>
    </cfRule>
  </conditionalFormatting>
  <conditionalFormatting sqref="J2291">
    <cfRule type="cellIs" dxfId="1" priority="4854" operator="equal">
      <formula>0</formula>
    </cfRule>
  </conditionalFormatting>
  <conditionalFormatting sqref="J2306">
    <cfRule type="cellIs" dxfId="1" priority="4884" operator="equal">
      <formula>0</formula>
    </cfRule>
  </conditionalFormatting>
  <conditionalFormatting sqref="J2334">
    <cfRule type="expression" dxfId="0" priority="4917">
      <formula>J2335=0</formula>
    </cfRule>
  </conditionalFormatting>
  <conditionalFormatting sqref="J2335">
    <cfRule type="cellIs" dxfId="1" priority="4927" operator="equal">
      <formula>0</formula>
    </cfRule>
  </conditionalFormatting>
  <conditionalFormatting sqref="J2338">
    <cfRule type="cellIs" dxfId="1" priority="4943" operator="equal">
      <formula>0</formula>
    </cfRule>
  </conditionalFormatting>
  <conditionalFormatting sqref="J2344">
    <cfRule type="cellIs" dxfId="1" priority="4969" operator="equal">
      <formula>0</formula>
    </cfRule>
  </conditionalFormatting>
  <conditionalFormatting sqref="J2347">
    <cfRule type="cellIs" dxfId="1" priority="4985" operator="equal">
      <formula>0</formula>
    </cfRule>
  </conditionalFormatting>
  <conditionalFormatting sqref="J2348">
    <cfRule type="cellIs" dxfId="1" priority="4989" operator="equal">
      <formula>0</formula>
    </cfRule>
  </conditionalFormatting>
  <conditionalFormatting sqref="J2349">
    <cfRule type="cellIs" dxfId="1" priority="4994" operator="equal">
      <formula>0</formula>
    </cfRule>
  </conditionalFormatting>
  <conditionalFormatting sqref="J2391">
    <cfRule type="expression" dxfId="0" priority="5065">
      <formula>J2392=0</formula>
    </cfRule>
  </conditionalFormatting>
  <conditionalFormatting sqref="J2392">
    <cfRule type="cellIs" dxfId="1" priority="5075" operator="equal">
      <formula>0</formula>
    </cfRule>
  </conditionalFormatting>
  <conditionalFormatting sqref="J2397">
    <cfRule type="cellIs" dxfId="1" priority="5095" operator="equal">
      <formula>0</formula>
    </cfRule>
  </conditionalFormatting>
  <conditionalFormatting sqref="J2401">
    <cfRule type="cellIs" dxfId="1" priority="5112" operator="equal">
      <formula>0</formula>
    </cfRule>
  </conditionalFormatting>
  <conditionalFormatting sqref="J2556">
    <cfRule type="expression" dxfId="0" priority="5390">
      <formula>J2557=0</formula>
    </cfRule>
  </conditionalFormatting>
  <conditionalFormatting sqref="J2557">
    <cfRule type="cellIs" dxfId="1" priority="5400" operator="equal">
      <formula>0</formula>
    </cfRule>
  </conditionalFormatting>
  <conditionalFormatting sqref="J2559">
    <cfRule type="cellIs" dxfId="1" priority="5410" operator="equal">
      <formula>0</formula>
    </cfRule>
  </conditionalFormatting>
  <conditionalFormatting sqref="J2567">
    <cfRule type="cellIs" dxfId="1" priority="5440" operator="equal">
      <formula>0</formula>
    </cfRule>
  </conditionalFormatting>
  <conditionalFormatting sqref="J267">
    <cfRule type="expression" dxfId="0" priority="618">
      <formula>J268=0</formula>
    </cfRule>
  </conditionalFormatting>
  <conditionalFormatting sqref="J268">
    <cfRule type="cellIs" dxfId="1" priority="630" operator="equal">
      <formula>0</formula>
    </cfRule>
  </conditionalFormatting>
  <conditionalFormatting sqref="J27">
    <cfRule type="expression" dxfId="0" priority="8">
      <formula>J28=0</formula>
    </cfRule>
  </conditionalFormatting>
  <conditionalFormatting sqref="J270">
    <cfRule type="cellIs" dxfId="1" priority="643" operator="equal">
      <formula>0</formula>
    </cfRule>
  </conditionalFormatting>
  <conditionalFormatting sqref="J275">
    <cfRule type="cellIs" dxfId="1" priority="670" operator="equal">
      <formula>0</formula>
    </cfRule>
  </conditionalFormatting>
  <conditionalFormatting sqref="J28">
    <cfRule type="cellIs" dxfId="1" priority="20" operator="equal">
      <formula>0</formula>
    </cfRule>
  </conditionalFormatting>
  <conditionalFormatting sqref="J281">
    <cfRule type="cellIs" dxfId="1" priority="695" operator="equal">
      <formula>0</formula>
    </cfRule>
  </conditionalFormatting>
  <conditionalFormatting sqref="J282">
    <cfRule type="cellIs" dxfId="1" priority="697" operator="equal">
      <formula>0</formula>
    </cfRule>
  </conditionalFormatting>
  <conditionalFormatting sqref="J283">
    <cfRule type="cellIs" dxfId="1" priority="703" operator="equal">
      <formula>0</formula>
    </cfRule>
  </conditionalFormatting>
  <conditionalFormatting sqref="J284">
    <cfRule type="cellIs" dxfId="1" priority="707" operator="equal">
      <formula>0</formula>
    </cfRule>
  </conditionalFormatting>
  <conditionalFormatting sqref="J295">
    <cfRule type="expression" dxfId="0" priority="755">
      <formula>J296=0</formula>
    </cfRule>
  </conditionalFormatting>
  <conditionalFormatting sqref="J296">
    <cfRule type="cellIs" dxfId="1" priority="763" operator="equal">
      <formula>0</formula>
    </cfRule>
  </conditionalFormatting>
  <conditionalFormatting sqref="J321">
    <cfRule type="cellIs" dxfId="1" priority="803" operator="equal">
      <formula>0</formula>
    </cfRule>
  </conditionalFormatting>
  <conditionalFormatting sqref="J36">
    <cfRule type="cellIs" dxfId="1" priority="60" operator="equal">
      <formula>0</formula>
    </cfRule>
  </conditionalFormatting>
  <conditionalFormatting sqref="J39">
    <cfRule type="cellIs" dxfId="1" priority="73" operator="equal">
      <formula>0</formula>
    </cfRule>
  </conditionalFormatting>
  <conditionalFormatting sqref="J40">
    <cfRule type="cellIs" dxfId="1" priority="75" operator="equal">
      <formula>0</formula>
    </cfRule>
  </conditionalFormatting>
  <conditionalFormatting sqref="J41">
    <cfRule type="cellIs" dxfId="1" priority="81" operator="equal">
      <formula>0</formula>
    </cfRule>
  </conditionalFormatting>
  <conditionalFormatting sqref="J429">
    <cfRule type="expression" dxfId="0" priority="966">
      <formula>J430=0</formula>
    </cfRule>
  </conditionalFormatting>
  <conditionalFormatting sqref="J430">
    <cfRule type="cellIs" dxfId="1" priority="976" operator="equal">
      <formula>0</formula>
    </cfRule>
  </conditionalFormatting>
  <conditionalFormatting sqref="J434">
    <cfRule type="cellIs" dxfId="1" priority="997" operator="equal">
      <formula>0</formula>
    </cfRule>
  </conditionalFormatting>
  <conditionalFormatting sqref="J436">
    <cfRule type="cellIs" dxfId="1" priority="1008" operator="equal">
      <formula>0</formula>
    </cfRule>
  </conditionalFormatting>
  <conditionalFormatting sqref="J46">
    <cfRule type="cellIs" dxfId="1" priority="103" operator="equal">
      <formula>0</formula>
    </cfRule>
  </conditionalFormatting>
  <conditionalFormatting sqref="J468">
    <cfRule type="expression" dxfId="0" priority="1066">
      <formula>J469=0</formula>
    </cfRule>
  </conditionalFormatting>
  <conditionalFormatting sqref="J469">
    <cfRule type="cellIs" dxfId="1" priority="1075" operator="equal">
      <formula>0</formula>
    </cfRule>
  </conditionalFormatting>
  <conditionalFormatting sqref="J475">
    <cfRule type="cellIs" dxfId="1" priority="1103" operator="equal">
      <formula>0</formula>
    </cfRule>
  </conditionalFormatting>
  <conditionalFormatting sqref="J50">
    <cfRule type="cellIs" dxfId="1" priority="124" operator="equal">
      <formula>0</formula>
    </cfRule>
  </conditionalFormatting>
  <conditionalFormatting sqref="J55">
    <cfRule type="expression" dxfId="0" priority="145">
      <formula>J56=0</formula>
    </cfRule>
  </conditionalFormatting>
  <conditionalFormatting sqref="J552">
    <cfRule type="expression" dxfId="0" priority="1242">
      <formula>J553=0</formula>
    </cfRule>
  </conditionalFormatting>
  <conditionalFormatting sqref="J553">
    <cfRule type="cellIs" dxfId="1" priority="1251" operator="equal">
      <formula>0</formula>
    </cfRule>
  </conditionalFormatting>
  <conditionalFormatting sqref="J557">
    <cfRule type="cellIs" dxfId="1" priority="1271" operator="equal">
      <formula>0</formula>
    </cfRule>
  </conditionalFormatting>
  <conditionalFormatting sqref="J56">
    <cfRule type="cellIs" dxfId="1" priority="153" operator="equal">
      <formula>0</formula>
    </cfRule>
  </conditionalFormatting>
  <conditionalFormatting sqref="J560">
    <cfRule type="cellIs" dxfId="1" priority="1285" operator="equal">
      <formula>0</formula>
    </cfRule>
  </conditionalFormatting>
  <conditionalFormatting sqref="J629">
    <cfRule type="expression" dxfId="0" priority="1433">
      <formula>J630=0</formula>
    </cfRule>
  </conditionalFormatting>
  <conditionalFormatting sqref="J630">
    <cfRule type="cellIs" dxfId="1" priority="1441" operator="equal">
      <formula>0</formula>
    </cfRule>
  </conditionalFormatting>
  <conditionalFormatting sqref="J637">
    <cfRule type="cellIs" dxfId="1" priority="1453" operator="equal">
      <formula>0</formula>
    </cfRule>
  </conditionalFormatting>
  <conditionalFormatting sqref="J657">
    <cfRule type="expression" dxfId="0" priority="1480">
      <formula>J658=0</formula>
    </cfRule>
  </conditionalFormatting>
  <conditionalFormatting sqref="J658">
    <cfRule type="cellIs" dxfId="1" priority="1491" operator="equal">
      <formula>0</formula>
    </cfRule>
  </conditionalFormatting>
  <conditionalFormatting sqref="J663">
    <cfRule type="cellIs" dxfId="1" priority="1516" operator="equal">
      <formula>0</formula>
    </cfRule>
  </conditionalFormatting>
  <conditionalFormatting sqref="J666">
    <cfRule type="cellIs" dxfId="1" priority="1530" operator="equal">
      <formula>0</formula>
    </cfRule>
  </conditionalFormatting>
  <conditionalFormatting sqref="J668">
    <cfRule type="cellIs" dxfId="1" priority="1539" operator="equal">
      <formula>0</formula>
    </cfRule>
  </conditionalFormatting>
  <conditionalFormatting sqref="J792">
    <cfRule type="expression" dxfId="0" priority="1718">
      <formula>J793=0</formula>
    </cfRule>
  </conditionalFormatting>
  <conditionalFormatting sqref="J793">
    <cfRule type="cellIs" dxfId="1" priority="1726" operator="equal">
      <formula>0</formula>
    </cfRule>
  </conditionalFormatting>
  <conditionalFormatting sqref="J794">
    <cfRule type="cellIs" dxfId="1" priority="1732" operator="equal">
      <formula>0</formula>
    </cfRule>
  </conditionalFormatting>
  <conditionalFormatting sqref="J81">
    <cfRule type="cellIs" dxfId="1" priority="193" operator="equal">
      <formula>0</formula>
    </cfRule>
  </conditionalFormatting>
  <conditionalFormatting sqref="J820">
    <cfRule type="expression" dxfId="0" priority="1838">
      <formula>J821=0</formula>
    </cfRule>
  </conditionalFormatting>
  <conditionalFormatting sqref="J821">
    <cfRule type="cellIs" dxfId="1" priority="1846" operator="equal">
      <formula>0</formula>
    </cfRule>
  </conditionalFormatting>
  <conditionalFormatting sqref="J838">
    <cfRule type="cellIs" dxfId="1" priority="1879" operator="equal">
      <formula>0</formula>
    </cfRule>
  </conditionalFormatting>
  <conditionalFormatting sqref="J840">
    <cfRule type="cellIs" dxfId="1" priority="1883" operator="equal">
      <formula>0</formula>
    </cfRule>
  </conditionalFormatting>
  <conditionalFormatting sqref="J845">
    <cfRule type="cellIs" dxfId="1" priority="1893" operator="equal">
      <formula>0</formula>
    </cfRule>
  </conditionalFormatting>
  <conditionalFormatting sqref="J948">
    <cfRule type="expression" dxfId="0" priority="2028">
      <formula>J949=0</formula>
    </cfRule>
  </conditionalFormatting>
  <conditionalFormatting sqref="J949">
    <cfRule type="cellIs" dxfId="1" priority="2038" operator="equal">
      <formula>0</formula>
    </cfRule>
  </conditionalFormatting>
  <conditionalFormatting sqref="J956">
    <cfRule type="cellIs" dxfId="1" priority="2066" operator="equal">
      <formula>0</formula>
    </cfRule>
  </conditionalFormatting>
  <conditionalFormatting sqref="J987">
    <cfRule type="expression" dxfId="0" priority="2116">
      <formula>J988=0</formula>
    </cfRule>
  </conditionalFormatting>
  <conditionalFormatting sqref="J988">
    <cfRule type="cellIs" dxfId="1" priority="2125" operator="equal">
      <formula>0</formula>
    </cfRule>
  </conditionalFormatting>
  <conditionalFormatting sqref="J992">
    <cfRule type="cellIs" dxfId="1" priority="2142" operator="equal">
      <formula>0</formula>
    </cfRule>
  </conditionalFormatting>
  <conditionalFormatting sqref="K1083">
    <cfRule type="expression" dxfId="0" priority="2281">
      <formula>K1084=0</formula>
    </cfRule>
  </conditionalFormatting>
  <conditionalFormatting sqref="K1084">
    <cfRule type="cellIs" dxfId="1" priority="2292" operator="equal">
      <formula>0</formula>
    </cfRule>
  </conditionalFormatting>
  <conditionalFormatting sqref="K1091">
    <cfRule type="cellIs" dxfId="1" priority="2322" operator="equal">
      <formula>0</formula>
    </cfRule>
  </conditionalFormatting>
  <conditionalFormatting sqref="K1113">
    <cfRule type="expression" dxfId="0" priority="2414">
      <formula>K1114=0</formula>
    </cfRule>
  </conditionalFormatting>
  <conditionalFormatting sqref="K1114">
    <cfRule type="cellIs" dxfId="1" priority="2424" operator="equal">
      <formula>0</formula>
    </cfRule>
  </conditionalFormatting>
  <conditionalFormatting sqref="K1125">
    <cfRule type="cellIs" dxfId="1" priority="2447" operator="equal">
      <formula>0</formula>
    </cfRule>
  </conditionalFormatting>
  <conditionalFormatting sqref="K1136">
    <cfRule type="cellIs" dxfId="1" priority="2466" operator="equal">
      <formula>0</formula>
    </cfRule>
  </conditionalFormatting>
  <conditionalFormatting sqref="K117">
    <cfRule type="expression" dxfId="0" priority="239">
      <formula>K118=0</formula>
    </cfRule>
  </conditionalFormatting>
  <conditionalFormatting sqref="K118">
    <cfRule type="cellIs" dxfId="1" priority="251" operator="equal">
      <formula>0</formula>
    </cfRule>
  </conditionalFormatting>
  <conditionalFormatting sqref="K1197">
    <cfRule type="expression" dxfId="0" priority="2555">
      <formula>K1198=0</formula>
    </cfRule>
  </conditionalFormatting>
  <conditionalFormatting sqref="K1198">
    <cfRule type="cellIs" dxfId="1" priority="2565" operator="equal">
      <formula>0</formula>
    </cfRule>
  </conditionalFormatting>
  <conditionalFormatting sqref="K1203">
    <cfRule type="cellIs" dxfId="1" priority="2583" operator="equal">
      <formula>0</formula>
    </cfRule>
  </conditionalFormatting>
  <conditionalFormatting sqref="K125">
    <cfRule type="cellIs" dxfId="1" priority="287" operator="equal">
      <formula>0</formula>
    </cfRule>
  </conditionalFormatting>
  <conditionalFormatting sqref="K127">
    <cfRule type="cellIs" dxfId="1" priority="294" operator="equal">
      <formula>0</formula>
    </cfRule>
  </conditionalFormatting>
  <conditionalFormatting sqref="K131">
    <cfRule type="cellIs" dxfId="1" priority="311" operator="equal">
      <formula>0</formula>
    </cfRule>
  </conditionalFormatting>
  <conditionalFormatting sqref="K137">
    <cfRule type="cellIs" dxfId="1" priority="338" operator="equal">
      <formula>0</formula>
    </cfRule>
  </conditionalFormatting>
  <conditionalFormatting sqref="K138">
    <cfRule type="cellIs" dxfId="1" priority="344" operator="equal">
      <formula>0</formula>
    </cfRule>
  </conditionalFormatting>
  <conditionalFormatting sqref="K1422">
    <cfRule type="expression" dxfId="0" priority="3045">
      <formula>K1423=0</formula>
    </cfRule>
  </conditionalFormatting>
  <conditionalFormatting sqref="K1423">
    <cfRule type="cellIs" dxfId="1" priority="3056" operator="equal">
      <formula>0</formula>
    </cfRule>
  </conditionalFormatting>
  <conditionalFormatting sqref="K1427">
    <cfRule type="cellIs" dxfId="1" priority="3077" operator="equal">
      <formula>0</formula>
    </cfRule>
  </conditionalFormatting>
  <conditionalFormatting sqref="K1432">
    <cfRule type="cellIs" dxfId="1" priority="3101" operator="equal">
      <formula>0</formula>
    </cfRule>
  </conditionalFormatting>
  <conditionalFormatting sqref="K1436">
    <cfRule type="cellIs" dxfId="1" priority="3117" operator="equal">
      <formula>0</formula>
    </cfRule>
  </conditionalFormatting>
  <conditionalFormatting sqref="K1437">
    <cfRule type="cellIs" dxfId="1" priority="3122" operator="equal">
      <formula>0</formula>
    </cfRule>
  </conditionalFormatting>
  <conditionalFormatting sqref="K1554">
    <cfRule type="expression" dxfId="0" priority="3345">
      <formula>K1555=0</formula>
    </cfRule>
  </conditionalFormatting>
  <conditionalFormatting sqref="K1555">
    <cfRule type="cellIs" dxfId="1" priority="3356" operator="equal">
      <formula>0</formula>
    </cfRule>
  </conditionalFormatting>
  <conditionalFormatting sqref="K1560">
    <cfRule type="cellIs" dxfId="1" priority="3378" operator="equal">
      <formula>0</formula>
    </cfRule>
  </conditionalFormatting>
  <conditionalFormatting sqref="K1570">
    <cfRule type="cellIs" dxfId="1" priority="3420" operator="equal">
      <formula>0</formula>
    </cfRule>
  </conditionalFormatting>
  <conditionalFormatting sqref="K1644">
    <cfRule type="expression" dxfId="0" priority="3553">
      <formula>K1645=0</formula>
    </cfRule>
  </conditionalFormatting>
  <conditionalFormatting sqref="K1645">
    <cfRule type="cellIs" dxfId="1" priority="3562" operator="equal">
      <formula>0</formula>
    </cfRule>
  </conditionalFormatting>
  <conditionalFormatting sqref="K1648">
    <cfRule type="cellIs" dxfId="1" priority="3575" operator="equal">
      <formula>0</formula>
    </cfRule>
  </conditionalFormatting>
  <conditionalFormatting sqref="K1995">
    <cfRule type="expression" dxfId="0" priority="4228">
      <formula>K1996=0</formula>
    </cfRule>
  </conditionalFormatting>
  <conditionalFormatting sqref="K1996">
    <cfRule type="cellIs" dxfId="1" priority="4237" operator="equal">
      <formula>0</formula>
    </cfRule>
  </conditionalFormatting>
  <conditionalFormatting sqref="K1998">
    <cfRule type="cellIs" dxfId="1" priority="4248" operator="equal">
      <formula>0</formula>
    </cfRule>
  </conditionalFormatting>
  <conditionalFormatting sqref="K204">
    <cfRule type="expression" dxfId="0" priority="461">
      <formula>K205=0</formula>
    </cfRule>
  </conditionalFormatting>
  <conditionalFormatting sqref="K2041">
    <cfRule type="expression" dxfId="0" priority="4364">
      <formula>K2042=0</formula>
    </cfRule>
  </conditionalFormatting>
  <conditionalFormatting sqref="K2042">
    <cfRule type="cellIs" dxfId="1" priority="4373" operator="equal">
      <formula>0</formula>
    </cfRule>
  </conditionalFormatting>
  <conditionalFormatting sqref="K205">
    <cfRule type="cellIs" dxfId="1" priority="473" operator="equal">
      <formula>0</formula>
    </cfRule>
  </conditionalFormatting>
  <conditionalFormatting sqref="K2051">
    <cfRule type="cellIs" dxfId="1" priority="4390" operator="equal">
      <formula>0</formula>
    </cfRule>
  </conditionalFormatting>
  <conditionalFormatting sqref="K2052">
    <cfRule type="cellIs" dxfId="1" priority="4392" operator="equal">
      <formula>0</formula>
    </cfRule>
  </conditionalFormatting>
  <conditionalFormatting sqref="K2057">
    <cfRule type="cellIs" dxfId="1" priority="4402" operator="equal">
      <formula>0</formula>
    </cfRule>
  </conditionalFormatting>
  <conditionalFormatting sqref="K2085">
    <cfRule type="expression" dxfId="0" priority="4437">
      <formula>K2086=0</formula>
    </cfRule>
  </conditionalFormatting>
  <conditionalFormatting sqref="K2086">
    <cfRule type="cellIs" dxfId="1" priority="4446" operator="equal">
      <formula>0</formula>
    </cfRule>
  </conditionalFormatting>
  <conditionalFormatting sqref="K2088">
    <cfRule type="cellIs" dxfId="1" priority="4455" operator="equal">
      <formula>0</formula>
    </cfRule>
  </conditionalFormatting>
  <conditionalFormatting sqref="K216">
    <cfRule type="cellIs" dxfId="1" priority="523" operator="equal">
      <formula>0</formula>
    </cfRule>
  </conditionalFormatting>
  <conditionalFormatting sqref="K221">
    <cfRule type="cellIs" dxfId="1" priority="548" operator="equal">
      <formula>0</formula>
    </cfRule>
  </conditionalFormatting>
  <conditionalFormatting sqref="K2334">
    <cfRule type="expression" dxfId="0" priority="4918">
      <formula>K2335=0</formula>
    </cfRule>
  </conditionalFormatting>
  <conditionalFormatting sqref="K2335">
    <cfRule type="cellIs" dxfId="1" priority="4928" operator="equal">
      <formula>0</formula>
    </cfRule>
  </conditionalFormatting>
  <conditionalFormatting sqref="K2340">
    <cfRule type="cellIs" dxfId="1" priority="4950" operator="equal">
      <formula>0</formula>
    </cfRule>
  </conditionalFormatting>
  <conditionalFormatting sqref="K2343">
    <cfRule type="cellIs" dxfId="1" priority="4964" operator="equal">
      <formula>0</formula>
    </cfRule>
  </conditionalFormatting>
  <conditionalFormatting sqref="K2346">
    <cfRule type="cellIs" dxfId="1" priority="4979" operator="equal">
      <formula>0</formula>
    </cfRule>
  </conditionalFormatting>
  <conditionalFormatting sqref="K2349">
    <cfRule type="cellIs" dxfId="1" priority="4995" operator="equal">
      <formula>0</formula>
    </cfRule>
  </conditionalFormatting>
  <conditionalFormatting sqref="K2391">
    <cfRule type="expression" dxfId="0" priority="5066">
      <formula>K2392=0</formula>
    </cfRule>
  </conditionalFormatting>
  <conditionalFormatting sqref="K2392">
    <cfRule type="cellIs" dxfId="1" priority="5076" operator="equal">
      <formula>0</formula>
    </cfRule>
  </conditionalFormatting>
  <conditionalFormatting sqref="K2394">
    <cfRule type="cellIs" dxfId="1" priority="5083" operator="equal">
      <formula>0</formula>
    </cfRule>
  </conditionalFormatting>
  <conditionalFormatting sqref="K2556">
    <cfRule type="expression" dxfId="0" priority="5391">
      <formula>K2557=0</formula>
    </cfRule>
  </conditionalFormatting>
  <conditionalFormatting sqref="K2557">
    <cfRule type="cellIs" dxfId="1" priority="5401" operator="equal">
      <formula>0</formula>
    </cfRule>
  </conditionalFormatting>
  <conditionalFormatting sqref="K2561">
    <cfRule type="cellIs" dxfId="1" priority="5417" operator="equal">
      <formula>0</formula>
    </cfRule>
  </conditionalFormatting>
  <conditionalFormatting sqref="K267">
    <cfRule type="expression" dxfId="0" priority="619">
      <formula>K268=0</formula>
    </cfRule>
  </conditionalFormatting>
  <conditionalFormatting sqref="K268">
    <cfRule type="cellIs" dxfId="1" priority="631" operator="equal">
      <formula>0</formula>
    </cfRule>
  </conditionalFormatting>
  <conditionalFormatting sqref="K27">
    <cfRule type="expression" dxfId="0" priority="9">
      <formula>K28=0</formula>
    </cfRule>
  </conditionalFormatting>
  <conditionalFormatting sqref="K270">
    <cfRule type="cellIs" dxfId="1" priority="644" operator="equal">
      <formula>0</formula>
    </cfRule>
  </conditionalFormatting>
  <conditionalFormatting sqref="K271">
    <cfRule type="cellIs" dxfId="1" priority="649" operator="equal">
      <formula>0</formula>
    </cfRule>
  </conditionalFormatting>
  <conditionalFormatting sqref="K274">
    <cfRule type="cellIs" dxfId="1" priority="665" operator="equal">
      <formula>0</formula>
    </cfRule>
  </conditionalFormatting>
  <conditionalFormatting sqref="K278">
    <cfRule type="cellIs" dxfId="1" priority="684" operator="equal">
      <formula>0</formula>
    </cfRule>
  </conditionalFormatting>
  <conditionalFormatting sqref="K28">
    <cfRule type="cellIs" dxfId="1" priority="21" operator="equal">
      <formula>0</formula>
    </cfRule>
  </conditionalFormatting>
  <conditionalFormatting sqref="K285">
    <cfRule type="cellIs" dxfId="1" priority="712" operator="equal">
      <formula>0</formula>
    </cfRule>
  </conditionalFormatting>
  <conditionalFormatting sqref="K286">
    <cfRule type="cellIs" dxfId="1" priority="716" operator="equal">
      <formula>0</formula>
    </cfRule>
  </conditionalFormatting>
  <conditionalFormatting sqref="K34">
    <cfRule type="cellIs" dxfId="1" priority="51" operator="equal">
      <formula>0</formula>
    </cfRule>
  </conditionalFormatting>
  <conditionalFormatting sqref="K36">
    <cfRule type="cellIs" dxfId="1" priority="61" operator="equal">
      <formula>0</formula>
    </cfRule>
  </conditionalFormatting>
  <conditionalFormatting sqref="K37">
    <cfRule type="cellIs" dxfId="1" priority="66" operator="equal">
      <formula>0</formula>
    </cfRule>
  </conditionalFormatting>
  <conditionalFormatting sqref="K429">
    <cfRule type="expression" dxfId="0" priority="967">
      <formula>K430=0</formula>
    </cfRule>
  </conditionalFormatting>
  <conditionalFormatting sqref="K430">
    <cfRule type="cellIs" dxfId="1" priority="977" operator="equal">
      <formula>0</formula>
    </cfRule>
  </conditionalFormatting>
  <conditionalFormatting sqref="K433">
    <cfRule type="cellIs" dxfId="1" priority="992" operator="equal">
      <formula>0</formula>
    </cfRule>
  </conditionalFormatting>
  <conditionalFormatting sqref="K468">
    <cfRule type="expression" dxfId="0" priority="1067">
      <formula>K469=0</formula>
    </cfRule>
  </conditionalFormatting>
  <conditionalFormatting sqref="K469">
    <cfRule type="cellIs" dxfId="1" priority="1076" operator="equal">
      <formula>0</formula>
    </cfRule>
  </conditionalFormatting>
  <conditionalFormatting sqref="K47">
    <cfRule type="cellIs" dxfId="1" priority="108" operator="equal">
      <formula>0</formula>
    </cfRule>
  </conditionalFormatting>
  <conditionalFormatting sqref="K474">
    <cfRule type="cellIs" dxfId="1" priority="1099" operator="equal">
      <formula>0</formula>
    </cfRule>
  </conditionalFormatting>
  <conditionalFormatting sqref="K48">
    <cfRule type="cellIs" dxfId="1" priority="114" operator="equal">
      <formula>0</formula>
    </cfRule>
  </conditionalFormatting>
  <conditionalFormatting sqref="K51">
    <cfRule type="cellIs" dxfId="1" priority="128" operator="equal">
      <formula>0</formula>
    </cfRule>
  </conditionalFormatting>
  <conditionalFormatting sqref="K552">
    <cfRule type="expression" dxfId="0" priority="1243">
      <formula>K553=0</formula>
    </cfRule>
  </conditionalFormatting>
  <conditionalFormatting sqref="K553">
    <cfRule type="cellIs" dxfId="1" priority="1252" operator="equal">
      <formula>0</formula>
    </cfRule>
  </conditionalFormatting>
  <conditionalFormatting sqref="K559">
    <cfRule type="cellIs" dxfId="1" priority="1281" operator="equal">
      <formula>0</formula>
    </cfRule>
  </conditionalFormatting>
  <conditionalFormatting sqref="K657">
    <cfRule type="expression" dxfId="0" priority="1481">
      <formula>K658=0</formula>
    </cfRule>
  </conditionalFormatting>
  <conditionalFormatting sqref="K658">
    <cfRule type="cellIs" dxfId="1" priority="1492" operator="equal">
      <formula>0</formula>
    </cfRule>
  </conditionalFormatting>
  <conditionalFormatting sqref="K668">
    <cfRule type="cellIs" dxfId="1" priority="1540" operator="equal">
      <formula>0</formula>
    </cfRule>
  </conditionalFormatting>
  <conditionalFormatting sqref="K948">
    <cfRule type="expression" dxfId="0" priority="2029">
      <formula>K949=0</formula>
    </cfRule>
  </conditionalFormatting>
  <conditionalFormatting sqref="K949">
    <cfRule type="cellIs" dxfId="1" priority="2039" operator="equal">
      <formula>0</formula>
    </cfRule>
  </conditionalFormatting>
  <conditionalFormatting sqref="K956">
    <cfRule type="cellIs" dxfId="1" priority="2067" operator="equal">
      <formula>0</formula>
    </cfRule>
  </conditionalFormatting>
  <conditionalFormatting sqref="K987">
    <cfRule type="expression" dxfId="0" priority="2117">
      <formula>K988=0</formula>
    </cfRule>
  </conditionalFormatting>
  <conditionalFormatting sqref="K988">
    <cfRule type="cellIs" dxfId="1" priority="2126" operator="equal">
      <formula>0</formula>
    </cfRule>
  </conditionalFormatting>
  <conditionalFormatting sqref="K992">
    <cfRule type="cellIs" dxfId="1" priority="2143" operator="equal">
      <formula>0</formula>
    </cfRule>
  </conditionalFormatting>
  <conditionalFormatting sqref="L1083">
    <cfRule type="expression" dxfId="0" priority="2282">
      <formula>L1084=0</formula>
    </cfRule>
  </conditionalFormatting>
  <conditionalFormatting sqref="L1084">
    <cfRule type="cellIs" dxfId="1" priority="2293" operator="equal">
      <formula>0</formula>
    </cfRule>
  </conditionalFormatting>
  <conditionalFormatting sqref="L1091">
    <cfRule type="cellIs" dxfId="1" priority="2323" operator="equal">
      <formula>0</formula>
    </cfRule>
  </conditionalFormatting>
  <conditionalFormatting sqref="L1113">
    <cfRule type="expression" dxfId="0" priority="2415">
      <formula>L1114=0</formula>
    </cfRule>
  </conditionalFormatting>
  <conditionalFormatting sqref="L1114">
    <cfRule type="cellIs" dxfId="1" priority="2425" operator="equal">
      <formula>0</formula>
    </cfRule>
  </conditionalFormatting>
  <conditionalFormatting sqref="L1126">
    <cfRule type="cellIs" dxfId="1" priority="2448" operator="equal">
      <formula>0</formula>
    </cfRule>
  </conditionalFormatting>
  <conditionalFormatting sqref="L1132">
    <cfRule type="cellIs" dxfId="1" priority="2458" operator="equal">
      <formula>0</formula>
    </cfRule>
  </conditionalFormatting>
  <conditionalFormatting sqref="L1133">
    <cfRule type="cellIs" dxfId="1" priority="2460" operator="equal">
      <formula>0</formula>
    </cfRule>
  </conditionalFormatting>
  <conditionalFormatting sqref="L1139">
    <cfRule type="cellIs" dxfId="1" priority="2472" operator="equal">
      <formula>0</formula>
    </cfRule>
  </conditionalFormatting>
  <conditionalFormatting sqref="L117">
    <cfRule type="expression" dxfId="0" priority="240">
      <formula>L118=0</formula>
    </cfRule>
  </conditionalFormatting>
  <conditionalFormatting sqref="L118">
    <cfRule type="cellIs" dxfId="1" priority="252" operator="equal">
      <formula>0</formula>
    </cfRule>
  </conditionalFormatting>
  <conditionalFormatting sqref="L119">
    <cfRule type="cellIs" dxfId="1" priority="258" operator="equal">
      <formula>0</formula>
    </cfRule>
  </conditionalFormatting>
  <conditionalFormatting sqref="L1197">
    <cfRule type="expression" dxfId="0" priority="2556">
      <formula>L1198=0</formula>
    </cfRule>
  </conditionalFormatting>
  <conditionalFormatting sqref="L1198">
    <cfRule type="cellIs" dxfId="1" priority="2566" operator="equal">
      <formula>0</formula>
    </cfRule>
  </conditionalFormatting>
  <conditionalFormatting sqref="L1201">
    <cfRule type="cellIs" dxfId="1" priority="2576" operator="equal">
      <formula>0</formula>
    </cfRule>
  </conditionalFormatting>
  <conditionalFormatting sqref="L121">
    <cfRule type="cellIs" dxfId="1" priority="268" operator="equal">
      <formula>0</formula>
    </cfRule>
  </conditionalFormatting>
  <conditionalFormatting sqref="L135">
    <cfRule type="cellIs" dxfId="1" priority="329" operator="equal">
      <formula>0</formula>
    </cfRule>
  </conditionalFormatting>
  <conditionalFormatting sqref="L1422">
    <cfRule type="expression" dxfId="0" priority="3046">
      <formula>L1423=0</formula>
    </cfRule>
  </conditionalFormatting>
  <conditionalFormatting sqref="L1423">
    <cfRule type="cellIs" dxfId="1" priority="3057" operator="equal">
      <formula>0</formula>
    </cfRule>
  </conditionalFormatting>
  <conditionalFormatting sqref="L1434">
    <cfRule type="cellIs" dxfId="1" priority="3110" operator="equal">
      <formula>0</formula>
    </cfRule>
  </conditionalFormatting>
  <conditionalFormatting sqref="L1439">
    <cfRule type="cellIs" dxfId="1" priority="3132" operator="equal">
      <formula>0</formula>
    </cfRule>
  </conditionalFormatting>
  <conditionalFormatting sqref="L1441">
    <cfRule type="cellIs" dxfId="1" priority="3140" operator="equal">
      <formula>0</formula>
    </cfRule>
  </conditionalFormatting>
  <conditionalFormatting sqref="L1554">
    <cfRule type="expression" dxfId="0" priority="3346">
      <formula>L1555=0</formula>
    </cfRule>
  </conditionalFormatting>
  <conditionalFormatting sqref="L1555">
    <cfRule type="cellIs" dxfId="1" priority="3357" operator="equal">
      <formula>0</formula>
    </cfRule>
  </conditionalFormatting>
  <conditionalFormatting sqref="L1570">
    <cfRule type="cellIs" dxfId="1" priority="3421" operator="equal">
      <formula>0</formula>
    </cfRule>
  </conditionalFormatting>
  <conditionalFormatting sqref="L204">
    <cfRule type="expression" dxfId="0" priority="462">
      <formula>L205=0</formula>
    </cfRule>
  </conditionalFormatting>
  <conditionalFormatting sqref="L205">
    <cfRule type="cellIs" dxfId="1" priority="474" operator="equal">
      <formula>0</formula>
    </cfRule>
  </conditionalFormatting>
  <conditionalFormatting sqref="L212">
    <cfRule type="cellIs" dxfId="1" priority="505" operator="equal">
      <formula>0</formula>
    </cfRule>
  </conditionalFormatting>
  <conditionalFormatting sqref="L2334">
    <cfRule type="expression" dxfId="0" priority="4919">
      <formula>L2335=0</formula>
    </cfRule>
  </conditionalFormatting>
  <conditionalFormatting sqref="L2335">
    <cfRule type="cellIs" dxfId="1" priority="4929" operator="equal">
      <formula>0</formula>
    </cfRule>
  </conditionalFormatting>
  <conditionalFormatting sqref="L2337">
    <cfRule type="cellIs" dxfId="1" priority="4938" operator="equal">
      <formula>0</formula>
    </cfRule>
  </conditionalFormatting>
  <conditionalFormatting sqref="L2345">
    <cfRule type="cellIs" dxfId="1" priority="4974" operator="equal">
      <formula>0</formula>
    </cfRule>
  </conditionalFormatting>
  <conditionalFormatting sqref="L2391">
    <cfRule type="expression" dxfId="0" priority="5067">
      <formula>L2392=0</formula>
    </cfRule>
  </conditionalFormatting>
  <conditionalFormatting sqref="L2392">
    <cfRule type="cellIs" dxfId="1" priority="5077" operator="equal">
      <formula>0</formula>
    </cfRule>
  </conditionalFormatting>
  <conditionalFormatting sqref="L2402">
    <cfRule type="cellIs" dxfId="1" priority="5115" operator="equal">
      <formula>0</formula>
    </cfRule>
  </conditionalFormatting>
  <conditionalFormatting sqref="L2556">
    <cfRule type="expression" dxfId="0" priority="5392">
      <formula>L2557=0</formula>
    </cfRule>
  </conditionalFormatting>
  <conditionalFormatting sqref="L2557">
    <cfRule type="cellIs" dxfId="1" priority="5402" operator="equal">
      <formula>0</formula>
    </cfRule>
  </conditionalFormatting>
  <conditionalFormatting sqref="L2560">
    <cfRule type="cellIs" dxfId="1" priority="5413" operator="equal">
      <formula>0</formula>
    </cfRule>
  </conditionalFormatting>
  <conditionalFormatting sqref="L267">
    <cfRule type="expression" dxfId="0" priority="620">
      <formula>L268=0</formula>
    </cfRule>
  </conditionalFormatting>
  <conditionalFormatting sqref="L268">
    <cfRule type="cellIs" dxfId="1" priority="632" operator="equal">
      <formula>0</formula>
    </cfRule>
  </conditionalFormatting>
  <conditionalFormatting sqref="L27">
    <cfRule type="expression" dxfId="0" priority="10">
      <formula>L28=0</formula>
    </cfRule>
  </conditionalFormatting>
  <conditionalFormatting sqref="L277">
    <cfRule type="cellIs" dxfId="1" priority="679" operator="equal">
      <formula>0</formula>
    </cfRule>
  </conditionalFormatting>
  <conditionalFormatting sqref="L28">
    <cfRule type="cellIs" dxfId="1" priority="22" operator="equal">
      <formula>0</formula>
    </cfRule>
  </conditionalFormatting>
  <conditionalFormatting sqref="L288">
    <cfRule type="cellIs" dxfId="1" priority="725" operator="equal">
      <formula>0</formula>
    </cfRule>
  </conditionalFormatting>
  <conditionalFormatting sqref="L293">
    <cfRule type="cellIs" dxfId="1" priority="747" operator="equal">
      <formula>0</formula>
    </cfRule>
  </conditionalFormatting>
  <conditionalFormatting sqref="L30">
    <cfRule type="cellIs" dxfId="1" priority="32" operator="equal">
      <formula>0</formula>
    </cfRule>
  </conditionalFormatting>
  <conditionalFormatting sqref="L32">
    <cfRule type="cellIs" dxfId="1" priority="42" operator="equal">
      <formula>0</formula>
    </cfRule>
  </conditionalFormatting>
  <conditionalFormatting sqref="L429">
    <cfRule type="expression" dxfId="0" priority="968">
      <formula>L430=0</formula>
    </cfRule>
  </conditionalFormatting>
  <conditionalFormatting sqref="L430">
    <cfRule type="cellIs" dxfId="1" priority="978" operator="equal">
      <formula>0</formula>
    </cfRule>
  </conditionalFormatting>
  <conditionalFormatting sqref="L431">
    <cfRule type="cellIs" dxfId="1" priority="983" operator="equal">
      <formula>0</formula>
    </cfRule>
  </conditionalFormatting>
  <conditionalFormatting sqref="L49">
    <cfRule type="cellIs" dxfId="1" priority="119" operator="equal">
      <formula>0</formula>
    </cfRule>
  </conditionalFormatting>
  <conditionalFormatting sqref="L657">
    <cfRule type="expression" dxfId="0" priority="1482">
      <formula>L658=0</formula>
    </cfRule>
  </conditionalFormatting>
  <conditionalFormatting sqref="L658">
    <cfRule type="cellIs" dxfId="1" priority="1493" operator="equal">
      <formula>0</formula>
    </cfRule>
  </conditionalFormatting>
  <conditionalFormatting sqref="L665">
    <cfRule type="cellIs" dxfId="1" priority="1524" operator="equal">
      <formula>0</formula>
    </cfRule>
  </conditionalFormatting>
  <conditionalFormatting sqref="L948">
    <cfRule type="expression" dxfId="0" priority="2030">
      <formula>L949=0</formula>
    </cfRule>
  </conditionalFormatting>
  <conditionalFormatting sqref="L949">
    <cfRule type="cellIs" dxfId="1" priority="2040" operator="equal">
      <formula>0</formula>
    </cfRule>
  </conditionalFormatting>
  <conditionalFormatting sqref="L951">
    <cfRule type="cellIs" dxfId="1" priority="2048" operator="equal">
      <formula>0</formula>
    </cfRule>
  </conditionalFormatting>
  <conditionalFormatting sqref="M1083">
    <cfRule type="expression" dxfId="0" priority="2283">
      <formula>M1084=0</formula>
    </cfRule>
  </conditionalFormatting>
  <conditionalFormatting sqref="M1084">
    <cfRule type="cellIs" dxfId="1" priority="2294" operator="equal">
      <formula>0</formula>
    </cfRule>
  </conditionalFormatting>
  <conditionalFormatting sqref="M1094">
    <cfRule type="cellIs" dxfId="1" priority="2334" operator="equal">
      <formula>0</formula>
    </cfRule>
  </conditionalFormatting>
  <conditionalFormatting sqref="M117">
    <cfRule type="expression" dxfId="0" priority="241">
      <formula>M118=0</formula>
    </cfRule>
  </conditionalFormatting>
  <conditionalFormatting sqref="M118">
    <cfRule type="cellIs" dxfId="1" priority="253" operator="equal">
      <formula>0</formula>
    </cfRule>
  </conditionalFormatting>
  <conditionalFormatting sqref="M128">
    <cfRule type="cellIs" dxfId="1" priority="297" operator="equal">
      <formula>0</formula>
    </cfRule>
  </conditionalFormatting>
  <conditionalFormatting sqref="M1422">
    <cfRule type="expression" dxfId="0" priority="3047">
      <formula>M1423=0</formula>
    </cfRule>
  </conditionalFormatting>
  <conditionalFormatting sqref="M1423">
    <cfRule type="cellIs" dxfId="1" priority="3058" operator="equal">
      <formula>0</formula>
    </cfRule>
  </conditionalFormatting>
  <conditionalFormatting sqref="M1441">
    <cfRule type="cellIs" dxfId="1" priority="3141" operator="equal">
      <formula>0</formula>
    </cfRule>
  </conditionalFormatting>
  <conditionalFormatting sqref="M1554">
    <cfRule type="expression" dxfId="0" priority="3347">
      <formula>M1555=0</formula>
    </cfRule>
  </conditionalFormatting>
  <conditionalFormatting sqref="M1555">
    <cfRule type="cellIs" dxfId="1" priority="3358" operator="equal">
      <formula>0</formula>
    </cfRule>
  </conditionalFormatting>
  <conditionalFormatting sqref="M1570">
    <cfRule type="cellIs" dxfId="1" priority="3422" operator="equal">
      <formula>0</formula>
    </cfRule>
  </conditionalFormatting>
  <conditionalFormatting sqref="M204">
    <cfRule type="expression" dxfId="0" priority="463">
      <formula>M205=0</formula>
    </cfRule>
  </conditionalFormatting>
  <conditionalFormatting sqref="M205">
    <cfRule type="cellIs" dxfId="1" priority="475" operator="equal">
      <formula>0</formula>
    </cfRule>
  </conditionalFormatting>
  <conditionalFormatting sqref="M206">
    <cfRule type="cellIs" dxfId="1" priority="480" operator="equal">
      <formula>0</formula>
    </cfRule>
  </conditionalFormatting>
  <conditionalFormatting sqref="M267">
    <cfRule type="expression" dxfId="0" priority="621">
      <formula>M268=0</formula>
    </cfRule>
  </conditionalFormatting>
  <conditionalFormatting sqref="M268">
    <cfRule type="cellIs" dxfId="1" priority="633" operator="equal">
      <formula>0</formula>
    </cfRule>
  </conditionalFormatting>
  <conditionalFormatting sqref="M27">
    <cfRule type="expression" dxfId="0" priority="11">
      <formula>M28=0</formula>
    </cfRule>
  </conditionalFormatting>
  <conditionalFormatting sqref="M28">
    <cfRule type="cellIs" dxfId="1" priority="23" operator="equal">
      <formula>0</formula>
    </cfRule>
  </conditionalFormatting>
  <conditionalFormatting sqref="M282">
    <cfRule type="cellIs" dxfId="1" priority="698" operator="equal">
      <formula>0</formula>
    </cfRule>
  </conditionalFormatting>
  <conditionalFormatting sqref="M40">
    <cfRule type="cellIs" dxfId="1" priority="76" operator="equal">
      <formula>0</formula>
    </cfRule>
  </conditionalFormatting>
  <conditionalFormatting sqref="M657">
    <cfRule type="expression" dxfId="0" priority="1483">
      <formula>M658=0</formula>
    </cfRule>
  </conditionalFormatting>
  <conditionalFormatting sqref="M658">
    <cfRule type="cellIs" dxfId="1" priority="1494" operator="equal">
      <formula>0</formula>
    </cfRule>
  </conditionalFormatting>
  <conditionalFormatting sqref="M665">
    <cfRule type="cellIs" dxfId="1" priority="1525" operator="equal">
      <formula>0</formula>
    </cfRule>
  </conditionalFormatting>
  <conditionalFormatting sqref="N117">
    <cfRule type="expression" dxfId="0" priority="242">
      <formula>N118=0</formula>
    </cfRule>
  </conditionalFormatting>
  <conditionalFormatting sqref="N118">
    <cfRule type="cellIs" dxfId="1" priority="254" operator="equal">
      <formula>0</formula>
    </cfRule>
  </conditionalFormatting>
  <conditionalFormatting sqref="N119">
    <cfRule type="cellIs" dxfId="1" priority="259" operator="equal">
      <formula>0</formula>
    </cfRule>
  </conditionalFormatting>
  <conditionalFormatting sqref="N204">
    <cfRule type="expression" dxfId="0" priority="464">
      <formula>N205=0</formula>
    </cfRule>
  </conditionalFormatting>
  <conditionalFormatting sqref="N205">
    <cfRule type="cellIs" dxfId="1" priority="476" operator="equal">
      <formula>0</formula>
    </cfRule>
  </conditionalFormatting>
  <conditionalFormatting sqref="N206">
    <cfRule type="cellIs" dxfId="1" priority="481" operator="equal">
      <formula>0</formula>
    </cfRule>
  </conditionalFormatting>
  <conditionalFormatting sqref="N267">
    <cfRule type="expression" dxfId="0" priority="622">
      <formula>N268=0</formula>
    </cfRule>
  </conditionalFormatting>
  <conditionalFormatting sqref="N268">
    <cfRule type="cellIs" dxfId="1" priority="634" operator="equal">
      <formula>0</formula>
    </cfRule>
  </conditionalFormatting>
  <conditionalFormatting sqref="N27">
    <cfRule type="expression" dxfId="0" priority="12">
      <formula>N28=0</formula>
    </cfRule>
  </conditionalFormatting>
  <conditionalFormatting sqref="N28">
    <cfRule type="cellIs" dxfId="1" priority="24" operator="equal">
      <formula>0</formula>
    </cfRule>
  </conditionalFormatting>
  <conditionalFormatting sqref="N288">
    <cfRule type="cellIs" dxfId="1" priority="726" operator="equal">
      <formula>0</formula>
    </cfRule>
  </conditionalFormatting>
  <conditionalFormatting sqref="N30">
    <cfRule type="cellIs" dxfId="1" priority="33" operator="equal">
      <formula>0</formula>
    </cfRule>
  </conditionalFormatting>
  <hyperlinks>
    <hyperlink ref="B3" r:id="rId1"/>
    <hyperlink ref="B4" r:id="rId2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FormatPr defaultRowHeight="15"/>
  <cols>
    <col min="1" max="1" width="25.42578125" bestFit="1" customWidth="1"/>
    <col min="2" max="2" width="3" bestFit="1" customWidth="1"/>
    <col min="5" max="5" width="60.7109375" bestFit="1" customWidth="1"/>
  </cols>
  <sheetData>
    <row r="1" spans="1:5">
      <c r="A1" t="s">
        <v>61</v>
      </c>
      <c r="B1">
        <v>-1</v>
      </c>
      <c r="E1" s="9" t="s">
        <v>173</v>
      </c>
    </row>
    <row r="2" spans="1:5">
      <c r="A2" t="s">
        <v>178</v>
      </c>
      <c r="B2">
        <v>-1</v>
      </c>
      <c r="E2" t="s">
        <v>174</v>
      </c>
    </row>
    <row r="3" spans="1:5">
      <c r="A3" t="s">
        <v>75</v>
      </c>
      <c r="B3">
        <v>-1</v>
      </c>
      <c r="E3" t="s">
        <v>175</v>
      </c>
    </row>
    <row r="4" spans="1:5">
      <c r="A4" t="s">
        <v>57</v>
      </c>
      <c r="B4">
        <v>-1</v>
      </c>
      <c r="E4" t="s">
        <v>176</v>
      </c>
    </row>
    <row r="5" spans="1:5">
      <c r="A5" t="s">
        <v>24</v>
      </c>
      <c r="B5">
        <v>-1</v>
      </c>
      <c r="E5" t="s">
        <v>177</v>
      </c>
    </row>
    <row r="6" spans="1:5">
      <c r="A6" t="s">
        <v>25</v>
      </c>
      <c r="B6">
        <v>-1</v>
      </c>
    </row>
    <row r="7" spans="1:5">
      <c r="A7" t="s">
        <v>26</v>
      </c>
      <c r="B7">
        <v>-1</v>
      </c>
    </row>
    <row r="8" spans="1:5">
      <c r="A8" t="s">
        <v>92</v>
      </c>
      <c r="B8">
        <v>-1</v>
      </c>
    </row>
    <row r="9" spans="1:5">
      <c r="A9" t="s">
        <v>125</v>
      </c>
      <c r="B9">
        <v>-1</v>
      </c>
    </row>
    <row r="10" spans="1:5">
      <c r="A10" t="s">
        <v>94</v>
      </c>
      <c r="B10">
        <v>-1</v>
      </c>
    </row>
    <row r="11" spans="1:5">
      <c r="A11" t="s">
        <v>27</v>
      </c>
      <c r="B11">
        <v>-1</v>
      </c>
    </row>
    <row r="12" spans="1:5">
      <c r="A12" t="s">
        <v>72</v>
      </c>
      <c r="B12">
        <v>-1</v>
      </c>
    </row>
    <row r="13" spans="1:5">
      <c r="A13" t="s">
        <v>104</v>
      </c>
      <c r="B13">
        <v>-1</v>
      </c>
    </row>
    <row r="14" spans="1:5">
      <c r="A14" t="s">
        <v>105</v>
      </c>
      <c r="B14">
        <v>-1</v>
      </c>
    </row>
    <row r="15" spans="1:5">
      <c r="A15" t="s">
        <v>81</v>
      </c>
      <c r="B15">
        <v>-1</v>
      </c>
    </row>
    <row r="16" spans="1:5">
      <c r="A16" t="s">
        <v>82</v>
      </c>
      <c r="B16">
        <v>-1</v>
      </c>
    </row>
    <row r="17" spans="1:2">
      <c r="A17" t="s">
        <v>119</v>
      </c>
      <c r="B17">
        <v>-1</v>
      </c>
    </row>
    <row r="18" spans="1:2">
      <c r="A18" t="s">
        <v>28</v>
      </c>
      <c r="B18">
        <v>-1</v>
      </c>
    </row>
    <row r="19" spans="1:2">
      <c r="A19" t="s">
        <v>29</v>
      </c>
      <c r="B19">
        <v>-1</v>
      </c>
    </row>
    <row r="20" spans="1:2">
      <c r="A20" t="s">
        <v>30</v>
      </c>
      <c r="B20">
        <v>-1</v>
      </c>
    </row>
    <row r="21" spans="1:2">
      <c r="A21" t="s">
        <v>31</v>
      </c>
      <c r="B21">
        <v>-1</v>
      </c>
    </row>
    <row r="22" spans="1:2">
      <c r="A22" t="s">
        <v>32</v>
      </c>
      <c r="B22">
        <v>-1</v>
      </c>
    </row>
    <row r="23" spans="1:2">
      <c r="A23" t="s">
        <v>112</v>
      </c>
      <c r="B23">
        <v>-1</v>
      </c>
    </row>
    <row r="24" spans="1:2">
      <c r="A24" t="s">
        <v>100</v>
      </c>
      <c r="B24">
        <v>-1</v>
      </c>
    </row>
    <row r="25" spans="1:2">
      <c r="A25" t="s">
        <v>101</v>
      </c>
      <c r="B25">
        <v>-1</v>
      </c>
    </row>
    <row r="26" spans="1:2">
      <c r="A26" t="s">
        <v>33</v>
      </c>
      <c r="B26">
        <v>-1</v>
      </c>
    </row>
    <row r="27" spans="1:2">
      <c r="A27" t="s">
        <v>86</v>
      </c>
      <c r="B27">
        <v>-1</v>
      </c>
    </row>
    <row r="28" spans="1:2">
      <c r="A28" t="s">
        <v>34</v>
      </c>
      <c r="B28">
        <v>-1</v>
      </c>
    </row>
    <row r="29" spans="1:2">
      <c r="A29" t="s">
        <v>58</v>
      </c>
      <c r="B29">
        <v>-1</v>
      </c>
    </row>
    <row r="30" spans="1:2">
      <c r="A30" t="s">
        <v>106</v>
      </c>
      <c r="B30">
        <v>-1</v>
      </c>
    </row>
    <row r="31" spans="1:2">
      <c r="A31" t="s">
        <v>59</v>
      </c>
      <c r="B31">
        <v>-1</v>
      </c>
    </row>
    <row r="32" spans="1:2">
      <c r="A32" t="s">
        <v>35</v>
      </c>
      <c r="B32">
        <v>-1</v>
      </c>
    </row>
    <row r="33" spans="1:2">
      <c r="A33" t="s">
        <v>76</v>
      </c>
      <c r="B33">
        <v>-1</v>
      </c>
    </row>
    <row r="34" spans="1:2">
      <c r="A34" t="s">
        <v>36</v>
      </c>
      <c r="B34">
        <v>-1</v>
      </c>
    </row>
    <row r="35" spans="1:2">
      <c r="A35" t="s">
        <v>37</v>
      </c>
      <c r="B35">
        <v>-1</v>
      </c>
    </row>
    <row r="36" spans="1:2">
      <c r="A36" t="s">
        <v>38</v>
      </c>
      <c r="B36">
        <v>-1</v>
      </c>
    </row>
    <row r="37" spans="1:2">
      <c r="A37" t="s">
        <v>110</v>
      </c>
      <c r="B37">
        <v>-1</v>
      </c>
    </row>
    <row r="38" spans="1:2">
      <c r="A38" t="s">
        <v>107</v>
      </c>
      <c r="B38">
        <v>-1</v>
      </c>
    </row>
    <row r="39" spans="1:2">
      <c r="A39" t="s">
        <v>83</v>
      </c>
      <c r="B39">
        <v>-1</v>
      </c>
    </row>
    <row r="40" spans="1:2">
      <c r="A40" t="s">
        <v>39</v>
      </c>
      <c r="B40">
        <v>-1</v>
      </c>
    </row>
    <row r="41" spans="1:2">
      <c r="A41" t="s">
        <v>40</v>
      </c>
      <c r="B41">
        <v>-1</v>
      </c>
    </row>
    <row r="42" spans="1:2">
      <c r="A42" t="s">
        <v>108</v>
      </c>
      <c r="B42">
        <v>-1</v>
      </c>
    </row>
    <row r="43" spans="1:2">
      <c r="A43" t="s">
        <v>95</v>
      </c>
      <c r="B43">
        <v>-1</v>
      </c>
    </row>
    <row r="44" spans="1:2">
      <c r="A44" t="s">
        <v>41</v>
      </c>
      <c r="B44">
        <v>-1</v>
      </c>
    </row>
    <row r="45" spans="1:2">
      <c r="A45" t="s">
        <v>42</v>
      </c>
      <c r="B45">
        <v>-1</v>
      </c>
    </row>
    <row r="46" spans="1:2">
      <c r="A46" t="s">
        <v>93</v>
      </c>
      <c r="B46">
        <v>-1</v>
      </c>
    </row>
    <row r="47" spans="1:2">
      <c r="A47" t="s">
        <v>109</v>
      </c>
      <c r="B47">
        <v>-1</v>
      </c>
    </row>
    <row r="48" spans="1:2">
      <c r="A48" t="s">
        <v>60</v>
      </c>
      <c r="B48">
        <v>-1</v>
      </c>
    </row>
    <row r="49" spans="1:2">
      <c r="A49" t="s">
        <v>43</v>
      </c>
      <c r="B49">
        <v>-1</v>
      </c>
    </row>
    <row r="50" spans="1:2">
      <c r="A50" t="s">
        <v>44</v>
      </c>
      <c r="B50">
        <v>-1</v>
      </c>
    </row>
    <row r="51" spans="1:2">
      <c r="A51" t="s">
        <v>179</v>
      </c>
      <c r="B51">
        <v>-1</v>
      </c>
    </row>
    <row r="52" spans="1:2">
      <c r="A52" t="s">
        <v>73</v>
      </c>
      <c r="B52">
        <v>-1</v>
      </c>
    </row>
    <row r="53" spans="1:2">
      <c r="A53" t="s">
        <v>180</v>
      </c>
      <c r="B53">
        <v>-1</v>
      </c>
    </row>
    <row r="54" spans="1:2">
      <c r="A54" t="s">
        <v>45</v>
      </c>
      <c r="B54">
        <v>-1</v>
      </c>
    </row>
    <row r="55" spans="1:2">
      <c r="A55" t="s">
        <v>181</v>
      </c>
      <c r="B55">
        <v>-1</v>
      </c>
    </row>
    <row r="56" spans="1:2">
      <c r="A56" t="s">
        <v>84</v>
      </c>
      <c r="B56">
        <v>-1</v>
      </c>
    </row>
    <row r="57" spans="1:2">
      <c r="A57" t="s">
        <v>74</v>
      </c>
      <c r="B57">
        <v>-1</v>
      </c>
    </row>
    <row r="58" spans="1:2">
      <c r="A58" t="s">
        <v>46</v>
      </c>
      <c r="B58">
        <v>-1</v>
      </c>
    </row>
    <row r="59" spans="1:2">
      <c r="A59" t="s">
        <v>47</v>
      </c>
      <c r="B59">
        <v>-1</v>
      </c>
    </row>
    <row r="60" spans="1:2">
      <c r="A60" t="s">
        <v>182</v>
      </c>
      <c r="B60">
        <v>-1</v>
      </c>
    </row>
    <row r="61" spans="1:2">
      <c r="A61" t="s">
        <v>111</v>
      </c>
      <c r="B61">
        <v>-1</v>
      </c>
    </row>
    <row r="62" spans="1:2">
      <c r="A62" t="s">
        <v>113</v>
      </c>
      <c r="B62">
        <v>-1</v>
      </c>
    </row>
    <row r="63" spans="1:2">
      <c r="A63" t="s">
        <v>103</v>
      </c>
      <c r="B63">
        <v>-1</v>
      </c>
    </row>
    <row r="64" spans="1:2">
      <c r="A64" t="s">
        <v>48</v>
      </c>
      <c r="B64">
        <v>-1</v>
      </c>
    </row>
    <row r="65" spans="1:2">
      <c r="A65" t="s">
        <v>85</v>
      </c>
      <c r="B6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equipment</vt:lpstr>
      <vt:lpstr>characters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2024-11-29T04:49:04Z</dcterms:created>
  <dcterms:modified xsi:type="dcterms:W3CDTF">2024-11-29T04:49:04Z</dcterms:modified>
</cp:coreProperties>
</file>