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quipment" sheetId="1" r:id="rId1"/>
    <sheet name="characters" sheetId="2" r:id="rId2"/>
  </sheets>
  <calcPr calcId="124519" fullCalcOnLoad="1"/>
</workbook>
</file>

<file path=xl/sharedStrings.xml><?xml version="1.0" encoding="utf-8"?>
<sst xmlns="http://schemas.openxmlformats.org/spreadsheetml/2006/main" count="5328" uniqueCount="147">
  <si>
    <t>last update:</t>
  </si>
  <si>
    <t>2025-02-03</t>
  </si>
  <si>
    <t>data source:</t>
  </si>
  <si>
    <t>https://www.prydwen.gg/</t>
  </si>
  <si>
    <t>generator:</t>
  </si>
  <si>
    <t>https://github.com/Iluntrin/hoyo-equipment-overview</t>
  </si>
  <si>
    <t>Honkai Star Rail - Relic Overview</t>
  </si>
  <si>
    <t>Band of Sizzling Thunder (5)</t>
  </si>
  <si>
    <t>substats</t>
  </si>
  <si>
    <t>priority</t>
  </si>
  <si>
    <t>SPD</t>
  </si>
  <si>
    <t>ATK%</t>
  </si>
  <si>
    <t>CRIT Rate</t>
  </si>
  <si>
    <t>CRIT DMG</t>
  </si>
  <si>
    <t>EHR</t>
  </si>
  <si>
    <t>Break Effect%</t>
  </si>
  <si>
    <t>combined</t>
  </si>
  <si>
    <t/>
  </si>
  <si>
    <t>Arlan</t>
  </si>
  <si>
    <t>Jing Yuan</t>
  </si>
  <si>
    <t>Kafka</t>
  </si>
  <si>
    <t>Serval</t>
  </si>
  <si>
    <t>Acheron</t>
  </si>
  <si>
    <t>Body (main stat)</t>
  </si>
  <si>
    <t>Feet (main stat)</t>
  </si>
  <si>
    <t>Belobog of the Architects (1)</t>
  </si>
  <si>
    <t>DEF%</t>
  </si>
  <si>
    <t>HP%</t>
  </si>
  <si>
    <t>Effect RES%</t>
  </si>
  <si>
    <t>Gepard</t>
  </si>
  <si>
    <t>Sphere (main stat)</t>
  </si>
  <si>
    <t>Rope (main stat)</t>
  </si>
  <si>
    <t>Energy Regen</t>
  </si>
  <si>
    <t>Broken Keel (9)</t>
  </si>
  <si>
    <t>HP</t>
  </si>
  <si>
    <t>DEF</t>
  </si>
  <si>
    <t>Aventurine</t>
  </si>
  <si>
    <t>Bronya</t>
  </si>
  <si>
    <t>Fu Xuan</t>
  </si>
  <si>
    <t>Hanya</t>
  </si>
  <si>
    <t>Pela</t>
  </si>
  <si>
    <t>Silver Wolf</t>
  </si>
  <si>
    <t>Sparkle</t>
  </si>
  <si>
    <t>Trailblazer • Remembrance</t>
  </si>
  <si>
    <t>Yukong</t>
  </si>
  <si>
    <t>Imaginary DMG</t>
  </si>
  <si>
    <t>Quantum DMG</t>
  </si>
  <si>
    <t>Ice DMG</t>
  </si>
  <si>
    <t>Champion of Streetwise Boxing (5)</t>
  </si>
  <si>
    <t>Sushang</t>
  </si>
  <si>
    <t>Argenti</t>
  </si>
  <si>
    <t>Clara</t>
  </si>
  <si>
    <t>Trailblazer • Destruction</t>
  </si>
  <si>
    <t>Luka</t>
  </si>
  <si>
    <t>Duran, Dynasty of Running Wolves (10)</t>
  </si>
  <si>
    <t>Dr. Ratio</t>
  </si>
  <si>
    <t>Feixiao</t>
  </si>
  <si>
    <t>Moze</t>
  </si>
  <si>
    <t>Topaz &amp; Numby</t>
  </si>
  <si>
    <t>Herta</t>
  </si>
  <si>
    <t>Himeko</t>
  </si>
  <si>
    <t>Yunli</t>
  </si>
  <si>
    <t>Jade</t>
  </si>
  <si>
    <t>Physical DMG</t>
  </si>
  <si>
    <t>Wind DMG</t>
  </si>
  <si>
    <t>Fire DMG</t>
  </si>
  <si>
    <t>Lightning DMG</t>
  </si>
  <si>
    <t>ATK</t>
  </si>
  <si>
    <t>Eagle of Twilight Line (18)</t>
  </si>
  <si>
    <t>Asta</t>
  </si>
  <si>
    <t>Jiaoqiu</t>
  </si>
  <si>
    <t>Sunday</t>
  </si>
  <si>
    <t>Tingyun</t>
  </si>
  <si>
    <t>Tingyun • Fugue</t>
  </si>
  <si>
    <t>Trailblazer • Harmony</t>
  </si>
  <si>
    <t>Sampo</t>
  </si>
  <si>
    <t>Black Swan</t>
  </si>
  <si>
    <t>Boothill</t>
  </si>
  <si>
    <t>Rappa</t>
  </si>
  <si>
    <t>Firesmith of Lava-Forging (2)</t>
  </si>
  <si>
    <t>Hook</t>
  </si>
  <si>
    <t>Firmament Frontline: Glamoth (24)</t>
  </si>
  <si>
    <t>Guinaifen</t>
  </si>
  <si>
    <t>Misha</t>
  </si>
  <si>
    <t>Yanqing</t>
  </si>
  <si>
    <t>Dan Heng</t>
  </si>
  <si>
    <t>Dan Heng • Imbibitor Lunae</t>
  </si>
  <si>
    <t>Jingliu</t>
  </si>
  <si>
    <t>Qingque</t>
  </si>
  <si>
    <t>Seele</t>
  </si>
  <si>
    <t>Welt</t>
  </si>
  <si>
    <t>March 7th • The Hunt</t>
  </si>
  <si>
    <t>The Herta</t>
  </si>
  <si>
    <t>Xueyi</t>
  </si>
  <si>
    <t>Fleet of the Ageless (5)</t>
  </si>
  <si>
    <t>Bailu</t>
  </si>
  <si>
    <t>Huohuo</t>
  </si>
  <si>
    <t>Lynx</t>
  </si>
  <si>
    <t>Natasha</t>
  </si>
  <si>
    <t>Forge of the Kalpagni Lantern (9)</t>
  </si>
  <si>
    <t>Firefly</t>
  </si>
  <si>
    <t>Gallagher</t>
  </si>
  <si>
    <t>Lingsha</t>
  </si>
  <si>
    <t>Genius of Brilliant Stars (6)</t>
  </si>
  <si>
    <t>Hero of Triumphant Song (1)</t>
  </si>
  <si>
    <t>Hunter of Glacial Forest (5)</t>
  </si>
  <si>
    <t>Inert Salsotto (25)</t>
  </si>
  <si>
    <t>Blade</t>
  </si>
  <si>
    <t>Iron Cavalry Against the Scourge (8)</t>
  </si>
  <si>
    <t>Outgoing Healing</t>
  </si>
  <si>
    <t>Izumo Gensei and Takama Divine Realm (10)</t>
  </si>
  <si>
    <t>Knight of Purity Palace (4)</t>
  </si>
  <si>
    <t>March 7th</t>
  </si>
  <si>
    <t>Trailblazer • Preservation</t>
  </si>
  <si>
    <t>Longevous Disciple (4)</t>
  </si>
  <si>
    <t>Lushaka, the Sunken Seas (2)</t>
  </si>
  <si>
    <t>Messenger Traversing Hackerspace (20)</t>
  </si>
  <si>
    <t>Luocha</t>
  </si>
  <si>
    <t>Ruan Mei</t>
  </si>
  <si>
    <t>Musketeer of Wild Wheat (7)</t>
  </si>
  <si>
    <t>Robin</t>
  </si>
  <si>
    <t>Pan-Cosmic Commercial Enterprise (6)</t>
  </si>
  <si>
    <t>Passerby of Wandering Cloud (6)</t>
  </si>
  <si>
    <t>Pioneer Diver of Dead Waters (12)</t>
  </si>
  <si>
    <t>Poet of Mourning Collapse (6)</t>
  </si>
  <si>
    <t>Prisoner in Deep Confinement (6)</t>
  </si>
  <si>
    <t>Rutilant Arena (17)</t>
  </si>
  <si>
    <t>Sacerdos' Relived Ordeal (7)</t>
  </si>
  <si>
    <t>Scholar Lost in Erudition (17)</t>
  </si>
  <si>
    <t>Sigonia, the Unclaimed Desolation (5)</t>
  </si>
  <si>
    <t>Space Sealing Station (15)</t>
  </si>
  <si>
    <t>Sprightly Vonwacq (17)</t>
  </si>
  <si>
    <t>Talia: Kingdom of Banditry (12)</t>
  </si>
  <si>
    <t>The Ashblazing Grand Duke (9)</t>
  </si>
  <si>
    <t>The Wind-Soaring Valorous (3)</t>
  </si>
  <si>
    <t>The Wondrous BananAmusement Park (2)</t>
  </si>
  <si>
    <t>Thief of Shooting Meteor (12)</t>
  </si>
  <si>
    <t>Wastelander of Banditry Desert (4)</t>
  </si>
  <si>
    <t>Watchmaker, Master of Dream Machinations (3)</t>
  </si>
  <si>
    <t>Explanation:</t>
  </si>
  <si>
    <t>-1 show all</t>
  </si>
  <si>
    <t>-2 do not show anything for character</t>
  </si>
  <si>
    <t>0 show only priority 0 for character (=show only recommended sets)</t>
  </si>
  <si>
    <t>&lt;n&gt; show only priority 0 to &lt;n&gt; for character</t>
  </si>
  <si>
    <t>Aglaea</t>
  </si>
  <si>
    <t>Mydei</t>
  </si>
  <si>
    <t>Tribbie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</si>
</sst>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#"/>
  </numFmts>
  <fonts count="6">
    <font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rgb="FFFFFFFF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indexed="64"/>
      </patternFill>
    </fill>
    <fill>
      <patternFill patternType="solid">
        <fgColor rgb="FFCCCC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0" fillId="3" borderId="1" xfId="0" applyFill="1" applyBorder="1"/>
    <xf numFmtId="164" fontId="0" fillId="3" borderId="1" xfId="0" applyNumberFormat="1" applyFill="1" applyBorder="1"/>
    <xf numFmtId="165" fontId="0" fillId="3" borderId="1" xfId="0" applyNumberFormat="1" applyFill="1" applyBorder="1"/>
    <xf numFmtId="0" fontId="4" fillId="0" borderId="0" xfId="0" applyFont="1"/>
    <xf numFmtId="0" fontId="5" fillId="0" borderId="0" xfId="0" applyFont="1"/>
  </cellXfs>
  <cellStyles count="2">
    <cellStyle name="Hyperlink" xfId="1" builtinId="8"/>
    <cellStyle name="Normal" xfId="0" builtinId="0"/>
  </cellStyles>
  <dxfs count="2">
    <dxf>
      <font>
        <b/>
        <color rgb="FF666666"/>
      </font>
      <fill>
        <patternFill>
          <bgColor rgb="FF66666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CCCCCC"/>
      </font>
      <fill>
        <patternFill>
          <bgColor rgb="FFCCCC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0</xdr:rowOff>
    </xdr:from>
    <xdr:to>
      <xdr:col>5</xdr:col>
      <xdr:colOff>57150</xdr:colOff>
      <xdr:row>22</xdr:row>
      <xdr:rowOff>95250</xdr:rowOff>
    </xdr:to>
    <xdr:sp macro="" textlink="">
      <xdr:nvSpPr>
        <xdr:cNvPr id="2" name="TextBox 1"/>
        <xdr:cNvSpPr txBox="1"/>
      </xdr:nvSpPr>
      <xdr:spPr>
        <a:xfrm>
          <a:off x="0" y="952500"/>
          <a:ext cx="9525000" cy="3333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endParaRPr lang="en-US" sz="1100"/>
        </a:p>
        <a:p>
          <a:r>
            <a:rPr lang="en-US" sz="1100"/>
            <a:t>The excel sheet contains multiple table groups. Each table group contains the substats and the main stats of a given relic set. The first data row in each table contains the combined values of each character that uses the set. </a:t>
          </a:r>
        </a:p>
        <a:p>
          <a:endParaRPr lang="en-US" sz="1100"/>
        </a:p>
        <a:p>
          <a:r>
            <a:rPr lang="en-US" sz="1100"/>
            <a:t>The values are in percentages, with the most important stat being 100%. If a subsequent stat was stated on prydwen to be &gt;= (less or equal) of the previous stat, I subtracted 1% of the previous value. If a subsequent stat was stated to be &gt; (less) important I subtracted 10% from the previous value.</a:t>
          </a:r>
        </a:p>
        <a:p>
          <a:endParaRPr lang="en-US" sz="1100"/>
        </a:p>
        <a:p>
          <a:r>
            <a:rPr lang="en-US" sz="1100"/>
            <a:t>The priority columns start with a priority of 0 (meaning this is the recommended set for the character). This value increases by 1 for each subsequent priority.</a:t>
          </a:r>
        </a:p>
        <a:p>
          <a:endParaRPr lang="en-US" sz="1100"/>
        </a:p>
        <a:p>
          <a:r>
            <a:rPr lang="en-US" sz="1100"/>
            <a:t>You can fine tune which characters you want to show (or how many priorities per character you want to show) on the "characters" tab/sheet. By default all characters have the value -1 next to it. -1 means that the character is shown in every set they can use. By setting this value to -2 you can completely hide this character. By setting the value to 0 only the most recommended sets are shown.(1 shows the 2 most recommended sets and so on). As I don't quite know how google docs works with changes on the sheet you most likely want to download a copy of the sheet to your local computer and change your values there.</a:t>
          </a:r>
        </a:p>
        <a:p>
          <a:endParaRPr lang="en-US" sz="1100"/>
        </a:p>
        <a:p>
          <a:r>
            <a:rPr lang="en-US" sz="1100"/>
            <a:t>Disclaimer: I don't claim that all this data is 100% correct (errors (either by me or by prydwen) can always appear or a future character might use preexisting relics with other stats). Please use your own judgment when trashing relics. I take no responsibility if you trashed a good relic because of the data provided here.</a:t>
          </a:r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prydwen.gg/" TargetMode="External"/><Relationship Id="rId2" Type="http://schemas.openxmlformats.org/officeDocument/2006/relationships/hyperlink" Target="https://github.com/Iluntrin/hoyo-equipment-overview" TargetMode="External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621"/>
  <sheetViews>
    <sheetView tabSelected="1" workbookViewId="0"/>
  </sheetViews>
  <sheetFormatPr defaultRowHeight="15"/>
  <cols>
    <col min="1" max="1" width="43" bestFit="1" customWidth="1"/>
    <col min="2" max="2" width="50.140625" bestFit="1" customWidth="1"/>
    <col min="3" max="7" width="16.28515625" bestFit="1" customWidth="1"/>
    <col min="8" max="9" width="14.42578125" bestFit="1" customWidth="1"/>
    <col min="10" max="12" width="14" bestFit="1" customWidth="1"/>
    <col min="13" max="13" width="13.140625" bestFit="1" customWidth="1"/>
  </cols>
  <sheetData>
    <row r="1" spans="1:5">
      <c r="A1" s="1" t="s">
        <v>6</v>
      </c>
      <c r="B1" s="1"/>
      <c r="C1" s="1"/>
      <c r="D1" s="1"/>
      <c r="E1" s="1"/>
    </row>
    <row r="2" spans="1:5">
      <c r="A2" t="s">
        <v>0</v>
      </c>
      <c r="B2" t="s">
        <v>1</v>
      </c>
    </row>
    <row r="3" spans="1:5">
      <c r="A3" t="s">
        <v>2</v>
      </c>
      <c r="B3" s="2" t="s">
        <v>3</v>
      </c>
    </row>
    <row r="4" spans="1:5">
      <c r="A4" t="s">
        <v>4</v>
      </c>
      <c r="B4" s="2" t="s">
        <v>5</v>
      </c>
    </row>
    <row r="26" spans="1:9">
      <c r="A26" s="3" t="s">
        <v>7</v>
      </c>
    </row>
    <row r="27" spans="1:9">
      <c r="A27" s="3" t="s">
        <v>8</v>
      </c>
      <c r="B27" s="3" t="s">
        <v>9</v>
      </c>
      <c r="C27" s="3" t="s">
        <v>10</v>
      </c>
      <c r="D27" s="3" t="s">
        <v>11</v>
      </c>
      <c r="E27" s="3" t="s">
        <v>12</v>
      </c>
      <c r="F27" s="3" t="s">
        <v>13</v>
      </c>
      <c r="G27" s="3" t="s">
        <v>14</v>
      </c>
      <c r="H27" s="3" t="s">
        <v>15</v>
      </c>
    </row>
    <row r="28" spans="1:9">
      <c r="A28" s="4" t="s">
        <v>16</v>
      </c>
      <c r="B28" s="5" t="s">
        <v>17</v>
      </c>
      <c r="C28" s="6">
        <f>IF(SUM(I29:I33)=0,0,SUM(C29:C33)/SUM(I29:I33))</f>
        <v/>
      </c>
      <c r="D28" s="6">
        <f>IF(SUM(I29:I33)=0,0,SUM(D29:D33)/SUM(I29:I33))</f>
        <v/>
      </c>
      <c r="E28" s="6">
        <f>IF(SUM(I29:I33)=0,0,SUM(E29:E33)/SUM(I29:I33))</f>
        <v/>
      </c>
      <c r="F28" s="6">
        <f>IF(SUM(I29:I33)=0,0,SUM(F29:F33)/SUM(I29:I33))</f>
        <v/>
      </c>
      <c r="G28" s="6">
        <f>IF(SUM(I29:I33)=0,0,SUM(G29:G33)/SUM(I29:I33))</f>
        <v/>
      </c>
      <c r="H28" s="6">
        <f>IF(SUM(I29:I33)=0,0,SUM(H29:H33)/SUM(I29:I33))</f>
        <v/>
      </c>
    </row>
    <row r="29" spans="1:9">
      <c r="A29" s="4" t="s">
        <v>18</v>
      </c>
      <c r="B29" s="7">
        <v>1</v>
      </c>
      <c r="C29" s="6">
        <f>IF(I29=1,1.0,0)</f>
        <v/>
      </c>
      <c r="D29" s="6">
        <f>IF(I29=1,0.8,0)</f>
        <v/>
      </c>
      <c r="E29" s="6">
        <f>IF(I29=1,0.9,0)</f>
        <v/>
      </c>
      <c r="F29" s="6">
        <f>IF(I29=1,0.9,0)</f>
        <v/>
      </c>
      <c r="G29" s="5" t="s">
        <v>17</v>
      </c>
      <c r="H29" s="5" t="s">
        <v>17</v>
      </c>
      <c r="I29" s="8">
        <f>IF(OR(LOOKUP(A29,characters!A:A,characters!B:B)=-1, LOOKUP(A29,characters!A:A,characters!B:B)+0.1&gt;=B29),1,0)</f>
        <v/>
      </c>
    </row>
    <row r="30" spans="1:9">
      <c r="A30" s="4" t="s">
        <v>19</v>
      </c>
      <c r="B30" s="7">
        <v>1</v>
      </c>
      <c r="C30" s="6">
        <f>IF(I30=1,1.0,0)</f>
        <v/>
      </c>
      <c r="D30" s="6">
        <f>IF(I30=1,0.8,0)</f>
        <v/>
      </c>
      <c r="E30" s="6">
        <f>IF(I30=1,0.9,0)</f>
        <v/>
      </c>
      <c r="F30" s="6">
        <f>IF(I30=1,0.9,0)</f>
        <v/>
      </c>
      <c r="G30" s="5" t="s">
        <v>17</v>
      </c>
      <c r="H30" s="5" t="s">
        <v>17</v>
      </c>
      <c r="I30" s="8">
        <f>IF(OR(LOOKUP(A30,characters!A:A,characters!B:B)=-1, LOOKUP(A30,characters!A:A,characters!B:B)+0.1&gt;=B30),1,0)</f>
        <v/>
      </c>
    </row>
    <row r="31" spans="1:9">
      <c r="A31" s="4" t="s">
        <v>20</v>
      </c>
      <c r="B31" s="7">
        <v>1</v>
      </c>
      <c r="C31" s="6">
        <f>IF(I31=1,1.0,0)</f>
        <v/>
      </c>
      <c r="D31" s="6">
        <f>IF(I31=1,0.9,0)</f>
        <v/>
      </c>
      <c r="E31" s="5" t="s">
        <v>17</v>
      </c>
      <c r="F31" s="5" t="s">
        <v>17</v>
      </c>
      <c r="G31" s="6">
        <f>IF(I31=1,1.0,0)</f>
        <v/>
      </c>
      <c r="H31" s="6">
        <f>IF(I31=1,0.8,0)</f>
        <v/>
      </c>
      <c r="I31" s="8">
        <f>IF(OR(LOOKUP(A31,characters!A:A,characters!B:B)=-1, LOOKUP(A31,characters!A:A,characters!B:B)+0.1&gt;=B31),1,0)</f>
        <v/>
      </c>
    </row>
    <row r="32" spans="1:9">
      <c r="A32" s="4" t="s">
        <v>21</v>
      </c>
      <c r="B32" s="7">
        <v>1</v>
      </c>
      <c r="C32" s="6">
        <f>IF(I32=1,1.0,0)</f>
        <v/>
      </c>
      <c r="D32" s="6">
        <f>IF(I32=1,0.8,0)</f>
        <v/>
      </c>
      <c r="E32" s="6">
        <f>IF(I32=1,0.9,0)</f>
        <v/>
      </c>
      <c r="F32" s="6">
        <f>IF(I32=1,0.9,0)</f>
        <v/>
      </c>
      <c r="G32" s="5" t="s">
        <v>17</v>
      </c>
      <c r="H32" s="5" t="s">
        <v>17</v>
      </c>
      <c r="I32" s="8">
        <f>IF(OR(LOOKUP(A32,characters!A:A,characters!B:B)=-1, LOOKUP(A32,characters!A:A,characters!B:B)+0.1&gt;=B32),1,0)</f>
        <v/>
      </c>
    </row>
    <row r="33" spans="1:9">
      <c r="A33" s="4" t="s">
        <v>22</v>
      </c>
      <c r="B33" s="7">
        <v>2</v>
      </c>
      <c r="C33" s="6">
        <f>IF(I33=1,1.0,0)</f>
        <v/>
      </c>
      <c r="D33" s="6">
        <f>IF(I33=1,0.8,0)</f>
        <v/>
      </c>
      <c r="E33" s="6">
        <f>IF(I33=1,0.9,0)</f>
        <v/>
      </c>
      <c r="F33" s="6">
        <f>IF(I33=1,0.9,0)</f>
        <v/>
      </c>
      <c r="G33" s="5" t="s">
        <v>17</v>
      </c>
      <c r="H33" s="5" t="s">
        <v>17</v>
      </c>
      <c r="I33" s="8">
        <f>IF(OR(LOOKUP(A33,characters!A:A,characters!B:B)=-1, LOOKUP(A33,characters!A:A,characters!B:B)+0.1&gt;=B33),1,0)</f>
        <v/>
      </c>
    </row>
    <row r="35" spans="1:9">
      <c r="A35" s="3" t="s">
        <v>23</v>
      </c>
      <c r="B35" s="3" t="s">
        <v>9</v>
      </c>
      <c r="C35" s="3" t="s">
        <v>12</v>
      </c>
      <c r="D35" s="3" t="s">
        <v>13</v>
      </c>
      <c r="E35" s="3" t="s">
        <v>11</v>
      </c>
    </row>
    <row r="36" spans="1:9">
      <c r="A36" s="4" t="s">
        <v>16</v>
      </c>
      <c r="B36" s="5" t="s">
        <v>17</v>
      </c>
      <c r="C36" s="6">
        <f>IF(SUM(F37:F41)=0,0,SUM(C37:C41)/SUM(F37:F41))</f>
        <v/>
      </c>
      <c r="D36" s="6">
        <f>IF(SUM(F37:F41)=0,0,SUM(D37:D41)/SUM(F37:F41))</f>
        <v/>
      </c>
      <c r="E36" s="6">
        <f>IF(SUM(F37:F41)=0,0,SUM(E37:E41)/SUM(F37:F41))</f>
        <v/>
      </c>
    </row>
    <row r="37" spans="1:9">
      <c r="A37" s="4" t="s">
        <v>22</v>
      </c>
      <c r="B37" s="7">
        <v>2</v>
      </c>
      <c r="C37" s="6">
        <f>IF(F37=1,1.0,0)</f>
        <v/>
      </c>
      <c r="D37" s="6">
        <f>IF(F37=1,0.99,0)</f>
        <v/>
      </c>
      <c r="E37" s="5" t="s">
        <v>17</v>
      </c>
      <c r="F37" s="8">
        <f>IF(OR(LOOKUP(A37,characters!A:A,characters!B:B)=-1, LOOKUP(A37,characters!A:A,characters!B:B)+0.1&gt;=B37),1,0)</f>
        <v/>
      </c>
    </row>
    <row r="38" spans="1:9">
      <c r="A38" s="4" t="s">
        <v>18</v>
      </c>
      <c r="B38" s="7">
        <v>1</v>
      </c>
      <c r="C38" s="6">
        <f>IF(F38=1,1.0,0)</f>
        <v/>
      </c>
      <c r="D38" s="6">
        <f>IF(F38=1,0.99,0)</f>
        <v/>
      </c>
      <c r="E38" s="5" t="s">
        <v>17</v>
      </c>
      <c r="F38" s="8">
        <f>IF(OR(LOOKUP(A38,characters!A:A,characters!B:B)=-1, LOOKUP(A38,characters!A:A,characters!B:B)+0.1&gt;=B38),1,0)</f>
        <v/>
      </c>
    </row>
    <row r="39" spans="1:9">
      <c r="A39" s="4" t="s">
        <v>19</v>
      </c>
      <c r="B39" s="7">
        <v>1</v>
      </c>
      <c r="C39" s="6">
        <f>IF(F39=1,1.0,0)</f>
        <v/>
      </c>
      <c r="D39" s="6">
        <f>IF(F39=1,0.99,0)</f>
        <v/>
      </c>
      <c r="E39" s="5" t="s">
        <v>17</v>
      </c>
      <c r="F39" s="8">
        <f>IF(OR(LOOKUP(A39,characters!A:A,characters!B:B)=-1, LOOKUP(A39,characters!A:A,characters!B:B)+0.1&gt;=B39),1,0)</f>
        <v/>
      </c>
    </row>
    <row r="40" spans="1:9">
      <c r="A40" s="4" t="s">
        <v>20</v>
      </c>
      <c r="B40" s="7">
        <v>1</v>
      </c>
      <c r="C40" s="5" t="s">
        <v>17</v>
      </c>
      <c r="D40" s="5" t="s">
        <v>17</v>
      </c>
      <c r="E40" s="6">
        <f>IF(F40=1,1.0,0)</f>
        <v/>
      </c>
      <c r="F40" s="8">
        <f>IF(OR(LOOKUP(A40,characters!A:A,characters!B:B)=-1, LOOKUP(A40,characters!A:A,characters!B:B)+0.1&gt;=B40),1,0)</f>
        <v/>
      </c>
    </row>
    <row r="41" spans="1:9">
      <c r="A41" s="4" t="s">
        <v>21</v>
      </c>
      <c r="B41" s="7">
        <v>1</v>
      </c>
      <c r="C41" s="6">
        <f>IF(F41=1,1.0,0)</f>
        <v/>
      </c>
      <c r="D41" s="6">
        <f>IF(F41=1,0.99,0)</f>
        <v/>
      </c>
      <c r="E41" s="5" t="s">
        <v>17</v>
      </c>
      <c r="F41" s="8">
        <f>IF(OR(LOOKUP(A41,characters!A:A,characters!B:B)=-1, LOOKUP(A41,characters!A:A,characters!B:B)+0.1&gt;=B41),1,0)</f>
        <v/>
      </c>
    </row>
    <row r="43" spans="1:9">
      <c r="A43" s="3" t="s">
        <v>24</v>
      </c>
      <c r="B43" s="3" t="s">
        <v>9</v>
      </c>
      <c r="C43" s="3" t="s">
        <v>11</v>
      </c>
      <c r="D43" s="3" t="s">
        <v>10</v>
      </c>
    </row>
    <row r="44" spans="1:9">
      <c r="A44" s="4" t="s">
        <v>16</v>
      </c>
      <c r="B44" s="5" t="s">
        <v>17</v>
      </c>
      <c r="C44" s="6">
        <f>IF(SUM(E45:E49)=0,0,SUM(C45:C49)/SUM(E45:E49))</f>
        <v/>
      </c>
      <c r="D44" s="6">
        <f>IF(SUM(E45:E49)=0,0,SUM(D45:D49)/SUM(E45:E49))</f>
        <v/>
      </c>
    </row>
    <row r="45" spans="1:9">
      <c r="A45" s="4" t="s">
        <v>22</v>
      </c>
      <c r="B45" s="7">
        <v>2</v>
      </c>
      <c r="C45" s="6">
        <f>IF(E45=1,1.0,0)</f>
        <v/>
      </c>
      <c r="D45" s="6">
        <f>IF(E45=1,0.9,0)</f>
        <v/>
      </c>
      <c r="E45" s="8">
        <f>IF(OR(LOOKUP(A45,characters!A:A,characters!B:B)=-1, LOOKUP(A45,characters!A:A,characters!B:B)+0.1&gt;=B45),1,0)</f>
        <v/>
      </c>
    </row>
    <row r="46" spans="1:9">
      <c r="A46" s="4" t="s">
        <v>18</v>
      </c>
      <c r="B46" s="7">
        <v>1</v>
      </c>
      <c r="C46" s="6">
        <f>IF(E46=1,0.99,0)</f>
        <v/>
      </c>
      <c r="D46" s="6">
        <f>IF(E46=1,1.0,0)</f>
        <v/>
      </c>
      <c r="E46" s="8">
        <f>IF(OR(LOOKUP(A46,characters!A:A,characters!B:B)=-1, LOOKUP(A46,characters!A:A,characters!B:B)+0.1&gt;=B46),1,0)</f>
        <v/>
      </c>
    </row>
    <row r="47" spans="1:9">
      <c r="A47" s="4" t="s">
        <v>19</v>
      </c>
      <c r="B47" s="7">
        <v>1</v>
      </c>
      <c r="C47" s="6">
        <f>IF(E47=1,0.99,0)</f>
        <v/>
      </c>
      <c r="D47" s="6">
        <f>IF(E47=1,1.0,0)</f>
        <v/>
      </c>
      <c r="E47" s="8">
        <f>IF(OR(LOOKUP(A47,characters!A:A,characters!B:B)=-1, LOOKUP(A47,characters!A:A,characters!B:B)+0.1&gt;=B47),1,0)</f>
        <v/>
      </c>
    </row>
    <row r="48" spans="1:9">
      <c r="A48" s="4" t="s">
        <v>20</v>
      </c>
      <c r="B48" s="7">
        <v>1</v>
      </c>
      <c r="C48" s="5" t="s">
        <v>17</v>
      </c>
      <c r="D48" s="6">
        <f>IF(E48=1,1.0,0)</f>
        <v/>
      </c>
      <c r="E48" s="8">
        <f>IF(OR(LOOKUP(A48,characters!A:A,characters!B:B)=-1, LOOKUP(A48,characters!A:A,characters!B:B)+0.1&gt;=B48),1,0)</f>
        <v/>
      </c>
    </row>
    <row r="49" spans="1:7">
      <c r="A49" s="4" t="s">
        <v>21</v>
      </c>
      <c r="B49" s="7">
        <v>1</v>
      </c>
      <c r="C49" s="6">
        <f>IF(E49=1,0.99,0)</f>
        <v/>
      </c>
      <c r="D49" s="6">
        <f>IF(E49=1,1.0,0)</f>
        <v/>
      </c>
      <c r="E49" s="8">
        <f>IF(OR(LOOKUP(A49,characters!A:A,characters!B:B)=-1, LOOKUP(A49,characters!A:A,characters!B:B)+0.1&gt;=B49),1,0)</f>
        <v/>
      </c>
    </row>
    <row r="56" spans="1:7">
      <c r="A56" s="3" t="s">
        <v>25</v>
      </c>
    </row>
    <row r="57" spans="1:7">
      <c r="A57" s="3" t="s">
        <v>8</v>
      </c>
      <c r="B57" s="3" t="s">
        <v>9</v>
      </c>
      <c r="C57" s="3" t="s">
        <v>10</v>
      </c>
      <c r="D57" s="3" t="s">
        <v>26</v>
      </c>
      <c r="E57" s="3" t="s">
        <v>27</v>
      </c>
      <c r="F57" s="3" t="s">
        <v>28</v>
      </c>
    </row>
    <row r="58" spans="1:7">
      <c r="A58" s="4" t="s">
        <v>16</v>
      </c>
      <c r="B58" s="5" t="s">
        <v>17</v>
      </c>
      <c r="C58" s="6">
        <f>IF(SUM(G59)=0,0,SUM(C59)/SUM(G59))</f>
        <v/>
      </c>
      <c r="D58" s="6">
        <f>IF(SUM(G59)=0,0,SUM(D59)/SUM(G59))</f>
        <v/>
      </c>
      <c r="E58" s="6">
        <f>IF(SUM(G59)=0,0,SUM(E59)/SUM(G59))</f>
        <v/>
      </c>
      <c r="F58" s="6">
        <f>IF(SUM(G59)=0,0,SUM(F59)/SUM(G59))</f>
        <v/>
      </c>
    </row>
    <row r="59" spans="1:7">
      <c r="A59" s="4" t="s">
        <v>29</v>
      </c>
      <c r="B59" s="7">
        <v>0</v>
      </c>
      <c r="C59" s="6">
        <f>IF(G59=1,1.0,0)</f>
        <v/>
      </c>
      <c r="D59" s="6">
        <f>IF(G59=1,1.0,0)</f>
        <v/>
      </c>
      <c r="E59" s="6">
        <f>IF(G59=1,0.9,0)</f>
        <v/>
      </c>
      <c r="F59" s="6">
        <f>IF(G59=1,0.9,0)</f>
        <v/>
      </c>
      <c r="G59" s="8">
        <f>IF(OR(LOOKUP(A59,characters!A:A,characters!B:B)=-1, LOOKUP(A59,characters!A:A,characters!B:B)+0.1&gt;=B59),1,0)</f>
        <v/>
      </c>
    </row>
    <row r="61" spans="1:7">
      <c r="A61" s="3" t="s">
        <v>30</v>
      </c>
      <c r="B61" s="3" t="s">
        <v>9</v>
      </c>
      <c r="C61" s="3" t="s">
        <v>26</v>
      </c>
    </row>
    <row r="62" spans="1:7">
      <c r="A62" s="4" t="s">
        <v>16</v>
      </c>
      <c r="B62" s="5" t="s">
        <v>17</v>
      </c>
      <c r="C62" s="6">
        <f>IF(SUM(D63)=0,0,SUM(C63)/SUM(D63))</f>
        <v/>
      </c>
    </row>
    <row r="63" spans="1:7">
      <c r="A63" s="4" t="s">
        <v>29</v>
      </c>
      <c r="B63" s="7">
        <v>0</v>
      </c>
      <c r="C63" s="6">
        <f>IF(D63=1,1.0,0)</f>
        <v/>
      </c>
      <c r="D63" s="8">
        <f>IF(OR(LOOKUP(A63,characters!A:A,characters!B:B)=-1, LOOKUP(A63,characters!A:A,characters!B:B)+0.1&gt;=B63),1,0)</f>
        <v/>
      </c>
    </row>
    <row r="65" spans="1:13">
      <c r="A65" s="3" t="s">
        <v>31</v>
      </c>
      <c r="B65" s="3" t="s">
        <v>9</v>
      </c>
      <c r="C65" s="3" t="s">
        <v>32</v>
      </c>
    </row>
    <row r="66" spans="1:13">
      <c r="A66" s="4" t="s">
        <v>16</v>
      </c>
      <c r="B66" s="5" t="s">
        <v>17</v>
      </c>
      <c r="C66" s="6">
        <f>IF(SUM(D67)=0,0,SUM(C67)/SUM(D67))</f>
        <v/>
      </c>
    </row>
    <row r="67" spans="1:13">
      <c r="A67" s="4" t="s">
        <v>29</v>
      </c>
      <c r="B67" s="7">
        <v>0</v>
      </c>
      <c r="C67" s="6">
        <f>IF(D67=1,1.0,0)</f>
        <v/>
      </c>
      <c r="D67" s="8">
        <f>IF(OR(LOOKUP(A67,characters!A:A,characters!B:B)=-1, LOOKUP(A67,characters!A:A,characters!B:B)+0.1&gt;=B67),1,0)</f>
        <v/>
      </c>
    </row>
    <row r="74" spans="1:13">
      <c r="A74" s="3" t="s">
        <v>33</v>
      </c>
    </row>
    <row r="75" spans="1:13">
      <c r="A75" s="3" t="s">
        <v>8</v>
      </c>
      <c r="B75" s="3" t="s">
        <v>9</v>
      </c>
      <c r="C75" s="3" t="s">
        <v>10</v>
      </c>
      <c r="D75" s="3" t="s">
        <v>28</v>
      </c>
      <c r="E75" s="3" t="s">
        <v>34</v>
      </c>
      <c r="F75" s="3" t="s">
        <v>35</v>
      </c>
      <c r="G75" s="3" t="s">
        <v>13</v>
      </c>
      <c r="H75" s="3" t="s">
        <v>14</v>
      </c>
      <c r="I75" s="3" t="s">
        <v>26</v>
      </c>
      <c r="J75" s="3" t="s">
        <v>15</v>
      </c>
      <c r="K75" s="3" t="s">
        <v>27</v>
      </c>
      <c r="L75" s="3" t="s">
        <v>12</v>
      </c>
    </row>
    <row r="76" spans="1:13">
      <c r="A76" s="4" t="s">
        <v>16</v>
      </c>
      <c r="B76" s="5" t="s">
        <v>17</v>
      </c>
      <c r="C76" s="6">
        <f>IF(SUM(M77:M85)=0,0,SUM(C77:C85)/SUM(M77:M85))</f>
        <v/>
      </c>
      <c r="D76" s="6">
        <f>IF(SUM(M77:M85)=0,0,SUM(D77:D85)/SUM(M77:M85))</f>
        <v/>
      </c>
      <c r="E76" s="6">
        <f>IF(SUM(M77:M85)=0,0,SUM(E77:E85)/SUM(M77:M85))</f>
        <v/>
      </c>
      <c r="F76" s="6">
        <f>IF(SUM(M77:M85)=0,0,SUM(F77:F85)/SUM(M77:M85))</f>
        <v/>
      </c>
      <c r="G76" s="6">
        <f>IF(SUM(M77:M85)=0,0,SUM(G77:G85)/SUM(M77:M85))</f>
        <v/>
      </c>
      <c r="H76" s="6">
        <f>IF(SUM(M77:M85)=0,0,SUM(H77:H85)/SUM(M77:M85))</f>
        <v/>
      </c>
      <c r="I76" s="6">
        <f>IF(SUM(M77:M85)=0,0,SUM(I77:I85)/SUM(M77:M85))</f>
        <v/>
      </c>
      <c r="J76" s="6">
        <f>IF(SUM(M77:M85)=0,0,SUM(J77:J85)/SUM(M77:M85))</f>
        <v/>
      </c>
      <c r="K76" s="6">
        <f>IF(SUM(M77:M85)=0,0,SUM(K77:K85)/SUM(M77:M85))</f>
        <v/>
      </c>
      <c r="L76" s="6">
        <f>IF(SUM(M77:M85)=0,0,SUM(L77:L85)/SUM(M77:M85))</f>
        <v/>
      </c>
    </row>
    <row r="77" spans="1:13">
      <c r="A77" s="4" t="s">
        <v>36</v>
      </c>
      <c r="B77" s="7">
        <v>0</v>
      </c>
      <c r="C77" s="6">
        <f>IF(M77=1,0.99,0)</f>
        <v/>
      </c>
      <c r="D77" s="6">
        <f>IF(M77=1,0.69,0)</f>
        <v/>
      </c>
      <c r="E77" s="5" t="s">
        <v>17</v>
      </c>
      <c r="F77" s="5" t="s">
        <v>17</v>
      </c>
      <c r="G77" s="6">
        <f>IF(M77=1,0.89,0)</f>
        <v/>
      </c>
      <c r="H77" s="5" t="s">
        <v>17</v>
      </c>
      <c r="I77" s="6">
        <f>IF(M77=1,1.0,0)</f>
        <v/>
      </c>
      <c r="J77" s="5" t="s">
        <v>17</v>
      </c>
      <c r="K77" s="5" t="s">
        <v>17</v>
      </c>
      <c r="L77" s="6">
        <f>IF(M77=1,0.79,0)</f>
        <v/>
      </c>
      <c r="M77" s="8">
        <f>IF(OR(LOOKUP(A77,characters!A:A,characters!B:B)=-1, LOOKUP(A77,characters!A:A,characters!B:B)+0.1&gt;=B77),1,0)</f>
        <v/>
      </c>
    </row>
    <row r="78" spans="1:13">
      <c r="A78" s="4" t="s">
        <v>37</v>
      </c>
      <c r="B78" s="7">
        <v>0</v>
      </c>
      <c r="C78" s="6">
        <f>IF(M78=1,1.0,0)</f>
        <v/>
      </c>
      <c r="D78" s="6">
        <f>IF(M78=1,0.7,0)</f>
        <v/>
      </c>
      <c r="E78" s="6">
        <f>IF(M78=1,0.8,0)</f>
        <v/>
      </c>
      <c r="F78" s="6">
        <f>IF(M78=1,0.8,0)</f>
        <v/>
      </c>
      <c r="G78" s="6">
        <f>IF(M78=1,0.9,0)</f>
        <v/>
      </c>
      <c r="H78" s="5" t="s">
        <v>17</v>
      </c>
      <c r="I78" s="5" t="s">
        <v>17</v>
      </c>
      <c r="J78" s="5" t="s">
        <v>17</v>
      </c>
      <c r="K78" s="5" t="s">
        <v>17</v>
      </c>
      <c r="L78" s="5" t="s">
        <v>17</v>
      </c>
      <c r="M78" s="8">
        <f>IF(OR(LOOKUP(A78,characters!A:A,characters!B:B)=-1, LOOKUP(A78,characters!A:A,characters!B:B)+0.1&gt;=B78),1,0)</f>
        <v/>
      </c>
    </row>
    <row r="79" spans="1:13">
      <c r="A79" s="4" t="s">
        <v>38</v>
      </c>
      <c r="B79" s="7">
        <v>0</v>
      </c>
      <c r="C79" s="6">
        <f>IF(M79=1,1.0,0)</f>
        <v/>
      </c>
      <c r="D79" s="6">
        <f>IF(M79=1,0.89,0)</f>
        <v/>
      </c>
      <c r="E79" s="5" t="s">
        <v>17</v>
      </c>
      <c r="F79" s="5" t="s">
        <v>17</v>
      </c>
      <c r="G79" s="5" t="s">
        <v>17</v>
      </c>
      <c r="H79" s="5" t="s">
        <v>17</v>
      </c>
      <c r="I79" s="6">
        <f>IF(M79=1,0.99,0)</f>
        <v/>
      </c>
      <c r="J79" s="5" t="s">
        <v>17</v>
      </c>
      <c r="K79" s="6">
        <f>IF(M79=1,1.0,0)</f>
        <v/>
      </c>
      <c r="L79" s="5" t="s">
        <v>17</v>
      </c>
      <c r="M79" s="8">
        <f>IF(OR(LOOKUP(A79,characters!A:A,characters!B:B)=-1, LOOKUP(A79,characters!A:A,characters!B:B)+0.1&gt;=B79),1,0)</f>
        <v/>
      </c>
    </row>
    <row r="80" spans="1:13">
      <c r="A80" s="4" t="s">
        <v>39</v>
      </c>
      <c r="B80" s="7">
        <v>0</v>
      </c>
      <c r="C80" s="6">
        <f>IF(M80=1,1.0,0)</f>
        <v/>
      </c>
      <c r="D80" s="6">
        <f>IF(M80=1,0.8,0)</f>
        <v/>
      </c>
      <c r="E80" s="6">
        <f>IF(M80=1,0.9,0)</f>
        <v/>
      </c>
      <c r="F80" s="6">
        <f>IF(M80=1,0.9,0)</f>
        <v/>
      </c>
      <c r="G80" s="5" t="s">
        <v>17</v>
      </c>
      <c r="H80" s="5" t="s">
        <v>17</v>
      </c>
      <c r="I80" s="5" t="s">
        <v>17</v>
      </c>
      <c r="J80" s="6">
        <f>IF(M80=1,0.8,0)</f>
        <v/>
      </c>
      <c r="K80" s="5" t="s">
        <v>17</v>
      </c>
      <c r="L80" s="5" t="s">
        <v>17</v>
      </c>
      <c r="M80" s="8">
        <f>IF(OR(LOOKUP(A80,characters!A:A,characters!B:B)=-1, LOOKUP(A80,characters!A:A,characters!B:B)+0.1&gt;=B80),1,0)</f>
        <v/>
      </c>
    </row>
    <row r="81" spans="1:13">
      <c r="A81" s="4" t="s">
        <v>40</v>
      </c>
      <c r="B81" s="7">
        <v>0</v>
      </c>
      <c r="C81" s="6">
        <f>IF(M81=1,1.0,0)</f>
        <v/>
      </c>
      <c r="D81" s="6">
        <f>IF(M81=1,0.8,0)</f>
        <v/>
      </c>
      <c r="E81" s="6">
        <f>IF(M81=1,0.9,0)</f>
        <v/>
      </c>
      <c r="F81" s="6">
        <f>IF(M81=1,0.9,0)</f>
        <v/>
      </c>
      <c r="G81" s="5" t="s">
        <v>17</v>
      </c>
      <c r="H81" s="6">
        <f>IF(M81=1,1.0,0)</f>
        <v/>
      </c>
      <c r="I81" s="5" t="s">
        <v>17</v>
      </c>
      <c r="J81" s="5" t="s">
        <v>17</v>
      </c>
      <c r="K81" s="5" t="s">
        <v>17</v>
      </c>
      <c r="L81" s="5" t="s">
        <v>17</v>
      </c>
      <c r="M81" s="8">
        <f>IF(OR(LOOKUP(A81,characters!A:A,characters!B:B)=-1, LOOKUP(A81,characters!A:A,characters!B:B)+0.1&gt;=B81),1,0)</f>
        <v/>
      </c>
    </row>
    <row r="82" spans="1:13">
      <c r="A82" s="4" t="s">
        <v>41</v>
      </c>
      <c r="B82" s="7">
        <v>0</v>
      </c>
      <c r="C82" s="6">
        <f>IF(M82=1,1.0,0)</f>
        <v/>
      </c>
      <c r="D82" s="6">
        <f>IF(M82=1,0.8,0)</f>
        <v/>
      </c>
      <c r="E82" s="6">
        <f>IF(M82=1,0.9,0)</f>
        <v/>
      </c>
      <c r="F82" s="6">
        <f>IF(M82=1,0.9,0)</f>
        <v/>
      </c>
      <c r="G82" s="5" t="s">
        <v>17</v>
      </c>
      <c r="H82" s="6">
        <f>IF(M82=1,1.0,0)</f>
        <v/>
      </c>
      <c r="I82" s="5" t="s">
        <v>17</v>
      </c>
      <c r="J82" s="6">
        <f>IF(M82=1,0.9,0)</f>
        <v/>
      </c>
      <c r="K82" s="5" t="s">
        <v>17</v>
      </c>
      <c r="L82" s="5" t="s">
        <v>17</v>
      </c>
      <c r="M82" s="8">
        <f>IF(OR(LOOKUP(A82,characters!A:A,characters!B:B)=-1, LOOKUP(A82,characters!A:A,characters!B:B)+0.1&gt;=B82),1,0)</f>
        <v/>
      </c>
    </row>
    <row r="83" spans="1:13">
      <c r="A83" s="4" t="s">
        <v>42</v>
      </c>
      <c r="B83" s="7">
        <v>0</v>
      </c>
      <c r="C83" s="6">
        <f>IF(M83=1,1.0,0)</f>
        <v/>
      </c>
      <c r="D83" s="6">
        <f>IF(M83=1,0.8,0)</f>
        <v/>
      </c>
      <c r="E83" s="6">
        <f>IF(M83=1,0.8,0)</f>
        <v/>
      </c>
      <c r="F83" s="6">
        <f>IF(M83=1,0.8,0)</f>
        <v/>
      </c>
      <c r="G83" s="6">
        <f>IF(M83=1,0.9,0)</f>
        <v/>
      </c>
      <c r="H83" s="5" t="s">
        <v>17</v>
      </c>
      <c r="I83" s="5" t="s">
        <v>17</v>
      </c>
      <c r="J83" s="5" t="s">
        <v>17</v>
      </c>
      <c r="K83" s="5" t="s">
        <v>17</v>
      </c>
      <c r="L83" s="5" t="s">
        <v>17</v>
      </c>
      <c r="M83" s="8">
        <f>IF(OR(LOOKUP(A83,characters!A:A,characters!B:B)=-1, LOOKUP(A83,characters!A:A,characters!B:B)+0.1&gt;=B83),1,0)</f>
        <v/>
      </c>
    </row>
    <row r="84" spans="1:13">
      <c r="A84" s="4" t="s">
        <v>43</v>
      </c>
      <c r="B84" s="7">
        <v>0</v>
      </c>
      <c r="C84" s="6">
        <f>IF(M84=1,1.0,0)</f>
        <v/>
      </c>
      <c r="D84" s="6">
        <f>IF(M84=1,0.8,0)</f>
        <v/>
      </c>
      <c r="E84" s="5" t="s">
        <v>17</v>
      </c>
      <c r="F84" s="5" t="s">
        <v>17</v>
      </c>
      <c r="G84" s="6">
        <f>IF(M84=1,0.9,0)</f>
        <v/>
      </c>
      <c r="H84" s="5" t="s">
        <v>17</v>
      </c>
      <c r="I84" s="5" t="s">
        <v>17</v>
      </c>
      <c r="J84" s="5" t="s">
        <v>17</v>
      </c>
      <c r="K84" s="5" t="s">
        <v>17</v>
      </c>
      <c r="L84" s="5" t="s">
        <v>17</v>
      </c>
      <c r="M84" s="8">
        <f>IF(OR(LOOKUP(A84,characters!A:A,characters!B:B)=-1, LOOKUP(A84,characters!A:A,characters!B:B)+0.1&gt;=B84),1,0)</f>
        <v/>
      </c>
    </row>
    <row r="85" spans="1:13">
      <c r="A85" s="4" t="s">
        <v>44</v>
      </c>
      <c r="B85" s="7">
        <v>0</v>
      </c>
      <c r="C85" s="6">
        <f>IF(M85=1,1.0,0)</f>
        <v/>
      </c>
      <c r="D85" s="6">
        <f>IF(M85=1,0.8,0)</f>
        <v/>
      </c>
      <c r="E85" s="6">
        <f>IF(M85=1,0.9,0)</f>
        <v/>
      </c>
      <c r="F85" s="6">
        <f>IF(M85=1,0.9,0)</f>
        <v/>
      </c>
      <c r="G85" s="5" t="s">
        <v>17</v>
      </c>
      <c r="H85" s="5" t="s">
        <v>17</v>
      </c>
      <c r="I85" s="5" t="s">
        <v>17</v>
      </c>
      <c r="J85" s="5" t="s">
        <v>17</v>
      </c>
      <c r="K85" s="5" t="s">
        <v>17</v>
      </c>
      <c r="L85" s="5" t="s">
        <v>17</v>
      </c>
      <c r="M85" s="8">
        <f>IF(OR(LOOKUP(A85,characters!A:A,characters!B:B)=-1, LOOKUP(A85,characters!A:A,characters!B:B)+0.1&gt;=B85),1,0)</f>
        <v/>
      </c>
    </row>
    <row r="87" spans="1:13">
      <c r="A87" s="3" t="s">
        <v>30</v>
      </c>
      <c r="B87" s="3" t="s">
        <v>9</v>
      </c>
      <c r="C87" s="3" t="s">
        <v>26</v>
      </c>
      <c r="D87" s="3" t="s">
        <v>45</v>
      </c>
      <c r="E87" s="3" t="s">
        <v>27</v>
      </c>
      <c r="F87" s="3" t="s">
        <v>46</v>
      </c>
      <c r="G87" s="3" t="s">
        <v>47</v>
      </c>
      <c r="H87" s="3" t="s">
        <v>11</v>
      </c>
    </row>
    <row r="88" spans="1:13">
      <c r="A88" s="4" t="s">
        <v>16</v>
      </c>
      <c r="B88" s="5" t="s">
        <v>17</v>
      </c>
      <c r="C88" s="6">
        <f>IF(SUM(I89:I97)=0,0,SUM(C89:C97)/SUM(I89:I97))</f>
        <v/>
      </c>
      <c r="D88" s="6">
        <f>IF(SUM(I89:I97)=0,0,SUM(D89:D97)/SUM(I89:I97))</f>
        <v/>
      </c>
      <c r="E88" s="6">
        <f>IF(SUM(I89:I97)=0,0,SUM(E89:E97)/SUM(I89:I97))</f>
        <v/>
      </c>
      <c r="F88" s="6">
        <f>IF(SUM(I89:I97)=0,0,SUM(F89:F97)/SUM(I89:I97))</f>
        <v/>
      </c>
      <c r="G88" s="6">
        <f>IF(SUM(I89:I97)=0,0,SUM(G89:G97)/SUM(I89:I97))</f>
        <v/>
      </c>
      <c r="H88" s="6">
        <f>IF(SUM(I89:I97)=0,0,SUM(H89:H97)/SUM(I89:I97))</f>
        <v/>
      </c>
    </row>
    <row r="89" spans="1:13">
      <c r="A89" s="4" t="s">
        <v>36</v>
      </c>
      <c r="B89" s="7">
        <v>0</v>
      </c>
      <c r="C89" s="6">
        <f>IF(I89=1,1.0,0)</f>
        <v/>
      </c>
      <c r="D89" s="6">
        <f>IF(I89=1,1.0,0)</f>
        <v/>
      </c>
      <c r="E89" s="5" t="s">
        <v>17</v>
      </c>
      <c r="F89" s="5" t="s">
        <v>17</v>
      </c>
      <c r="G89" s="5" t="s">
        <v>17</v>
      </c>
      <c r="H89" s="5" t="s">
        <v>17</v>
      </c>
      <c r="I89" s="8">
        <f>IF(OR(LOOKUP(A89,characters!A:A,characters!B:B)=-1, LOOKUP(A89,characters!A:A,characters!B:B)+0.1&gt;=B89),1,0)</f>
        <v/>
      </c>
    </row>
    <row r="90" spans="1:13">
      <c r="A90" s="4" t="s">
        <v>37</v>
      </c>
      <c r="B90" s="7">
        <v>0</v>
      </c>
      <c r="C90" s="6">
        <f>IF(I90=1,0.9,0)</f>
        <v/>
      </c>
      <c r="D90" s="5" t="s">
        <v>17</v>
      </c>
      <c r="E90" s="6">
        <f>IF(I90=1,1.0,0)</f>
        <v/>
      </c>
      <c r="F90" s="5" t="s">
        <v>17</v>
      </c>
      <c r="G90" s="5" t="s">
        <v>17</v>
      </c>
      <c r="H90" s="5" t="s">
        <v>17</v>
      </c>
      <c r="I90" s="8">
        <f>IF(OR(LOOKUP(A90,characters!A:A,characters!B:B)=-1, LOOKUP(A90,characters!A:A,characters!B:B)+0.1&gt;=B90),1,0)</f>
        <v/>
      </c>
    </row>
    <row r="91" spans="1:13">
      <c r="A91" s="4" t="s">
        <v>38</v>
      </c>
      <c r="B91" s="7">
        <v>0</v>
      </c>
      <c r="C91" s="6">
        <f>IF(I91=1,0.9,0)</f>
        <v/>
      </c>
      <c r="D91" s="5" t="s">
        <v>17</v>
      </c>
      <c r="E91" s="6">
        <f>IF(I91=1,1.0,0)</f>
        <v/>
      </c>
      <c r="F91" s="5" t="s">
        <v>17</v>
      </c>
      <c r="G91" s="5" t="s">
        <v>17</v>
      </c>
      <c r="H91" s="5" t="s">
        <v>17</v>
      </c>
      <c r="I91" s="8">
        <f>IF(OR(LOOKUP(A91,characters!A:A,characters!B:B)=-1, LOOKUP(A91,characters!A:A,characters!B:B)+0.1&gt;=B91),1,0)</f>
        <v/>
      </c>
    </row>
    <row r="92" spans="1:13">
      <c r="A92" s="4" t="s">
        <v>39</v>
      </c>
      <c r="B92" s="7">
        <v>0</v>
      </c>
      <c r="C92" s="6">
        <f>IF(I92=1,0.9,0)</f>
        <v/>
      </c>
      <c r="D92" s="5" t="s">
        <v>17</v>
      </c>
      <c r="E92" s="6">
        <f>IF(I92=1,1.0,0)</f>
        <v/>
      </c>
      <c r="F92" s="5" t="s">
        <v>17</v>
      </c>
      <c r="G92" s="5" t="s">
        <v>17</v>
      </c>
      <c r="H92" s="5" t="s">
        <v>17</v>
      </c>
      <c r="I92" s="8">
        <f>IF(OR(LOOKUP(A92,characters!A:A,characters!B:B)=-1, LOOKUP(A92,characters!A:A,characters!B:B)+0.1&gt;=B92),1,0)</f>
        <v/>
      </c>
    </row>
    <row r="93" spans="1:13">
      <c r="A93" s="4" t="s">
        <v>40</v>
      </c>
      <c r="B93" s="7">
        <v>0</v>
      </c>
      <c r="C93" s="6">
        <f>IF(I93=1,0.99,0)</f>
        <v/>
      </c>
      <c r="D93" s="5" t="s">
        <v>17</v>
      </c>
      <c r="E93" s="6">
        <f>IF(I93=1,1.0,0)</f>
        <v/>
      </c>
      <c r="F93" s="5" t="s">
        <v>17</v>
      </c>
      <c r="G93" s="5" t="s">
        <v>17</v>
      </c>
      <c r="H93" s="5" t="s">
        <v>17</v>
      </c>
      <c r="I93" s="8">
        <f>IF(OR(LOOKUP(A93,characters!A:A,characters!B:B)=-1, LOOKUP(A93,characters!A:A,characters!B:B)+0.1&gt;=B93),1,0)</f>
        <v/>
      </c>
    </row>
    <row r="94" spans="1:13">
      <c r="A94" s="4" t="s">
        <v>41</v>
      </c>
      <c r="B94" s="7">
        <v>0</v>
      </c>
      <c r="C94" s="5" t="s">
        <v>17</v>
      </c>
      <c r="D94" s="5" t="s">
        <v>17</v>
      </c>
      <c r="E94" s="6">
        <f>IF(I94=1,0.9,0)</f>
        <v/>
      </c>
      <c r="F94" s="6">
        <f>IF(I94=1,1.0,0)</f>
        <v/>
      </c>
      <c r="G94" s="5" t="s">
        <v>17</v>
      </c>
      <c r="H94" s="5" t="s">
        <v>17</v>
      </c>
      <c r="I94" s="8">
        <f>IF(OR(LOOKUP(A94,characters!A:A,characters!B:B)=-1, LOOKUP(A94,characters!A:A,characters!B:B)+0.1&gt;=B94),1,0)</f>
        <v/>
      </c>
    </row>
    <row r="95" spans="1:13">
      <c r="A95" s="4" t="s">
        <v>42</v>
      </c>
      <c r="B95" s="7">
        <v>0</v>
      </c>
      <c r="C95" s="6">
        <f>IF(I95=1,0.99,0)</f>
        <v/>
      </c>
      <c r="D95" s="5" t="s">
        <v>17</v>
      </c>
      <c r="E95" s="6">
        <f>IF(I95=1,1.0,0)</f>
        <v/>
      </c>
      <c r="F95" s="5" t="s">
        <v>17</v>
      </c>
      <c r="G95" s="5" t="s">
        <v>17</v>
      </c>
      <c r="H95" s="5" t="s">
        <v>17</v>
      </c>
      <c r="I95" s="8">
        <f>IF(OR(LOOKUP(A95,characters!A:A,characters!B:B)=-1, LOOKUP(A95,characters!A:A,characters!B:B)+0.1&gt;=B95),1,0)</f>
        <v/>
      </c>
    </row>
    <row r="96" spans="1:13">
      <c r="A96" s="4" t="s">
        <v>43</v>
      </c>
      <c r="B96" s="7">
        <v>0</v>
      </c>
      <c r="C96" s="6">
        <f>IF(I96=1,0.8,0)</f>
        <v/>
      </c>
      <c r="D96" s="5" t="s">
        <v>17</v>
      </c>
      <c r="E96" s="6">
        <f>IF(I96=1,0.9,0)</f>
        <v/>
      </c>
      <c r="F96" s="5" t="s">
        <v>17</v>
      </c>
      <c r="G96" s="6">
        <f>IF(I96=1,1.0,0)</f>
        <v/>
      </c>
      <c r="H96" s="5" t="s">
        <v>17</v>
      </c>
      <c r="I96" s="8">
        <f>IF(OR(LOOKUP(A96,characters!A:A,characters!B:B)=-1, LOOKUP(A96,characters!A:A,characters!B:B)+0.1&gt;=B96),1,0)</f>
        <v/>
      </c>
    </row>
    <row r="97" spans="1:9">
      <c r="A97" s="4" t="s">
        <v>44</v>
      </c>
      <c r="B97" s="7">
        <v>0</v>
      </c>
      <c r="C97" s="5" t="s">
        <v>17</v>
      </c>
      <c r="D97" s="6">
        <f>IF(I97=1,1.0,0)</f>
        <v/>
      </c>
      <c r="E97" s="5" t="s">
        <v>17</v>
      </c>
      <c r="F97" s="5" t="s">
        <v>17</v>
      </c>
      <c r="G97" s="5" t="s">
        <v>17</v>
      </c>
      <c r="H97" s="6">
        <f>IF(I97=1,0.9,0)</f>
        <v/>
      </c>
      <c r="I97" s="8">
        <f>IF(OR(LOOKUP(A97,characters!A:A,characters!B:B)=-1, LOOKUP(A97,characters!A:A,characters!B:B)+0.1&gt;=B97),1,0)</f>
        <v/>
      </c>
    </row>
    <row r="99" spans="1:9">
      <c r="A99" s="3" t="s">
        <v>31</v>
      </c>
      <c r="B99" s="3" t="s">
        <v>9</v>
      </c>
      <c r="C99" s="3" t="s">
        <v>26</v>
      </c>
      <c r="D99" s="3" t="s">
        <v>32</v>
      </c>
      <c r="E99" s="3" t="s">
        <v>11</v>
      </c>
    </row>
    <row r="100" spans="1:9">
      <c r="A100" s="4" t="s">
        <v>16</v>
      </c>
      <c r="B100" s="5" t="s">
        <v>17</v>
      </c>
      <c r="C100" s="6">
        <f>IF(SUM(F101:F109)=0,0,SUM(C101:C109)/SUM(F101:F109))</f>
        <v/>
      </c>
      <c r="D100" s="6">
        <f>IF(SUM(F101:F109)=0,0,SUM(D101:D109)/SUM(F101:F109))</f>
        <v/>
      </c>
      <c r="E100" s="6">
        <f>IF(SUM(F101:F109)=0,0,SUM(E101:E109)/SUM(F101:F109))</f>
        <v/>
      </c>
    </row>
    <row r="101" spans="1:9">
      <c r="A101" s="4" t="s">
        <v>36</v>
      </c>
      <c r="B101" s="7">
        <v>0</v>
      </c>
      <c r="C101" s="6">
        <f>IF(F101=1,1.0,0)</f>
        <v/>
      </c>
      <c r="D101" s="5" t="s">
        <v>17</v>
      </c>
      <c r="E101" s="5" t="s">
        <v>17</v>
      </c>
      <c r="F101" s="8">
        <f>IF(OR(LOOKUP(A101,characters!A:A,characters!B:B)=-1, LOOKUP(A101,characters!A:A,characters!B:B)+0.1&gt;=B101),1,0)</f>
        <v/>
      </c>
    </row>
    <row r="102" spans="1:9">
      <c r="A102" s="4" t="s">
        <v>37</v>
      </c>
      <c r="B102" s="7">
        <v>0</v>
      </c>
      <c r="C102" s="5" t="s">
        <v>17</v>
      </c>
      <c r="D102" s="6">
        <f>IF(F102=1,1.0,0)</f>
        <v/>
      </c>
      <c r="E102" s="5" t="s">
        <v>17</v>
      </c>
      <c r="F102" s="8">
        <f>IF(OR(LOOKUP(A102,characters!A:A,characters!B:B)=-1, LOOKUP(A102,characters!A:A,characters!B:B)+0.1&gt;=B102),1,0)</f>
        <v/>
      </c>
    </row>
    <row r="103" spans="1:9">
      <c r="A103" s="4" t="s">
        <v>38</v>
      </c>
      <c r="B103" s="7">
        <v>0</v>
      </c>
      <c r="C103" s="5" t="s">
        <v>17</v>
      </c>
      <c r="D103" s="6">
        <f>IF(F103=1,1.0,0)</f>
        <v/>
      </c>
      <c r="E103" s="5" t="s">
        <v>17</v>
      </c>
      <c r="F103" s="8">
        <f>IF(OR(LOOKUP(A103,characters!A:A,characters!B:B)=-1, LOOKUP(A103,characters!A:A,characters!B:B)+0.1&gt;=B103),1,0)</f>
        <v/>
      </c>
    </row>
    <row r="104" spans="1:9">
      <c r="A104" s="4" t="s">
        <v>39</v>
      </c>
      <c r="B104" s="7">
        <v>0</v>
      </c>
      <c r="C104" s="5" t="s">
        <v>17</v>
      </c>
      <c r="D104" s="6">
        <f>IF(F104=1,1.0,0)</f>
        <v/>
      </c>
      <c r="E104" s="5" t="s">
        <v>17</v>
      </c>
      <c r="F104" s="8">
        <f>IF(OR(LOOKUP(A104,characters!A:A,characters!B:B)=-1, LOOKUP(A104,characters!A:A,characters!B:B)+0.1&gt;=B104),1,0)</f>
        <v/>
      </c>
    </row>
    <row r="105" spans="1:9">
      <c r="A105" s="4" t="s">
        <v>40</v>
      </c>
      <c r="B105" s="7">
        <v>0</v>
      </c>
      <c r="C105" s="5" t="s">
        <v>17</v>
      </c>
      <c r="D105" s="6">
        <f>IF(F105=1,1.0,0)</f>
        <v/>
      </c>
      <c r="E105" s="5" t="s">
        <v>17</v>
      </c>
      <c r="F105" s="8">
        <f>IF(OR(LOOKUP(A105,characters!A:A,characters!B:B)=-1, LOOKUP(A105,characters!A:A,characters!B:B)+0.1&gt;=B105),1,0)</f>
        <v/>
      </c>
    </row>
    <row r="106" spans="1:9">
      <c r="A106" s="4" t="s">
        <v>41</v>
      </c>
      <c r="B106" s="7">
        <v>0</v>
      </c>
      <c r="C106" s="5" t="s">
        <v>17</v>
      </c>
      <c r="D106" s="6">
        <f>IF(F106=1,1.0,0)</f>
        <v/>
      </c>
      <c r="E106" s="5" t="s">
        <v>17</v>
      </c>
      <c r="F106" s="8">
        <f>IF(OR(LOOKUP(A106,characters!A:A,characters!B:B)=-1, LOOKUP(A106,characters!A:A,characters!B:B)+0.1&gt;=B106),1,0)</f>
        <v/>
      </c>
    </row>
    <row r="107" spans="1:9">
      <c r="A107" s="4" t="s">
        <v>42</v>
      </c>
      <c r="B107" s="7">
        <v>0</v>
      </c>
      <c r="C107" s="5" t="s">
        <v>17</v>
      </c>
      <c r="D107" s="6">
        <f>IF(F107=1,1.0,0)</f>
        <v/>
      </c>
      <c r="E107" s="5" t="s">
        <v>17</v>
      </c>
      <c r="F107" s="8">
        <f>IF(OR(LOOKUP(A107,characters!A:A,characters!B:B)=-1, LOOKUP(A107,characters!A:A,characters!B:B)+0.1&gt;=B107),1,0)</f>
        <v/>
      </c>
    </row>
    <row r="108" spans="1:9">
      <c r="A108" s="4" t="s">
        <v>43</v>
      </c>
      <c r="B108" s="7">
        <v>0</v>
      </c>
      <c r="C108" s="5" t="s">
        <v>17</v>
      </c>
      <c r="D108" s="6">
        <f>IF(F108=1,1.0,0)</f>
        <v/>
      </c>
      <c r="E108" s="5" t="s">
        <v>17</v>
      </c>
      <c r="F108" s="8">
        <f>IF(OR(LOOKUP(A108,characters!A:A,characters!B:B)=-1, LOOKUP(A108,characters!A:A,characters!B:B)+0.1&gt;=B108),1,0)</f>
        <v/>
      </c>
    </row>
    <row r="109" spans="1:9">
      <c r="A109" s="4" t="s">
        <v>44</v>
      </c>
      <c r="B109" s="7">
        <v>0</v>
      </c>
      <c r="C109" s="5" t="s">
        <v>17</v>
      </c>
      <c r="D109" s="6">
        <f>IF(F109=1,1.0,0)</f>
        <v/>
      </c>
      <c r="E109" s="6">
        <f>IF(F109=1,0.99,0)</f>
        <v/>
      </c>
      <c r="F109" s="8">
        <f>IF(OR(LOOKUP(A109,characters!A:A,characters!B:B)=-1, LOOKUP(A109,characters!A:A,characters!B:B)+0.1&gt;=B109),1,0)</f>
        <v/>
      </c>
    </row>
    <row r="116" spans="1:9">
      <c r="A116" s="3" t="s">
        <v>48</v>
      </c>
    </row>
    <row r="117" spans="1:9">
      <c r="A117" s="3" t="s">
        <v>8</v>
      </c>
      <c r="B117" s="3" t="s">
        <v>9</v>
      </c>
      <c r="C117" s="3" t="s">
        <v>10</v>
      </c>
      <c r="D117" s="3" t="s">
        <v>11</v>
      </c>
      <c r="E117" s="3" t="s">
        <v>12</v>
      </c>
      <c r="F117" s="3" t="s">
        <v>13</v>
      </c>
      <c r="G117" s="3" t="s">
        <v>15</v>
      </c>
      <c r="H117" s="3" t="s">
        <v>14</v>
      </c>
    </row>
    <row r="118" spans="1:9">
      <c r="A118" s="4" t="s">
        <v>16</v>
      </c>
      <c r="B118" s="5" t="s">
        <v>17</v>
      </c>
      <c r="C118" s="6">
        <f>IF(SUM(I119:I123)=0,0,SUM(C119:C123)/SUM(I119:I123))</f>
        <v/>
      </c>
      <c r="D118" s="6">
        <f>IF(SUM(I119:I123)=0,0,SUM(D119:D123)/SUM(I119:I123))</f>
        <v/>
      </c>
      <c r="E118" s="6">
        <f>IF(SUM(I119:I123)=0,0,SUM(E119:E123)/SUM(I119:I123))</f>
        <v/>
      </c>
      <c r="F118" s="6">
        <f>IF(SUM(I119:I123)=0,0,SUM(F119:F123)/SUM(I119:I123))</f>
        <v/>
      </c>
      <c r="G118" s="6">
        <f>IF(SUM(I119:I123)=0,0,SUM(G119:G123)/SUM(I119:I123))</f>
        <v/>
      </c>
      <c r="H118" s="6">
        <f>IF(SUM(I119:I123)=0,0,SUM(H119:H123)/SUM(I119:I123))</f>
        <v/>
      </c>
    </row>
    <row r="119" spans="1:9">
      <c r="A119" s="4" t="s">
        <v>49</v>
      </c>
      <c r="B119" s="7">
        <v>0</v>
      </c>
      <c r="C119" s="6">
        <f>IF(I119=1,1.0,0)</f>
        <v/>
      </c>
      <c r="D119" s="6">
        <f>IF(I119=1,0.79,0)</f>
        <v/>
      </c>
      <c r="E119" s="6">
        <f>IF(I119=1,0.89,0)</f>
        <v/>
      </c>
      <c r="F119" s="6">
        <f>IF(I119=1,0.89,0)</f>
        <v/>
      </c>
      <c r="G119" s="6">
        <f>IF(I119=1,0.9,0)</f>
        <v/>
      </c>
      <c r="H119" s="5" t="s">
        <v>17</v>
      </c>
      <c r="I119" s="8">
        <f>IF(OR(LOOKUP(A119,characters!A:A,characters!B:B)=-1, LOOKUP(A119,characters!A:A,characters!B:B)+0.1&gt;=B119),1,0)</f>
        <v/>
      </c>
    </row>
    <row r="120" spans="1:9">
      <c r="A120" s="4" t="s">
        <v>50</v>
      </c>
      <c r="B120" s="7">
        <v>1</v>
      </c>
      <c r="C120" s="6">
        <f>IF(I120=1,1.0,0)</f>
        <v/>
      </c>
      <c r="D120" s="6">
        <f>IF(I120=1,0.8,0)</f>
        <v/>
      </c>
      <c r="E120" s="6">
        <f>IF(I120=1,0.9,0)</f>
        <v/>
      </c>
      <c r="F120" s="6">
        <f>IF(I120=1,0.9,0)</f>
        <v/>
      </c>
      <c r="G120" s="5" t="s">
        <v>17</v>
      </c>
      <c r="H120" s="5" t="s">
        <v>17</v>
      </c>
      <c r="I120" s="8">
        <f>IF(OR(LOOKUP(A120,characters!A:A,characters!B:B)=-1, LOOKUP(A120,characters!A:A,characters!B:B)+0.1&gt;=B120),1,0)</f>
        <v/>
      </c>
    </row>
    <row r="121" spans="1:9">
      <c r="A121" s="4" t="s">
        <v>51</v>
      </c>
      <c r="B121" s="7">
        <v>1</v>
      </c>
      <c r="C121" s="6">
        <f>IF(I121=1,1.0,0)</f>
        <v/>
      </c>
      <c r="D121" s="6">
        <f>IF(I121=1,0.9,0)</f>
        <v/>
      </c>
      <c r="E121" s="6">
        <f>IF(I121=1,1.0,0)</f>
        <v/>
      </c>
      <c r="F121" s="6">
        <f>IF(I121=1,1.0,0)</f>
        <v/>
      </c>
      <c r="G121" s="5" t="s">
        <v>17</v>
      </c>
      <c r="H121" s="5" t="s">
        <v>17</v>
      </c>
      <c r="I121" s="8">
        <f>IF(OR(LOOKUP(A121,characters!A:A,characters!B:B)=-1, LOOKUP(A121,characters!A:A,characters!B:B)+0.1&gt;=B121),1,0)</f>
        <v/>
      </c>
    </row>
    <row r="122" spans="1:9">
      <c r="A122" s="4" t="s">
        <v>52</v>
      </c>
      <c r="B122" s="7">
        <v>1</v>
      </c>
      <c r="C122" s="6">
        <f>IF(I122=1,1.0,0)</f>
        <v/>
      </c>
      <c r="D122" s="6">
        <f>IF(I122=1,0.79,0)</f>
        <v/>
      </c>
      <c r="E122" s="6">
        <f>IF(I122=1,0.89,0)</f>
        <v/>
      </c>
      <c r="F122" s="6">
        <f>IF(I122=1,0.89,0)</f>
        <v/>
      </c>
      <c r="G122" s="6">
        <f>IF(I122=1,0.9,0)</f>
        <v/>
      </c>
      <c r="H122" s="5" t="s">
        <v>17</v>
      </c>
      <c r="I122" s="8">
        <f>IF(OR(LOOKUP(A122,characters!A:A,characters!B:B)=-1, LOOKUP(A122,characters!A:A,characters!B:B)+0.1&gt;=B122),1,0)</f>
        <v/>
      </c>
    </row>
    <row r="123" spans="1:9">
      <c r="A123" s="4" t="s">
        <v>53</v>
      </c>
      <c r="B123" s="7">
        <v>2</v>
      </c>
      <c r="C123" s="6">
        <f>IF(I123=1,1.0,0)</f>
        <v/>
      </c>
      <c r="D123" s="6">
        <f>IF(I123=1,0.89,0)</f>
        <v/>
      </c>
      <c r="E123" s="5" t="s">
        <v>17</v>
      </c>
      <c r="F123" s="5" t="s">
        <v>17</v>
      </c>
      <c r="G123" s="6">
        <f>IF(I123=1,0.9,0)</f>
        <v/>
      </c>
      <c r="H123" s="6">
        <f>IF(I123=1,1.0,0)</f>
        <v/>
      </c>
      <c r="I123" s="8">
        <f>IF(OR(LOOKUP(A123,characters!A:A,characters!B:B)=-1, LOOKUP(A123,characters!A:A,characters!B:B)+0.1&gt;=B123),1,0)</f>
        <v/>
      </c>
    </row>
    <row r="125" spans="1:9">
      <c r="A125" s="3" t="s">
        <v>23</v>
      </c>
      <c r="B125" s="3" t="s">
        <v>9</v>
      </c>
      <c r="C125" s="3" t="s">
        <v>12</v>
      </c>
      <c r="D125" s="3" t="s">
        <v>13</v>
      </c>
      <c r="E125" s="3" t="s">
        <v>14</v>
      </c>
      <c r="F125" s="3" t="s">
        <v>11</v>
      </c>
    </row>
    <row r="126" spans="1:9">
      <c r="A126" s="4" t="s">
        <v>16</v>
      </c>
      <c r="B126" s="5" t="s">
        <v>17</v>
      </c>
      <c r="C126" s="6">
        <f>IF(SUM(G127:G131)=0,0,SUM(C127:C131)/SUM(G127:G131))</f>
        <v/>
      </c>
      <c r="D126" s="6">
        <f>IF(SUM(G127:G131)=0,0,SUM(D127:D131)/SUM(G127:G131))</f>
        <v/>
      </c>
      <c r="E126" s="6">
        <f>IF(SUM(G127:G131)=0,0,SUM(E127:E131)/SUM(G127:G131))</f>
        <v/>
      </c>
      <c r="F126" s="6">
        <f>IF(SUM(G127:G131)=0,0,SUM(F127:F131)/SUM(G127:G131))</f>
        <v/>
      </c>
    </row>
    <row r="127" spans="1:9">
      <c r="A127" s="4" t="s">
        <v>50</v>
      </c>
      <c r="B127" s="7">
        <v>1</v>
      </c>
      <c r="C127" s="6">
        <f>IF(G127=1,1.0,0)</f>
        <v/>
      </c>
      <c r="D127" s="6">
        <f>IF(G127=1,0.99,0)</f>
        <v/>
      </c>
      <c r="E127" s="5" t="s">
        <v>17</v>
      </c>
      <c r="F127" s="5" t="s">
        <v>17</v>
      </c>
      <c r="G127" s="8">
        <f>IF(OR(LOOKUP(A127,characters!A:A,characters!B:B)=-1, LOOKUP(A127,characters!A:A,characters!B:B)+0.1&gt;=B127),1,0)</f>
        <v/>
      </c>
    </row>
    <row r="128" spans="1:9">
      <c r="A128" s="4" t="s">
        <v>51</v>
      </c>
      <c r="B128" s="7">
        <v>1</v>
      </c>
      <c r="C128" s="6">
        <f>IF(G128=1,1.0,0)</f>
        <v/>
      </c>
      <c r="D128" s="6">
        <f>IF(G128=1,0.99,0)</f>
        <v/>
      </c>
      <c r="E128" s="5" t="s">
        <v>17</v>
      </c>
      <c r="F128" s="5" t="s">
        <v>17</v>
      </c>
      <c r="G128" s="8">
        <f>IF(OR(LOOKUP(A128,characters!A:A,characters!B:B)=-1, LOOKUP(A128,characters!A:A,characters!B:B)+0.1&gt;=B128),1,0)</f>
        <v/>
      </c>
    </row>
    <row r="129" spans="1:7">
      <c r="A129" s="4" t="s">
        <v>53</v>
      </c>
      <c r="B129" s="7">
        <v>2</v>
      </c>
      <c r="C129" s="5" t="s">
        <v>17</v>
      </c>
      <c r="D129" s="5" t="s">
        <v>17</v>
      </c>
      <c r="E129" s="6">
        <f>IF(G129=1,1.0,0)</f>
        <v/>
      </c>
      <c r="F129" s="6">
        <f>IF(G129=1,0.9,0)</f>
        <v/>
      </c>
      <c r="G129" s="8">
        <f>IF(OR(LOOKUP(A129,characters!A:A,characters!B:B)=-1, LOOKUP(A129,characters!A:A,characters!B:B)+0.1&gt;=B129),1,0)</f>
        <v/>
      </c>
    </row>
    <row r="130" spans="1:7">
      <c r="A130" s="4" t="s">
        <v>49</v>
      </c>
      <c r="B130" s="7">
        <v>0</v>
      </c>
      <c r="C130" s="6">
        <f>IF(G130=1,1.0,0)</f>
        <v/>
      </c>
      <c r="D130" s="6">
        <f>IF(G130=1,0.99,0)</f>
        <v/>
      </c>
      <c r="E130" s="5" t="s">
        <v>17</v>
      </c>
      <c r="F130" s="5" t="s">
        <v>17</v>
      </c>
      <c r="G130" s="8">
        <f>IF(OR(LOOKUP(A130,characters!A:A,characters!B:B)=-1, LOOKUP(A130,characters!A:A,characters!B:B)+0.1&gt;=B130),1,0)</f>
        <v/>
      </c>
    </row>
    <row r="131" spans="1:7">
      <c r="A131" s="4" t="s">
        <v>52</v>
      </c>
      <c r="B131" s="7">
        <v>1</v>
      </c>
      <c r="C131" s="6">
        <f>IF(G131=1,1.0,0)</f>
        <v/>
      </c>
      <c r="D131" s="6">
        <f>IF(G131=1,0.99,0)</f>
        <v/>
      </c>
      <c r="E131" s="5" t="s">
        <v>17</v>
      </c>
      <c r="F131" s="5" t="s">
        <v>17</v>
      </c>
      <c r="G131" s="8">
        <f>IF(OR(LOOKUP(A131,characters!A:A,characters!B:B)=-1, LOOKUP(A131,characters!A:A,characters!B:B)+0.1&gt;=B131),1,0)</f>
        <v/>
      </c>
    </row>
    <row r="133" spans="1:7">
      <c r="A133" s="3" t="s">
        <v>24</v>
      </c>
      <c r="B133" s="3" t="s">
        <v>9</v>
      </c>
      <c r="C133" s="3" t="s">
        <v>11</v>
      </c>
      <c r="D133" s="3" t="s">
        <v>10</v>
      </c>
    </row>
    <row r="134" spans="1:7">
      <c r="A134" s="4" t="s">
        <v>16</v>
      </c>
      <c r="B134" s="5" t="s">
        <v>17</v>
      </c>
      <c r="C134" s="6">
        <f>IF(SUM(E135:E139)=0,0,SUM(C135:C139)/SUM(E135:E139))</f>
        <v/>
      </c>
      <c r="D134" s="6">
        <f>IF(SUM(E135:E139)=0,0,SUM(D135:D139)/SUM(E135:E139))</f>
        <v/>
      </c>
    </row>
    <row r="135" spans="1:7">
      <c r="A135" s="4" t="s">
        <v>50</v>
      </c>
      <c r="B135" s="7">
        <v>1</v>
      </c>
      <c r="C135" s="6">
        <f>IF(E135=1,1.0,0)</f>
        <v/>
      </c>
      <c r="D135" s="6">
        <f>IF(E135=1,0.99,0)</f>
        <v/>
      </c>
      <c r="E135" s="8">
        <f>IF(OR(LOOKUP(A135,characters!A:A,characters!B:B)=-1, LOOKUP(A135,characters!A:A,characters!B:B)+0.1&gt;=B135),1,0)</f>
        <v/>
      </c>
    </row>
    <row r="136" spans="1:7">
      <c r="A136" s="4" t="s">
        <v>51</v>
      </c>
      <c r="B136" s="7">
        <v>1</v>
      </c>
      <c r="C136" s="6">
        <f>IF(E136=1,1.0,0)</f>
        <v/>
      </c>
      <c r="D136" s="5" t="s">
        <v>17</v>
      </c>
      <c r="E136" s="8">
        <f>IF(OR(LOOKUP(A136,characters!A:A,characters!B:B)=-1, LOOKUP(A136,characters!A:A,characters!B:B)+0.1&gt;=B136),1,0)</f>
        <v/>
      </c>
    </row>
    <row r="137" spans="1:7">
      <c r="A137" s="4" t="s">
        <v>53</v>
      </c>
      <c r="B137" s="7">
        <v>2</v>
      </c>
      <c r="C137" s="5" t="s">
        <v>17</v>
      </c>
      <c r="D137" s="6">
        <f>IF(E137=1,1.0,0)</f>
        <v/>
      </c>
      <c r="E137" s="8">
        <f>IF(OR(LOOKUP(A137,characters!A:A,characters!B:B)=-1, LOOKUP(A137,characters!A:A,characters!B:B)+0.1&gt;=B137),1,0)</f>
        <v/>
      </c>
    </row>
    <row r="138" spans="1:7">
      <c r="A138" s="4" t="s">
        <v>49</v>
      </c>
      <c r="B138" s="7">
        <v>0</v>
      </c>
      <c r="C138" s="6">
        <f>IF(E138=1,0.99,0)</f>
        <v/>
      </c>
      <c r="D138" s="6">
        <f>IF(E138=1,1.0,0)</f>
        <v/>
      </c>
      <c r="E138" s="8">
        <f>IF(OR(LOOKUP(A138,characters!A:A,characters!B:B)=-1, LOOKUP(A138,characters!A:A,characters!B:B)+0.1&gt;=B138),1,0)</f>
        <v/>
      </c>
    </row>
    <row r="139" spans="1:7">
      <c r="A139" s="4" t="s">
        <v>52</v>
      </c>
      <c r="B139" s="7">
        <v>1</v>
      </c>
      <c r="C139" s="6">
        <f>IF(E139=1,0.99,0)</f>
        <v/>
      </c>
      <c r="D139" s="6">
        <f>IF(E139=1,1.0,0)</f>
        <v/>
      </c>
      <c r="E139" s="8">
        <f>IF(OR(LOOKUP(A139,characters!A:A,characters!B:B)=-1, LOOKUP(A139,characters!A:A,characters!B:B)+0.1&gt;=B139),1,0)</f>
        <v/>
      </c>
    </row>
    <row r="146" spans="1:11">
      <c r="A146" s="3" t="s">
        <v>54</v>
      </c>
    </row>
    <row r="147" spans="1:11">
      <c r="A147" s="3" t="s">
        <v>8</v>
      </c>
      <c r="B147" s="3" t="s">
        <v>9</v>
      </c>
      <c r="C147" s="3" t="s">
        <v>13</v>
      </c>
      <c r="D147" s="3" t="s">
        <v>12</v>
      </c>
      <c r="E147" s="3" t="s">
        <v>10</v>
      </c>
      <c r="F147" s="3" t="s">
        <v>11</v>
      </c>
      <c r="G147" s="3" t="s">
        <v>26</v>
      </c>
      <c r="H147" s="3" t="s">
        <v>28</v>
      </c>
    </row>
    <row r="148" spans="1:11">
      <c r="A148" s="4" t="s">
        <v>16</v>
      </c>
      <c r="B148" s="5" t="s">
        <v>17</v>
      </c>
      <c r="C148" s="6">
        <f>IF(SUM(I149:I158)=0,0,SUM(C149:C158)/SUM(I149:I158))</f>
        <v/>
      </c>
      <c r="D148" s="6">
        <f>IF(SUM(I149:I158)=0,0,SUM(D149:D158)/SUM(I149:I158))</f>
        <v/>
      </c>
      <c r="E148" s="6">
        <f>IF(SUM(I149:I158)=0,0,SUM(E149:E158)/SUM(I149:I158))</f>
        <v/>
      </c>
      <c r="F148" s="6">
        <f>IF(SUM(I149:I158)=0,0,SUM(F149:F158)/SUM(I149:I158))</f>
        <v/>
      </c>
      <c r="G148" s="6">
        <f>IF(SUM(I149:I158)=0,0,SUM(G149:G158)/SUM(I149:I158))</f>
        <v/>
      </c>
      <c r="H148" s="6">
        <f>IF(SUM(I149:I158)=0,0,SUM(H149:H158)/SUM(I149:I158))</f>
        <v/>
      </c>
    </row>
    <row r="149" spans="1:11">
      <c r="A149" s="4" t="s">
        <v>51</v>
      </c>
      <c r="B149" s="7">
        <v>0</v>
      </c>
      <c r="C149" s="6">
        <f>IF(I149=1,1.0,0)</f>
        <v/>
      </c>
      <c r="D149" s="6">
        <f>IF(I149=1,1.0,0)</f>
        <v/>
      </c>
      <c r="E149" s="6">
        <f>IF(I149=1,1.0,0)</f>
        <v/>
      </c>
      <c r="F149" s="6">
        <f>IF(I149=1,0.9,0)</f>
        <v/>
      </c>
      <c r="G149" s="5" t="s">
        <v>17</v>
      </c>
      <c r="H149" s="5" t="s">
        <v>17</v>
      </c>
      <c r="I149" s="8">
        <f>IF(OR(LOOKUP(A149,characters!A:A,characters!B:B)=-1, LOOKUP(A149,characters!A:A,characters!B:B)+0.1&gt;=B149),1,0)</f>
        <v/>
      </c>
    </row>
    <row r="150" spans="1:11">
      <c r="A150" s="4" t="s">
        <v>55</v>
      </c>
      <c r="B150" s="7">
        <v>0</v>
      </c>
      <c r="C150" s="6">
        <f>IF(I150=1,0.9,0)</f>
        <v/>
      </c>
      <c r="D150" s="6">
        <f>IF(I150=1,0.9,0)</f>
        <v/>
      </c>
      <c r="E150" s="6">
        <f>IF(I150=1,1.0,0)</f>
        <v/>
      </c>
      <c r="F150" s="6">
        <f>IF(I150=1,0.8,0)</f>
        <v/>
      </c>
      <c r="G150" s="5" t="s">
        <v>17</v>
      </c>
      <c r="H150" s="5" t="s">
        <v>17</v>
      </c>
      <c r="I150" s="8">
        <f>IF(OR(LOOKUP(A150,characters!A:A,characters!B:B)=-1, LOOKUP(A150,characters!A:A,characters!B:B)+0.1&gt;=B150),1,0)</f>
        <v/>
      </c>
    </row>
    <row r="151" spans="1:11">
      <c r="A151" s="4" t="s">
        <v>56</v>
      </c>
      <c r="B151" s="7">
        <v>0</v>
      </c>
      <c r="C151" s="6">
        <f>IF(I151=1,1.0,0)</f>
        <v/>
      </c>
      <c r="D151" s="6">
        <f>IF(I151=1,1.0,0)</f>
        <v/>
      </c>
      <c r="E151" s="6">
        <f>IF(I151=1,1.0,0)</f>
        <v/>
      </c>
      <c r="F151" s="6">
        <f>IF(I151=1,0.9,0)</f>
        <v/>
      </c>
      <c r="G151" s="5" t="s">
        <v>17</v>
      </c>
      <c r="H151" s="5" t="s">
        <v>17</v>
      </c>
      <c r="I151" s="8">
        <f>IF(OR(LOOKUP(A151,characters!A:A,characters!B:B)=-1, LOOKUP(A151,characters!A:A,characters!B:B)+0.1&gt;=B151),1,0)</f>
        <v/>
      </c>
    </row>
    <row r="152" spans="1:11">
      <c r="A152" s="4" t="s">
        <v>57</v>
      </c>
      <c r="B152" s="7">
        <v>0</v>
      </c>
      <c r="C152" s="6">
        <f>IF(I152=1,0.99,0)</f>
        <v/>
      </c>
      <c r="D152" s="6">
        <f>IF(I152=1,1.0,0)</f>
        <v/>
      </c>
      <c r="E152" s="6">
        <f>IF(I152=1,1.0,0)</f>
        <v/>
      </c>
      <c r="F152" s="6">
        <f>IF(I152=1,0.89,0)</f>
        <v/>
      </c>
      <c r="G152" s="5" t="s">
        <v>17</v>
      </c>
      <c r="H152" s="5" t="s">
        <v>17</v>
      </c>
      <c r="I152" s="8">
        <f>IF(OR(LOOKUP(A152,characters!A:A,characters!B:B)=-1, LOOKUP(A152,characters!A:A,characters!B:B)+0.1&gt;=B152),1,0)</f>
        <v/>
      </c>
    </row>
    <row r="153" spans="1:11">
      <c r="A153" s="4" t="s">
        <v>58</v>
      </c>
      <c r="B153" s="7">
        <v>0</v>
      </c>
      <c r="C153" s="6">
        <f>IF(I153=1,0.9,0)</f>
        <v/>
      </c>
      <c r="D153" s="6">
        <f>IF(I153=1,0.9,0)</f>
        <v/>
      </c>
      <c r="E153" s="6">
        <f>IF(I153=1,1.0,0)</f>
        <v/>
      </c>
      <c r="F153" s="6">
        <f>IF(I153=1,0.8,0)</f>
        <v/>
      </c>
      <c r="G153" s="5" t="s">
        <v>17</v>
      </c>
      <c r="H153" s="5" t="s">
        <v>17</v>
      </c>
      <c r="I153" s="8">
        <f>IF(OR(LOOKUP(A153,characters!A:A,characters!B:B)=-1, LOOKUP(A153,characters!A:A,characters!B:B)+0.1&gt;=B153),1,0)</f>
        <v/>
      </c>
    </row>
    <row r="154" spans="1:11">
      <c r="A154" s="4" t="s">
        <v>36</v>
      </c>
      <c r="B154" s="7">
        <v>1</v>
      </c>
      <c r="C154" s="6">
        <f>IF(I154=1,0.89,0)</f>
        <v/>
      </c>
      <c r="D154" s="6">
        <f>IF(I154=1,0.79,0)</f>
        <v/>
      </c>
      <c r="E154" s="6">
        <f>IF(I154=1,0.99,0)</f>
        <v/>
      </c>
      <c r="F154" s="5" t="s">
        <v>17</v>
      </c>
      <c r="G154" s="6">
        <f>IF(I154=1,1.0,0)</f>
        <v/>
      </c>
      <c r="H154" s="6">
        <f>IF(I154=1,0.69,0)</f>
        <v/>
      </c>
      <c r="I154" s="8">
        <f>IF(OR(LOOKUP(A154,characters!A:A,characters!B:B)=-1, LOOKUP(A154,characters!A:A,characters!B:B)+0.1&gt;=B154),1,0)</f>
        <v/>
      </c>
    </row>
    <row r="155" spans="1:11">
      <c r="A155" s="4" t="s">
        <v>59</v>
      </c>
      <c r="B155" s="7">
        <v>1</v>
      </c>
      <c r="C155" s="6">
        <f>IF(I155=1,1.0,0)</f>
        <v/>
      </c>
      <c r="D155" s="6">
        <f>IF(I155=1,1.0,0)</f>
        <v/>
      </c>
      <c r="E155" s="6">
        <f>IF(I155=1,1.0,0)</f>
        <v/>
      </c>
      <c r="F155" s="6">
        <f>IF(I155=1,0.9,0)</f>
        <v/>
      </c>
      <c r="G155" s="5" t="s">
        <v>17</v>
      </c>
      <c r="H155" s="5" t="s">
        <v>17</v>
      </c>
      <c r="I155" s="8">
        <f>IF(OR(LOOKUP(A155,characters!A:A,characters!B:B)=-1, LOOKUP(A155,characters!A:A,characters!B:B)+0.1&gt;=B155),1,0)</f>
        <v/>
      </c>
    </row>
    <row r="156" spans="1:11">
      <c r="A156" s="4" t="s">
        <v>60</v>
      </c>
      <c r="B156" s="7">
        <v>1</v>
      </c>
      <c r="C156" s="6">
        <f>IF(I156=1,1.0,0)</f>
        <v/>
      </c>
      <c r="D156" s="6">
        <f>IF(I156=1,1.0,0)</f>
        <v/>
      </c>
      <c r="E156" s="6">
        <f>IF(I156=1,1.0,0)</f>
        <v/>
      </c>
      <c r="F156" s="6">
        <f>IF(I156=1,0.9,0)</f>
        <v/>
      </c>
      <c r="G156" s="5" t="s">
        <v>17</v>
      </c>
      <c r="H156" s="5" t="s">
        <v>17</v>
      </c>
      <c r="I156" s="8">
        <f>IF(OR(LOOKUP(A156,characters!A:A,characters!B:B)=-1, LOOKUP(A156,characters!A:A,characters!B:B)+0.1&gt;=B156),1,0)</f>
        <v/>
      </c>
    </row>
    <row r="157" spans="1:11">
      <c r="A157" s="4" t="s">
        <v>61</v>
      </c>
      <c r="B157" s="7">
        <v>1</v>
      </c>
      <c r="C157" s="6">
        <f>IF(I157=1,1.0,0)</f>
        <v/>
      </c>
      <c r="D157" s="6">
        <f>IF(I157=1,1.0,0)</f>
        <v/>
      </c>
      <c r="E157" s="5" t="s">
        <v>17</v>
      </c>
      <c r="F157" s="6">
        <f>IF(I157=1,0.9,0)</f>
        <v/>
      </c>
      <c r="G157" s="5" t="s">
        <v>17</v>
      </c>
      <c r="H157" s="5" t="s">
        <v>17</v>
      </c>
      <c r="I157" s="8">
        <f>IF(OR(LOOKUP(A157,characters!A:A,characters!B:B)=-1, LOOKUP(A157,characters!A:A,characters!B:B)+0.1&gt;=B157),1,0)</f>
        <v/>
      </c>
    </row>
    <row r="158" spans="1:11">
      <c r="A158" s="4" t="s">
        <v>62</v>
      </c>
      <c r="B158" s="7">
        <v>2</v>
      </c>
      <c r="C158" s="6">
        <f>IF(I158=1,0.99,0)</f>
        <v/>
      </c>
      <c r="D158" s="6">
        <f>IF(I158=1,1.0,0)</f>
        <v/>
      </c>
      <c r="E158" s="6">
        <f>IF(I158=1,0.79,0)</f>
        <v/>
      </c>
      <c r="F158" s="6">
        <f>IF(I158=1,0.89,0)</f>
        <v/>
      </c>
      <c r="G158" s="5" t="s">
        <v>17</v>
      </c>
      <c r="H158" s="5" t="s">
        <v>17</v>
      </c>
      <c r="I158" s="8">
        <f>IF(OR(LOOKUP(A158,characters!A:A,characters!B:B)=-1, LOOKUP(A158,characters!A:A,characters!B:B)+0.1&gt;=B158),1,0)</f>
        <v/>
      </c>
    </row>
    <row r="160" spans="1:11">
      <c r="A160" s="3" t="s">
        <v>30</v>
      </c>
      <c r="B160" s="3" t="s">
        <v>9</v>
      </c>
      <c r="C160" s="3" t="s">
        <v>26</v>
      </c>
      <c r="D160" s="3" t="s">
        <v>45</v>
      </c>
      <c r="E160" s="3" t="s">
        <v>63</v>
      </c>
      <c r="F160" s="3" t="s">
        <v>11</v>
      </c>
      <c r="G160" s="3" t="s">
        <v>64</v>
      </c>
      <c r="H160" s="3" t="s">
        <v>47</v>
      </c>
      <c r="I160" s="3" t="s">
        <v>65</v>
      </c>
      <c r="J160" s="3" t="s">
        <v>46</v>
      </c>
      <c r="K160" s="3" t="s">
        <v>66</v>
      </c>
    </row>
    <row r="161" spans="1:12">
      <c r="A161" s="4" t="s">
        <v>16</v>
      </c>
      <c r="B161" s="5" t="s">
        <v>17</v>
      </c>
      <c r="C161" s="6">
        <f>IF(SUM(L162:L171)=0,0,SUM(C162:C171)/SUM(L162:L171))</f>
        <v/>
      </c>
      <c r="D161" s="6">
        <f>IF(SUM(L162:L171)=0,0,SUM(D162:D171)/SUM(L162:L171))</f>
        <v/>
      </c>
      <c r="E161" s="6">
        <f>IF(SUM(L162:L171)=0,0,SUM(E162:E171)/SUM(L162:L171))</f>
        <v/>
      </c>
      <c r="F161" s="6">
        <f>IF(SUM(L162:L171)=0,0,SUM(F162:F171)/SUM(L162:L171))</f>
        <v/>
      </c>
      <c r="G161" s="6">
        <f>IF(SUM(L162:L171)=0,0,SUM(G162:G171)/SUM(L162:L171))</f>
        <v/>
      </c>
      <c r="H161" s="6">
        <f>IF(SUM(L162:L171)=0,0,SUM(H162:H171)/SUM(L162:L171))</f>
        <v/>
      </c>
      <c r="I161" s="6">
        <f>IF(SUM(L162:L171)=0,0,SUM(I162:I171)/SUM(L162:L171))</f>
        <v/>
      </c>
      <c r="J161" s="6">
        <f>IF(SUM(L162:L171)=0,0,SUM(J162:J171)/SUM(L162:L171))</f>
        <v/>
      </c>
      <c r="K161" s="6">
        <f>IF(SUM(L162:L171)=0,0,SUM(K162:K171)/SUM(L162:L171))</f>
        <v/>
      </c>
    </row>
    <row r="162" spans="1:12">
      <c r="A162" s="4" t="s">
        <v>36</v>
      </c>
      <c r="B162" s="7">
        <v>1</v>
      </c>
      <c r="C162" s="6">
        <f>IF(L162=1,1.0,0)</f>
        <v/>
      </c>
      <c r="D162" s="6">
        <f>IF(L162=1,1.0,0)</f>
        <v/>
      </c>
      <c r="E162" s="5" t="s">
        <v>17</v>
      </c>
      <c r="F162" s="5" t="s">
        <v>17</v>
      </c>
      <c r="G162" s="5" t="s">
        <v>17</v>
      </c>
      <c r="H162" s="5" t="s">
        <v>17</v>
      </c>
      <c r="I162" s="5" t="s">
        <v>17</v>
      </c>
      <c r="J162" s="5" t="s">
        <v>17</v>
      </c>
      <c r="K162" s="5" t="s">
        <v>17</v>
      </c>
      <c r="L162" s="8">
        <f>IF(OR(LOOKUP(A162,characters!A:A,characters!B:B)=-1, LOOKUP(A162,characters!A:A,characters!B:B)+0.1&gt;=B162),1,0)</f>
        <v/>
      </c>
    </row>
    <row r="163" spans="1:12">
      <c r="A163" s="4" t="s">
        <v>51</v>
      </c>
      <c r="B163" s="7">
        <v>0</v>
      </c>
      <c r="C163" s="5" t="s">
        <v>17</v>
      </c>
      <c r="D163" s="5" t="s">
        <v>17</v>
      </c>
      <c r="E163" s="6">
        <f>IF(L163=1,1.0,0)</f>
        <v/>
      </c>
      <c r="F163" s="6">
        <f>IF(L163=1,0.9,0)</f>
        <v/>
      </c>
      <c r="G163" s="5" t="s">
        <v>17</v>
      </c>
      <c r="H163" s="5" t="s">
        <v>17</v>
      </c>
      <c r="I163" s="5" t="s">
        <v>17</v>
      </c>
      <c r="J163" s="5" t="s">
        <v>17</v>
      </c>
      <c r="K163" s="5" t="s">
        <v>17</v>
      </c>
      <c r="L163" s="8">
        <f>IF(OR(LOOKUP(A163,characters!A:A,characters!B:B)=-1, LOOKUP(A163,characters!A:A,characters!B:B)+0.1&gt;=B163),1,0)</f>
        <v/>
      </c>
    </row>
    <row r="164" spans="1:12">
      <c r="A164" s="4" t="s">
        <v>55</v>
      </c>
      <c r="B164" s="7">
        <v>0</v>
      </c>
      <c r="C164" s="5" t="s">
        <v>17</v>
      </c>
      <c r="D164" s="6">
        <f>IF(L164=1,1.0,0)</f>
        <v/>
      </c>
      <c r="E164" s="5" t="s">
        <v>17</v>
      </c>
      <c r="F164" s="6">
        <f>IF(L164=1,0.99,0)</f>
        <v/>
      </c>
      <c r="G164" s="5" t="s">
        <v>17</v>
      </c>
      <c r="H164" s="5" t="s">
        <v>17</v>
      </c>
      <c r="I164" s="5" t="s">
        <v>17</v>
      </c>
      <c r="J164" s="5" t="s">
        <v>17</v>
      </c>
      <c r="K164" s="5" t="s">
        <v>17</v>
      </c>
      <c r="L164" s="8">
        <f>IF(OR(LOOKUP(A164,characters!A:A,characters!B:B)=-1, LOOKUP(A164,characters!A:A,characters!B:B)+0.1&gt;=B164),1,0)</f>
        <v/>
      </c>
    </row>
    <row r="165" spans="1:12">
      <c r="A165" s="4" t="s">
        <v>56</v>
      </c>
      <c r="B165" s="7">
        <v>0</v>
      </c>
      <c r="C165" s="5" t="s">
        <v>17</v>
      </c>
      <c r="D165" s="5" t="s">
        <v>17</v>
      </c>
      <c r="E165" s="5" t="s">
        <v>17</v>
      </c>
      <c r="F165" s="6">
        <f>IF(L165=1,0.9,0)</f>
        <v/>
      </c>
      <c r="G165" s="6">
        <f>IF(L165=1,1.0,0)</f>
        <v/>
      </c>
      <c r="H165" s="5" t="s">
        <v>17</v>
      </c>
      <c r="I165" s="5" t="s">
        <v>17</v>
      </c>
      <c r="J165" s="5" t="s">
        <v>17</v>
      </c>
      <c r="K165" s="5" t="s">
        <v>17</v>
      </c>
      <c r="L165" s="8">
        <f>IF(OR(LOOKUP(A165,characters!A:A,characters!B:B)=-1, LOOKUP(A165,characters!A:A,characters!B:B)+0.1&gt;=B165),1,0)</f>
        <v/>
      </c>
    </row>
    <row r="166" spans="1:12">
      <c r="A166" s="4" t="s">
        <v>59</v>
      </c>
      <c r="B166" s="7">
        <v>1</v>
      </c>
      <c r="C166" s="5" t="s">
        <v>17</v>
      </c>
      <c r="D166" s="5" t="s">
        <v>17</v>
      </c>
      <c r="E166" s="5" t="s">
        <v>17</v>
      </c>
      <c r="F166" s="6">
        <f>IF(L166=1,0.9,0)</f>
        <v/>
      </c>
      <c r="G166" s="5" t="s">
        <v>17</v>
      </c>
      <c r="H166" s="6">
        <f>IF(L166=1,1.0,0)</f>
        <v/>
      </c>
      <c r="I166" s="5" t="s">
        <v>17</v>
      </c>
      <c r="J166" s="5" t="s">
        <v>17</v>
      </c>
      <c r="K166" s="5" t="s">
        <v>17</v>
      </c>
      <c r="L166" s="8">
        <f>IF(OR(LOOKUP(A166,characters!A:A,characters!B:B)=-1, LOOKUP(A166,characters!A:A,characters!B:B)+0.1&gt;=B166),1,0)</f>
        <v/>
      </c>
    </row>
    <row r="167" spans="1:12">
      <c r="A167" s="4" t="s">
        <v>60</v>
      </c>
      <c r="B167" s="7">
        <v>1</v>
      </c>
      <c r="C167" s="5" t="s">
        <v>17</v>
      </c>
      <c r="D167" s="5" t="s">
        <v>17</v>
      </c>
      <c r="E167" s="5" t="s">
        <v>17</v>
      </c>
      <c r="F167" s="6">
        <f>IF(L167=1,0.9,0)</f>
        <v/>
      </c>
      <c r="G167" s="5" t="s">
        <v>17</v>
      </c>
      <c r="H167" s="5" t="s">
        <v>17</v>
      </c>
      <c r="I167" s="6">
        <f>IF(L167=1,1.0,0)</f>
        <v/>
      </c>
      <c r="J167" s="5" t="s">
        <v>17</v>
      </c>
      <c r="K167" s="5" t="s">
        <v>17</v>
      </c>
      <c r="L167" s="8">
        <f>IF(OR(LOOKUP(A167,characters!A:A,characters!B:B)=-1, LOOKUP(A167,characters!A:A,characters!B:B)+0.1&gt;=B167),1,0)</f>
        <v/>
      </c>
    </row>
    <row r="168" spans="1:12">
      <c r="A168" s="4" t="s">
        <v>62</v>
      </c>
      <c r="B168" s="7">
        <v>2</v>
      </c>
      <c r="C168" s="5" t="s">
        <v>17</v>
      </c>
      <c r="D168" s="5" t="s">
        <v>17</v>
      </c>
      <c r="E168" s="5" t="s">
        <v>17</v>
      </c>
      <c r="F168" s="5" t="s">
        <v>17</v>
      </c>
      <c r="G168" s="5" t="s">
        <v>17</v>
      </c>
      <c r="H168" s="5" t="s">
        <v>17</v>
      </c>
      <c r="I168" s="5" t="s">
        <v>17</v>
      </c>
      <c r="J168" s="6">
        <f>IF(L168=1,1.0,0)</f>
        <v/>
      </c>
      <c r="K168" s="5" t="s">
        <v>17</v>
      </c>
      <c r="L168" s="8">
        <f>IF(OR(LOOKUP(A168,characters!A:A,characters!B:B)=-1, LOOKUP(A168,characters!A:A,characters!B:B)+0.1&gt;=B168),1,0)</f>
        <v/>
      </c>
    </row>
    <row r="169" spans="1:12">
      <c r="A169" s="4" t="s">
        <v>57</v>
      </c>
      <c r="B169" s="7">
        <v>0</v>
      </c>
      <c r="C169" s="5" t="s">
        <v>17</v>
      </c>
      <c r="D169" s="5" t="s">
        <v>17</v>
      </c>
      <c r="E169" s="5" t="s">
        <v>17</v>
      </c>
      <c r="F169" s="5" t="s">
        <v>17</v>
      </c>
      <c r="G169" s="5" t="s">
        <v>17</v>
      </c>
      <c r="H169" s="5" t="s">
        <v>17</v>
      </c>
      <c r="I169" s="5" t="s">
        <v>17</v>
      </c>
      <c r="J169" s="5" t="s">
        <v>17</v>
      </c>
      <c r="K169" s="6">
        <f>IF(L169=1,1.0,0)</f>
        <v/>
      </c>
      <c r="L169" s="8">
        <f>IF(OR(LOOKUP(A169,characters!A:A,characters!B:B)=-1, LOOKUP(A169,characters!A:A,characters!B:B)+0.1&gt;=B169),1,0)</f>
        <v/>
      </c>
    </row>
    <row r="170" spans="1:12">
      <c r="A170" s="4" t="s">
        <v>58</v>
      </c>
      <c r="B170" s="7">
        <v>0</v>
      </c>
      <c r="C170" s="5" t="s">
        <v>17</v>
      </c>
      <c r="D170" s="5" t="s">
        <v>17</v>
      </c>
      <c r="E170" s="5" t="s">
        <v>17</v>
      </c>
      <c r="F170" s="6">
        <f>IF(L170=1,0.9,0)</f>
        <v/>
      </c>
      <c r="G170" s="5" t="s">
        <v>17</v>
      </c>
      <c r="H170" s="5" t="s">
        <v>17</v>
      </c>
      <c r="I170" s="6">
        <f>IF(L170=1,1.0,0)</f>
        <v/>
      </c>
      <c r="J170" s="5" t="s">
        <v>17</v>
      </c>
      <c r="K170" s="5" t="s">
        <v>17</v>
      </c>
      <c r="L170" s="8">
        <f>IF(OR(LOOKUP(A170,characters!A:A,characters!B:B)=-1, LOOKUP(A170,characters!A:A,characters!B:B)+0.1&gt;=B170),1,0)</f>
        <v/>
      </c>
    </row>
    <row r="171" spans="1:12">
      <c r="A171" s="4" t="s">
        <v>61</v>
      </c>
      <c r="B171" s="7">
        <v>1</v>
      </c>
      <c r="C171" s="5" t="s">
        <v>17</v>
      </c>
      <c r="D171" s="5" t="s">
        <v>17</v>
      </c>
      <c r="E171" s="6">
        <f>IF(L171=1,1.0,0)</f>
        <v/>
      </c>
      <c r="F171" s="6">
        <f>IF(L171=1,0.9,0)</f>
        <v/>
      </c>
      <c r="G171" s="5" t="s">
        <v>17</v>
      </c>
      <c r="H171" s="5" t="s">
        <v>17</v>
      </c>
      <c r="I171" s="5" t="s">
        <v>17</v>
      </c>
      <c r="J171" s="5" t="s">
        <v>17</v>
      </c>
      <c r="K171" s="5" t="s">
        <v>17</v>
      </c>
      <c r="L171" s="8">
        <f>IF(OR(LOOKUP(A171,characters!A:A,characters!B:B)=-1, LOOKUP(A171,characters!A:A,characters!B:B)+0.1&gt;=B171),1,0)</f>
        <v/>
      </c>
    </row>
    <row r="173" spans="1:12">
      <c r="A173" s="3" t="s">
        <v>31</v>
      </c>
      <c r="B173" s="3" t="s">
        <v>9</v>
      </c>
      <c r="C173" s="3" t="s">
        <v>26</v>
      </c>
      <c r="D173" s="3" t="s">
        <v>11</v>
      </c>
      <c r="E173" s="3" t="s">
        <v>67</v>
      </c>
      <c r="F173" s="3" t="s">
        <v>32</v>
      </c>
    </row>
    <row r="174" spans="1:12">
      <c r="A174" s="4" t="s">
        <v>16</v>
      </c>
      <c r="B174" s="5" t="s">
        <v>17</v>
      </c>
      <c r="C174" s="6">
        <f>IF(SUM(G175:G184)=0,0,SUM(C175:C184)/SUM(G175:G184))</f>
        <v/>
      </c>
      <c r="D174" s="6">
        <f>IF(SUM(G175:G184)=0,0,SUM(D175:D184)/SUM(G175:G184))</f>
        <v/>
      </c>
      <c r="E174" s="6">
        <f>IF(SUM(G175:G184)=0,0,SUM(E175:E184)/SUM(G175:G184))</f>
        <v/>
      </c>
      <c r="F174" s="6">
        <f>IF(SUM(G175:G184)=0,0,SUM(F175:F184)/SUM(G175:G184))</f>
        <v/>
      </c>
    </row>
    <row r="175" spans="1:12">
      <c r="A175" s="4" t="s">
        <v>36</v>
      </c>
      <c r="B175" s="7">
        <v>1</v>
      </c>
      <c r="C175" s="6">
        <f>IF(G175=1,1.0,0)</f>
        <v/>
      </c>
      <c r="D175" s="5" t="s">
        <v>17</v>
      </c>
      <c r="E175" s="5" t="s">
        <v>17</v>
      </c>
      <c r="F175" s="5" t="s">
        <v>17</v>
      </c>
      <c r="G175" s="8">
        <f>IF(OR(LOOKUP(A175,characters!A:A,characters!B:B)=-1, LOOKUP(A175,characters!A:A,characters!B:B)+0.1&gt;=B175),1,0)</f>
        <v/>
      </c>
    </row>
    <row r="176" spans="1:12">
      <c r="A176" s="4" t="s">
        <v>51</v>
      </c>
      <c r="B176" s="7">
        <v>0</v>
      </c>
      <c r="C176" s="5" t="s">
        <v>17</v>
      </c>
      <c r="D176" s="6">
        <f>IF(G176=1,1.0,0)</f>
        <v/>
      </c>
      <c r="E176" s="5" t="s">
        <v>17</v>
      </c>
      <c r="F176" s="5" t="s">
        <v>17</v>
      </c>
      <c r="G176" s="8">
        <f>IF(OR(LOOKUP(A176,characters!A:A,characters!B:B)=-1, LOOKUP(A176,characters!A:A,characters!B:B)+0.1&gt;=B176),1,0)</f>
        <v/>
      </c>
    </row>
    <row r="177" spans="1:13">
      <c r="A177" s="4" t="s">
        <v>55</v>
      </c>
      <c r="B177" s="7">
        <v>0</v>
      </c>
      <c r="C177" s="5" t="s">
        <v>17</v>
      </c>
      <c r="D177" s="6">
        <f>IF(G177=1,1.0,0)</f>
        <v/>
      </c>
      <c r="E177" s="5" t="s">
        <v>17</v>
      </c>
      <c r="F177" s="5" t="s">
        <v>17</v>
      </c>
      <c r="G177" s="8">
        <f>IF(OR(LOOKUP(A177,characters!A:A,characters!B:B)=-1, LOOKUP(A177,characters!A:A,characters!B:B)+0.1&gt;=B177),1,0)</f>
        <v/>
      </c>
    </row>
    <row r="178" spans="1:13">
      <c r="A178" s="4" t="s">
        <v>56</v>
      </c>
      <c r="B178" s="7">
        <v>0</v>
      </c>
      <c r="C178" s="5" t="s">
        <v>17</v>
      </c>
      <c r="D178" s="6">
        <f>IF(G178=1,1.0,0)</f>
        <v/>
      </c>
      <c r="E178" s="5" t="s">
        <v>17</v>
      </c>
      <c r="F178" s="5" t="s">
        <v>17</v>
      </c>
      <c r="G178" s="8">
        <f>IF(OR(LOOKUP(A178,characters!A:A,characters!B:B)=-1, LOOKUP(A178,characters!A:A,characters!B:B)+0.1&gt;=B178),1,0)</f>
        <v/>
      </c>
    </row>
    <row r="179" spans="1:13">
      <c r="A179" s="4" t="s">
        <v>59</v>
      </c>
      <c r="B179" s="7">
        <v>1</v>
      </c>
      <c r="C179" s="5" t="s">
        <v>17</v>
      </c>
      <c r="D179" s="6">
        <f>IF(G179=1,1.0,0)</f>
        <v/>
      </c>
      <c r="E179" s="5" t="s">
        <v>17</v>
      </c>
      <c r="F179" s="5" t="s">
        <v>17</v>
      </c>
      <c r="G179" s="8">
        <f>IF(OR(LOOKUP(A179,characters!A:A,characters!B:B)=-1, LOOKUP(A179,characters!A:A,characters!B:B)+0.1&gt;=B179),1,0)</f>
        <v/>
      </c>
    </row>
    <row r="180" spans="1:13">
      <c r="A180" s="4" t="s">
        <v>60</v>
      </c>
      <c r="B180" s="7">
        <v>1</v>
      </c>
      <c r="C180" s="5" t="s">
        <v>17</v>
      </c>
      <c r="D180" s="6">
        <f>IF(G180=1,1.0,0)</f>
        <v/>
      </c>
      <c r="E180" s="5" t="s">
        <v>17</v>
      </c>
      <c r="F180" s="5" t="s">
        <v>17</v>
      </c>
      <c r="G180" s="8">
        <f>IF(OR(LOOKUP(A180,characters!A:A,characters!B:B)=-1, LOOKUP(A180,characters!A:A,characters!B:B)+0.1&gt;=B180),1,0)</f>
        <v/>
      </c>
    </row>
    <row r="181" spans="1:13">
      <c r="A181" s="4" t="s">
        <v>62</v>
      </c>
      <c r="B181" s="7">
        <v>2</v>
      </c>
      <c r="C181" s="5" t="s">
        <v>17</v>
      </c>
      <c r="D181" s="6">
        <f>IF(G181=1,1.0,0)</f>
        <v/>
      </c>
      <c r="E181" s="5" t="s">
        <v>17</v>
      </c>
      <c r="F181" s="5" t="s">
        <v>17</v>
      </c>
      <c r="G181" s="8">
        <f>IF(OR(LOOKUP(A181,characters!A:A,characters!B:B)=-1, LOOKUP(A181,characters!A:A,characters!B:B)+0.1&gt;=B181),1,0)</f>
        <v/>
      </c>
    </row>
    <row r="182" spans="1:13">
      <c r="A182" s="4" t="s">
        <v>57</v>
      </c>
      <c r="B182" s="7">
        <v>0</v>
      </c>
      <c r="C182" s="5" t="s">
        <v>17</v>
      </c>
      <c r="D182" s="5" t="s">
        <v>17</v>
      </c>
      <c r="E182" s="6">
        <f>IF(G182=1,1.0,0)</f>
        <v/>
      </c>
      <c r="F182" s="5" t="s">
        <v>17</v>
      </c>
      <c r="G182" s="8">
        <f>IF(OR(LOOKUP(A182,characters!A:A,characters!B:B)=-1, LOOKUP(A182,characters!A:A,characters!B:B)+0.1&gt;=B182),1,0)</f>
        <v/>
      </c>
    </row>
    <row r="183" spans="1:13">
      <c r="A183" s="4" t="s">
        <v>58</v>
      </c>
      <c r="B183" s="7">
        <v>0</v>
      </c>
      <c r="C183" s="5" t="s">
        <v>17</v>
      </c>
      <c r="D183" s="6">
        <f>IF(G183=1,1.0,0)</f>
        <v/>
      </c>
      <c r="E183" s="5" t="s">
        <v>17</v>
      </c>
      <c r="F183" s="5" t="s">
        <v>17</v>
      </c>
      <c r="G183" s="8">
        <f>IF(OR(LOOKUP(A183,characters!A:A,characters!B:B)=-1, LOOKUP(A183,characters!A:A,characters!B:B)+0.1&gt;=B183),1,0)</f>
        <v/>
      </c>
    </row>
    <row r="184" spans="1:13">
      <c r="A184" s="4" t="s">
        <v>61</v>
      </c>
      <c r="B184" s="7">
        <v>1</v>
      </c>
      <c r="C184" s="5" t="s">
        <v>17</v>
      </c>
      <c r="D184" s="6">
        <f>IF(G184=1,1.0,0)</f>
        <v/>
      </c>
      <c r="E184" s="5" t="s">
        <v>17</v>
      </c>
      <c r="F184" s="6">
        <f>IF(G184=1,0.9,0)</f>
        <v/>
      </c>
      <c r="G184" s="8">
        <f>IF(OR(LOOKUP(A184,characters!A:A,characters!B:B)=-1, LOOKUP(A184,characters!A:A,characters!B:B)+0.1&gt;=B184),1,0)</f>
        <v/>
      </c>
    </row>
    <row r="191" spans="1:13">
      <c r="A191" s="3" t="s">
        <v>68</v>
      </c>
    </row>
    <row r="192" spans="1:13">
      <c r="A192" s="3" t="s">
        <v>8</v>
      </c>
      <c r="B192" s="3" t="s">
        <v>9</v>
      </c>
      <c r="C192" s="3" t="s">
        <v>10</v>
      </c>
      <c r="D192" s="3" t="s">
        <v>28</v>
      </c>
      <c r="E192" s="3" t="s">
        <v>15</v>
      </c>
      <c r="F192" s="3" t="s">
        <v>34</v>
      </c>
      <c r="G192" s="3" t="s">
        <v>35</v>
      </c>
      <c r="H192" s="3" t="s">
        <v>14</v>
      </c>
      <c r="I192" s="3" t="s">
        <v>11</v>
      </c>
      <c r="J192" s="3" t="s">
        <v>13</v>
      </c>
      <c r="K192" s="3" t="s">
        <v>26</v>
      </c>
      <c r="L192" s="3" t="s">
        <v>27</v>
      </c>
      <c r="M192" s="3" t="s">
        <v>12</v>
      </c>
    </row>
    <row r="193" spans="1:14">
      <c r="A193" s="4" t="s">
        <v>16</v>
      </c>
      <c r="B193" s="5" t="s">
        <v>17</v>
      </c>
      <c r="C193" s="6">
        <f>IF(SUM(N194:N211)=0,0,SUM(C194:C211)/SUM(N194:N211))</f>
        <v/>
      </c>
      <c r="D193" s="6">
        <f>IF(SUM(N194:N211)=0,0,SUM(D194:D211)/SUM(N194:N211))</f>
        <v/>
      </c>
      <c r="E193" s="6">
        <f>IF(SUM(N194:N211)=0,0,SUM(E194:E211)/SUM(N194:N211))</f>
        <v/>
      </c>
      <c r="F193" s="6">
        <f>IF(SUM(N194:N211)=0,0,SUM(F194:F211)/SUM(N194:N211))</f>
        <v/>
      </c>
      <c r="G193" s="6">
        <f>IF(SUM(N194:N211)=0,0,SUM(G194:G211)/SUM(N194:N211))</f>
        <v/>
      </c>
      <c r="H193" s="6">
        <f>IF(SUM(N194:N211)=0,0,SUM(H194:H211)/SUM(N194:N211))</f>
        <v/>
      </c>
      <c r="I193" s="6">
        <f>IF(SUM(N194:N211)=0,0,SUM(I194:I211)/SUM(N194:N211))</f>
        <v/>
      </c>
      <c r="J193" s="6">
        <f>IF(SUM(N194:N211)=0,0,SUM(J194:J211)/SUM(N194:N211))</f>
        <v/>
      </c>
      <c r="K193" s="6">
        <f>IF(SUM(N194:N211)=0,0,SUM(K194:K211)/SUM(N194:N211))</f>
        <v/>
      </c>
      <c r="L193" s="6">
        <f>IF(SUM(N194:N211)=0,0,SUM(L194:L211)/SUM(N194:N211))</f>
        <v/>
      </c>
      <c r="M193" s="6">
        <f>IF(SUM(N194:N211)=0,0,SUM(M194:M211)/SUM(N194:N211))</f>
        <v/>
      </c>
    </row>
    <row r="194" spans="1:14">
      <c r="A194" s="4" t="s">
        <v>69</v>
      </c>
      <c r="B194" s="7">
        <v>0</v>
      </c>
      <c r="C194" s="6">
        <f>IF(N194=1,1.0,0)</f>
        <v/>
      </c>
      <c r="D194" s="6">
        <f>IF(N194=1,0.8,0)</f>
        <v/>
      </c>
      <c r="E194" s="5" t="s">
        <v>17</v>
      </c>
      <c r="F194" s="6">
        <f>IF(N194=1,0.9,0)</f>
        <v/>
      </c>
      <c r="G194" s="6">
        <f>IF(N194=1,0.9,0)</f>
        <v/>
      </c>
      <c r="H194" s="5" t="s">
        <v>17</v>
      </c>
      <c r="I194" s="5" t="s">
        <v>17</v>
      </c>
      <c r="J194" s="5" t="s">
        <v>17</v>
      </c>
      <c r="K194" s="5" t="s">
        <v>17</v>
      </c>
      <c r="L194" s="5" t="s">
        <v>17</v>
      </c>
      <c r="M194" s="5" t="s">
        <v>17</v>
      </c>
      <c r="N194" s="8">
        <f>IF(OR(LOOKUP(A194,characters!A:A,characters!B:B)=-1, LOOKUP(A194,characters!A:A,characters!B:B)+0.1&gt;=B194),1,0)</f>
        <v/>
      </c>
    </row>
    <row r="195" spans="1:14">
      <c r="A195" s="4" t="s">
        <v>39</v>
      </c>
      <c r="B195" s="7">
        <v>0</v>
      </c>
      <c r="C195" s="6">
        <f>IF(N195=1,1.0,0)</f>
        <v/>
      </c>
      <c r="D195" s="6">
        <f>IF(N195=1,0.8,0)</f>
        <v/>
      </c>
      <c r="E195" s="6">
        <f>IF(N195=1,0.8,0)</f>
        <v/>
      </c>
      <c r="F195" s="6">
        <f>IF(N195=1,0.9,0)</f>
        <v/>
      </c>
      <c r="G195" s="6">
        <f>IF(N195=1,0.9,0)</f>
        <v/>
      </c>
      <c r="H195" s="5" t="s">
        <v>17</v>
      </c>
      <c r="I195" s="5" t="s">
        <v>17</v>
      </c>
      <c r="J195" s="5" t="s">
        <v>17</v>
      </c>
      <c r="K195" s="5" t="s">
        <v>17</v>
      </c>
      <c r="L195" s="5" t="s">
        <v>17</v>
      </c>
      <c r="M195" s="5" t="s">
        <v>17</v>
      </c>
      <c r="N195" s="8">
        <f>IF(OR(LOOKUP(A195,characters!A:A,characters!B:B)=-1, LOOKUP(A195,characters!A:A,characters!B:B)+0.1&gt;=B195),1,0)</f>
        <v/>
      </c>
    </row>
    <row r="196" spans="1:14">
      <c r="A196" s="4" t="s">
        <v>70</v>
      </c>
      <c r="B196" s="7">
        <v>0</v>
      </c>
      <c r="C196" s="6">
        <f>IF(N196=1,0.9,0)</f>
        <v/>
      </c>
      <c r="D196" s="5" t="s">
        <v>17</v>
      </c>
      <c r="E196" s="5" t="s">
        <v>17</v>
      </c>
      <c r="F196" s="5" t="s">
        <v>17</v>
      </c>
      <c r="G196" s="5" t="s">
        <v>17</v>
      </c>
      <c r="H196" s="6">
        <f>IF(N196=1,1.0,0)</f>
        <v/>
      </c>
      <c r="I196" s="6">
        <f>IF(N196=1,0.8,0)</f>
        <v/>
      </c>
      <c r="J196" s="5" t="s">
        <v>17</v>
      </c>
      <c r="K196" s="5" t="s">
        <v>17</v>
      </c>
      <c r="L196" s="5" t="s">
        <v>17</v>
      </c>
      <c r="M196" s="5" t="s">
        <v>17</v>
      </c>
      <c r="N196" s="8">
        <f>IF(OR(LOOKUP(A196,characters!A:A,characters!B:B)=-1, LOOKUP(A196,characters!A:A,characters!B:B)+0.1&gt;=B196),1,0)</f>
        <v/>
      </c>
    </row>
    <row r="197" spans="1:14">
      <c r="A197" s="4" t="s">
        <v>40</v>
      </c>
      <c r="B197" s="7">
        <v>0</v>
      </c>
      <c r="C197" s="6">
        <f>IF(N197=1,1.0,0)</f>
        <v/>
      </c>
      <c r="D197" s="6">
        <f>IF(N197=1,0.8,0)</f>
        <v/>
      </c>
      <c r="E197" s="5" t="s">
        <v>17</v>
      </c>
      <c r="F197" s="6">
        <f>IF(N197=1,0.9,0)</f>
        <v/>
      </c>
      <c r="G197" s="6">
        <f>IF(N197=1,0.9,0)</f>
        <v/>
      </c>
      <c r="H197" s="6">
        <f>IF(N197=1,1.0,0)</f>
        <v/>
      </c>
      <c r="I197" s="5" t="s">
        <v>17</v>
      </c>
      <c r="J197" s="5" t="s">
        <v>17</v>
      </c>
      <c r="K197" s="5" t="s">
        <v>17</v>
      </c>
      <c r="L197" s="5" t="s">
        <v>17</v>
      </c>
      <c r="M197" s="5" t="s">
        <v>17</v>
      </c>
      <c r="N197" s="8">
        <f>IF(OR(LOOKUP(A197,characters!A:A,characters!B:B)=-1, LOOKUP(A197,characters!A:A,characters!B:B)+0.1&gt;=B197),1,0)</f>
        <v/>
      </c>
    </row>
    <row r="198" spans="1:14">
      <c r="A198" s="4" t="s">
        <v>42</v>
      </c>
      <c r="B198" s="7">
        <v>0</v>
      </c>
      <c r="C198" s="6">
        <f>IF(N198=1,1.0,0)</f>
        <v/>
      </c>
      <c r="D198" s="6">
        <f>IF(N198=1,0.8,0)</f>
        <v/>
      </c>
      <c r="E198" s="5" t="s">
        <v>17</v>
      </c>
      <c r="F198" s="6">
        <f>IF(N198=1,0.8,0)</f>
        <v/>
      </c>
      <c r="G198" s="6">
        <f>IF(N198=1,0.8,0)</f>
        <v/>
      </c>
      <c r="H198" s="5" t="s">
        <v>17</v>
      </c>
      <c r="I198" s="5" t="s">
        <v>17</v>
      </c>
      <c r="J198" s="6">
        <f>IF(N198=1,0.9,0)</f>
        <v/>
      </c>
      <c r="K198" s="5" t="s">
        <v>17</v>
      </c>
      <c r="L198" s="5" t="s">
        <v>17</v>
      </c>
      <c r="M198" s="5" t="s">
        <v>17</v>
      </c>
      <c r="N198" s="8">
        <f>IF(OR(LOOKUP(A198,characters!A:A,characters!B:B)=-1, LOOKUP(A198,characters!A:A,characters!B:B)+0.1&gt;=B198),1,0)</f>
        <v/>
      </c>
    </row>
    <row r="199" spans="1:14">
      <c r="A199" s="4" t="s">
        <v>71</v>
      </c>
      <c r="B199" s="7">
        <v>0</v>
      </c>
      <c r="C199" s="6">
        <f>IF(N199=1,1.0,0)</f>
        <v/>
      </c>
      <c r="D199" s="6">
        <f>IF(N199=1,0.8,0)</f>
        <v/>
      </c>
      <c r="E199" s="5" t="s">
        <v>17</v>
      </c>
      <c r="F199" s="5" t="s">
        <v>17</v>
      </c>
      <c r="G199" s="5" t="s">
        <v>17</v>
      </c>
      <c r="H199" s="5" t="s">
        <v>17</v>
      </c>
      <c r="I199" s="5" t="s">
        <v>17</v>
      </c>
      <c r="J199" s="6">
        <f>IF(N199=1,0.9,0)</f>
        <v/>
      </c>
      <c r="K199" s="6">
        <f>IF(N199=1,0.7,0)</f>
        <v/>
      </c>
      <c r="L199" s="6">
        <f>IF(N199=1,0.7,0)</f>
        <v/>
      </c>
      <c r="M199" s="5" t="s">
        <v>17</v>
      </c>
      <c r="N199" s="8">
        <f>IF(OR(LOOKUP(A199,characters!A:A,characters!B:B)=-1, LOOKUP(A199,characters!A:A,characters!B:B)+0.1&gt;=B199),1,0)</f>
        <v/>
      </c>
    </row>
    <row r="200" spans="1:14">
      <c r="A200" s="4" t="s">
        <v>72</v>
      </c>
      <c r="B200" s="7">
        <v>0</v>
      </c>
      <c r="C200" s="6">
        <f>IF(N200=1,1.0,0)</f>
        <v/>
      </c>
      <c r="D200" s="6">
        <f>IF(N200=1,0.8,0)</f>
        <v/>
      </c>
      <c r="E200" s="5" t="s">
        <v>17</v>
      </c>
      <c r="F200" s="6">
        <f>IF(N200=1,0.9,0)</f>
        <v/>
      </c>
      <c r="G200" s="6">
        <f>IF(N200=1,0.9,0)</f>
        <v/>
      </c>
      <c r="H200" s="5" t="s">
        <v>17</v>
      </c>
      <c r="I200" s="6">
        <f>IF(N200=1,1.0,0)</f>
        <v/>
      </c>
      <c r="J200" s="5" t="s">
        <v>17</v>
      </c>
      <c r="K200" s="5" t="s">
        <v>17</v>
      </c>
      <c r="L200" s="5" t="s">
        <v>17</v>
      </c>
      <c r="M200" s="5" t="s">
        <v>17</v>
      </c>
      <c r="N200" s="8">
        <f>IF(OR(LOOKUP(A200,characters!A:A,characters!B:B)=-1, LOOKUP(A200,characters!A:A,characters!B:B)+0.1&gt;=B200),1,0)</f>
        <v/>
      </c>
    </row>
    <row r="201" spans="1:14">
      <c r="A201" s="4" t="s">
        <v>73</v>
      </c>
      <c r="B201" s="7">
        <v>0</v>
      </c>
      <c r="C201" s="6">
        <f>IF(N201=1,0.8,0)</f>
        <v/>
      </c>
      <c r="D201" s="5" t="s">
        <v>17</v>
      </c>
      <c r="E201" s="6">
        <f>IF(N201=1,0.9,0)</f>
        <v/>
      </c>
      <c r="F201" s="5" t="s">
        <v>17</v>
      </c>
      <c r="G201" s="5" t="s">
        <v>17</v>
      </c>
      <c r="H201" s="6">
        <f>IF(N201=1,1.0,0)</f>
        <v/>
      </c>
      <c r="I201" s="5" t="s">
        <v>17</v>
      </c>
      <c r="J201" s="5" t="s">
        <v>17</v>
      </c>
      <c r="K201" s="6">
        <f>IF(N201=1,0.7,0)</f>
        <v/>
      </c>
      <c r="L201" s="6">
        <f>IF(N201=1,0.7,0)</f>
        <v/>
      </c>
      <c r="M201" s="5" t="s">
        <v>17</v>
      </c>
      <c r="N201" s="8">
        <f>IF(OR(LOOKUP(A201,characters!A:A,characters!B:B)=-1, LOOKUP(A201,characters!A:A,characters!B:B)+0.1&gt;=B201),1,0)</f>
        <v/>
      </c>
    </row>
    <row r="202" spans="1:14">
      <c r="A202" s="4" t="s">
        <v>74</v>
      </c>
      <c r="B202" s="7">
        <v>0</v>
      </c>
      <c r="C202" s="6">
        <f>IF(N202=1,1.0,0)</f>
        <v/>
      </c>
      <c r="D202" s="5" t="s">
        <v>17</v>
      </c>
      <c r="E202" s="6">
        <f>IF(N202=1,1.0,0)</f>
        <v/>
      </c>
      <c r="F202" s="5" t="s">
        <v>17</v>
      </c>
      <c r="G202" s="5" t="s">
        <v>17</v>
      </c>
      <c r="H202" s="5" t="s">
        <v>17</v>
      </c>
      <c r="I202" s="5" t="s">
        <v>17</v>
      </c>
      <c r="J202" s="5" t="s">
        <v>17</v>
      </c>
      <c r="K202" s="6">
        <f>IF(N202=1,0.9,0)</f>
        <v/>
      </c>
      <c r="L202" s="6">
        <f>IF(N202=1,0.9,0)</f>
        <v/>
      </c>
      <c r="M202" s="5" t="s">
        <v>17</v>
      </c>
      <c r="N202" s="8">
        <f>IF(OR(LOOKUP(A202,characters!A:A,characters!B:B)=-1, LOOKUP(A202,characters!A:A,characters!B:B)+0.1&gt;=B202),1,0)</f>
        <v/>
      </c>
    </row>
    <row r="203" spans="1:14">
      <c r="A203" s="4" t="s">
        <v>43</v>
      </c>
      <c r="B203" s="7">
        <v>0</v>
      </c>
      <c r="C203" s="6">
        <f>IF(N203=1,1.0,0)</f>
        <v/>
      </c>
      <c r="D203" s="6">
        <f>IF(N203=1,0.8,0)</f>
        <v/>
      </c>
      <c r="E203" s="5" t="s">
        <v>17</v>
      </c>
      <c r="F203" s="5" t="s">
        <v>17</v>
      </c>
      <c r="G203" s="5" t="s">
        <v>17</v>
      </c>
      <c r="H203" s="5" t="s">
        <v>17</v>
      </c>
      <c r="I203" s="5" t="s">
        <v>17</v>
      </c>
      <c r="J203" s="6">
        <f>IF(N203=1,0.9,0)</f>
        <v/>
      </c>
      <c r="K203" s="5" t="s">
        <v>17</v>
      </c>
      <c r="L203" s="5" t="s">
        <v>17</v>
      </c>
      <c r="M203" s="5" t="s">
        <v>17</v>
      </c>
      <c r="N203" s="8">
        <f>IF(OR(LOOKUP(A203,characters!A:A,characters!B:B)=-1, LOOKUP(A203,characters!A:A,characters!B:B)+0.1&gt;=B203),1,0)</f>
        <v/>
      </c>
    </row>
    <row r="204" spans="1:14">
      <c r="A204" s="4" t="s">
        <v>37</v>
      </c>
      <c r="B204" s="7">
        <v>1</v>
      </c>
      <c r="C204" s="6">
        <f>IF(N204=1,1.0,0)</f>
        <v/>
      </c>
      <c r="D204" s="6">
        <f>IF(N204=1,0.7,0)</f>
        <v/>
      </c>
      <c r="E204" s="5" t="s">
        <v>17</v>
      </c>
      <c r="F204" s="6">
        <f>IF(N204=1,0.8,0)</f>
        <v/>
      </c>
      <c r="G204" s="6">
        <f>IF(N204=1,0.8,0)</f>
        <v/>
      </c>
      <c r="H204" s="5" t="s">
        <v>17</v>
      </c>
      <c r="I204" s="5" t="s">
        <v>17</v>
      </c>
      <c r="J204" s="6">
        <f>IF(N204=1,0.9,0)</f>
        <v/>
      </c>
      <c r="K204" s="5" t="s">
        <v>17</v>
      </c>
      <c r="L204" s="5" t="s">
        <v>17</v>
      </c>
      <c r="M204" s="5" t="s">
        <v>17</v>
      </c>
      <c r="N204" s="8">
        <f>IF(OR(LOOKUP(A204,characters!A:A,characters!B:B)=-1, LOOKUP(A204,characters!A:A,characters!B:B)+0.1&gt;=B204),1,0)</f>
        <v/>
      </c>
    </row>
    <row r="205" spans="1:14">
      <c r="A205" s="4" t="s">
        <v>75</v>
      </c>
      <c r="B205" s="7">
        <v>1</v>
      </c>
      <c r="C205" s="6">
        <f>IF(N205=1,1.0,0)</f>
        <v/>
      </c>
      <c r="D205" s="5" t="s">
        <v>17</v>
      </c>
      <c r="E205" s="6">
        <f>IF(N205=1,0.8,0)</f>
        <v/>
      </c>
      <c r="F205" s="5" t="s">
        <v>17</v>
      </c>
      <c r="G205" s="5" t="s">
        <v>17</v>
      </c>
      <c r="H205" s="6">
        <f>IF(N205=1,1.0,0)</f>
        <v/>
      </c>
      <c r="I205" s="6">
        <f>IF(N205=1,0.9,0)</f>
        <v/>
      </c>
      <c r="J205" s="5" t="s">
        <v>17</v>
      </c>
      <c r="K205" s="5" t="s">
        <v>17</v>
      </c>
      <c r="L205" s="5" t="s">
        <v>17</v>
      </c>
      <c r="M205" s="5" t="s">
        <v>17</v>
      </c>
      <c r="N205" s="8">
        <f>IF(OR(LOOKUP(A205,characters!A:A,characters!B:B)=-1, LOOKUP(A205,characters!A:A,characters!B:B)+0.1&gt;=B205),1,0)</f>
        <v/>
      </c>
    </row>
    <row r="206" spans="1:14">
      <c r="A206" s="4" t="s">
        <v>41</v>
      </c>
      <c r="B206" s="7">
        <v>1</v>
      </c>
      <c r="C206" s="6">
        <f>IF(N206=1,1.0,0)</f>
        <v/>
      </c>
      <c r="D206" s="6">
        <f>IF(N206=1,0.8,0)</f>
        <v/>
      </c>
      <c r="E206" s="6">
        <f>IF(N206=1,0.9,0)</f>
        <v/>
      </c>
      <c r="F206" s="6">
        <f>IF(N206=1,0.9,0)</f>
        <v/>
      </c>
      <c r="G206" s="6">
        <f>IF(N206=1,0.9,0)</f>
        <v/>
      </c>
      <c r="H206" s="6">
        <f>IF(N206=1,1.0,0)</f>
        <v/>
      </c>
      <c r="I206" s="5" t="s">
        <v>17</v>
      </c>
      <c r="J206" s="5" t="s">
        <v>17</v>
      </c>
      <c r="K206" s="5" t="s">
        <v>17</v>
      </c>
      <c r="L206" s="5" t="s">
        <v>17</v>
      </c>
      <c r="M206" s="5" t="s">
        <v>17</v>
      </c>
      <c r="N206" s="8">
        <f>IF(OR(LOOKUP(A206,characters!A:A,characters!B:B)=-1, LOOKUP(A206,characters!A:A,characters!B:B)+0.1&gt;=B206),1,0)</f>
        <v/>
      </c>
    </row>
    <row r="207" spans="1:14">
      <c r="A207" s="4" t="s">
        <v>50</v>
      </c>
      <c r="B207" s="7">
        <v>2</v>
      </c>
      <c r="C207" s="6">
        <f>IF(N207=1,1.0,0)</f>
        <v/>
      </c>
      <c r="D207" s="5" t="s">
        <v>17</v>
      </c>
      <c r="E207" s="5" t="s">
        <v>17</v>
      </c>
      <c r="F207" s="5" t="s">
        <v>17</v>
      </c>
      <c r="G207" s="5" t="s">
        <v>17</v>
      </c>
      <c r="H207" s="5" t="s">
        <v>17</v>
      </c>
      <c r="I207" s="6">
        <f>IF(N207=1,0.8,0)</f>
        <v/>
      </c>
      <c r="J207" s="6">
        <f>IF(N207=1,0.9,0)</f>
        <v/>
      </c>
      <c r="K207" s="5" t="s">
        <v>17</v>
      </c>
      <c r="L207" s="5" t="s">
        <v>17</v>
      </c>
      <c r="M207" s="6">
        <f>IF(N207=1,0.9,0)</f>
        <v/>
      </c>
      <c r="N207" s="8">
        <f>IF(OR(LOOKUP(A207,characters!A:A,characters!B:B)=-1, LOOKUP(A207,characters!A:A,characters!B:B)+0.1&gt;=B207),1,0)</f>
        <v/>
      </c>
    </row>
    <row r="208" spans="1:14">
      <c r="A208" s="4" t="s">
        <v>76</v>
      </c>
      <c r="B208" s="7">
        <v>2</v>
      </c>
      <c r="C208" s="6">
        <f>IF(N208=1,0.9,0)</f>
        <v/>
      </c>
      <c r="D208" s="5" t="s">
        <v>17</v>
      </c>
      <c r="E208" s="6">
        <f>IF(N208=1,0.7,0)</f>
        <v/>
      </c>
      <c r="F208" s="5" t="s">
        <v>17</v>
      </c>
      <c r="G208" s="5" t="s">
        <v>17</v>
      </c>
      <c r="H208" s="6">
        <f>IF(N208=1,1.0,0)</f>
        <v/>
      </c>
      <c r="I208" s="6">
        <f>IF(N208=1,0.8,0)</f>
        <v/>
      </c>
      <c r="J208" s="5" t="s">
        <v>17</v>
      </c>
      <c r="K208" s="5" t="s">
        <v>17</v>
      </c>
      <c r="L208" s="5" t="s">
        <v>17</v>
      </c>
      <c r="M208" s="5" t="s">
        <v>17</v>
      </c>
      <c r="N208" s="8">
        <f>IF(OR(LOOKUP(A208,characters!A:A,characters!B:B)=-1, LOOKUP(A208,characters!A:A,characters!B:B)+0.1&gt;=B208),1,0)</f>
        <v/>
      </c>
    </row>
    <row r="209" spans="1:14">
      <c r="A209" s="4" t="s">
        <v>77</v>
      </c>
      <c r="B209" s="7">
        <v>3</v>
      </c>
      <c r="C209" s="6">
        <f>IF(N209=1,1.0,0)</f>
        <v/>
      </c>
      <c r="D209" s="5" t="s">
        <v>17</v>
      </c>
      <c r="E209" s="6">
        <f>IF(N209=1,0.99,0)</f>
        <v/>
      </c>
      <c r="F209" s="5" t="s">
        <v>17</v>
      </c>
      <c r="G209" s="5" t="s">
        <v>17</v>
      </c>
      <c r="H209" s="5" t="s">
        <v>17</v>
      </c>
      <c r="I209" s="5" t="s">
        <v>17</v>
      </c>
      <c r="J209" s="5" t="s">
        <v>17</v>
      </c>
      <c r="K209" s="5" t="s">
        <v>17</v>
      </c>
      <c r="L209" s="5" t="s">
        <v>17</v>
      </c>
      <c r="M209" s="5" t="s">
        <v>17</v>
      </c>
      <c r="N209" s="8">
        <f>IF(OR(LOOKUP(A209,characters!A:A,characters!B:B)=-1, LOOKUP(A209,characters!A:A,characters!B:B)+0.1&gt;=B209),1,0)</f>
        <v/>
      </c>
    </row>
    <row r="210" spans="1:14">
      <c r="A210" s="4" t="s">
        <v>78</v>
      </c>
      <c r="B210" s="7">
        <v>3</v>
      </c>
      <c r="C210" s="6">
        <f>IF(N210=1,1.0,0)</f>
        <v/>
      </c>
      <c r="D210" s="5" t="s">
        <v>17</v>
      </c>
      <c r="E210" s="6">
        <f>IF(N210=1,0.9,0)</f>
        <v/>
      </c>
      <c r="F210" s="5" t="s">
        <v>17</v>
      </c>
      <c r="G210" s="5" t="s">
        <v>17</v>
      </c>
      <c r="H210" s="5" t="s">
        <v>17</v>
      </c>
      <c r="I210" s="6">
        <f>IF(N210=1,0.8,0)</f>
        <v/>
      </c>
      <c r="J210" s="5" t="s">
        <v>17</v>
      </c>
      <c r="K210" s="5" t="s">
        <v>17</v>
      </c>
      <c r="L210" s="5" t="s">
        <v>17</v>
      </c>
      <c r="M210" s="5" t="s">
        <v>17</v>
      </c>
      <c r="N210" s="8">
        <f>IF(OR(LOOKUP(A210,characters!A:A,characters!B:B)=-1, LOOKUP(A210,characters!A:A,characters!B:B)+0.1&gt;=B210),1,0)</f>
        <v/>
      </c>
    </row>
    <row r="211" spans="1:14">
      <c r="A211" s="4" t="s">
        <v>21</v>
      </c>
      <c r="B211" s="7">
        <v>4</v>
      </c>
      <c r="C211" s="6">
        <f>IF(N211=1,1.0,0)</f>
        <v/>
      </c>
      <c r="D211" s="5" t="s">
        <v>17</v>
      </c>
      <c r="E211" s="5" t="s">
        <v>17</v>
      </c>
      <c r="F211" s="5" t="s">
        <v>17</v>
      </c>
      <c r="G211" s="5" t="s">
        <v>17</v>
      </c>
      <c r="H211" s="5" t="s">
        <v>17</v>
      </c>
      <c r="I211" s="6">
        <f>IF(N211=1,0.8,0)</f>
        <v/>
      </c>
      <c r="J211" s="6">
        <f>IF(N211=1,0.9,0)</f>
        <v/>
      </c>
      <c r="K211" s="5" t="s">
        <v>17</v>
      </c>
      <c r="L211" s="5" t="s">
        <v>17</v>
      </c>
      <c r="M211" s="6">
        <f>IF(N211=1,0.9,0)</f>
        <v/>
      </c>
      <c r="N211" s="8">
        <f>IF(OR(LOOKUP(A211,characters!A:A,characters!B:B)=-1, LOOKUP(A211,characters!A:A,characters!B:B)+0.1&gt;=B211),1,0)</f>
        <v/>
      </c>
    </row>
    <row r="213" spans="1:14">
      <c r="A213" s="3" t="s">
        <v>23</v>
      </c>
      <c r="B213" s="3" t="s">
        <v>9</v>
      </c>
      <c r="C213" s="3" t="s">
        <v>12</v>
      </c>
      <c r="D213" s="3" t="s">
        <v>13</v>
      </c>
      <c r="E213" s="3" t="s">
        <v>27</v>
      </c>
      <c r="F213" s="3" t="s">
        <v>26</v>
      </c>
      <c r="G213" s="3" t="s">
        <v>14</v>
      </c>
      <c r="H213" s="3" t="s">
        <v>11</v>
      </c>
    </row>
    <row r="214" spans="1:14">
      <c r="A214" s="4" t="s">
        <v>16</v>
      </c>
      <c r="B214" s="5" t="s">
        <v>17</v>
      </c>
      <c r="C214" s="6">
        <f>IF(SUM(I215:I232)=0,0,SUM(C215:C232)/SUM(I215:I232))</f>
        <v/>
      </c>
      <c r="D214" s="6">
        <f>IF(SUM(I215:I232)=0,0,SUM(D215:D232)/SUM(I215:I232))</f>
        <v/>
      </c>
      <c r="E214" s="6">
        <f>IF(SUM(I215:I232)=0,0,SUM(E215:E232)/SUM(I215:I232))</f>
        <v/>
      </c>
      <c r="F214" s="6">
        <f>IF(SUM(I215:I232)=0,0,SUM(F215:F232)/SUM(I215:I232))</f>
        <v/>
      </c>
      <c r="G214" s="6">
        <f>IF(SUM(I215:I232)=0,0,SUM(G215:G232)/SUM(I215:I232))</f>
        <v/>
      </c>
      <c r="H214" s="6">
        <f>IF(SUM(I215:I232)=0,0,SUM(H215:H232)/SUM(I215:I232))</f>
        <v/>
      </c>
    </row>
    <row r="215" spans="1:14">
      <c r="A215" s="4" t="s">
        <v>50</v>
      </c>
      <c r="B215" s="7">
        <v>2</v>
      </c>
      <c r="C215" s="6">
        <f>IF(I215=1,1.0,0)</f>
        <v/>
      </c>
      <c r="D215" s="6">
        <f>IF(I215=1,0.99,0)</f>
        <v/>
      </c>
      <c r="E215" s="5" t="s">
        <v>17</v>
      </c>
      <c r="F215" s="5" t="s">
        <v>17</v>
      </c>
      <c r="G215" s="5" t="s">
        <v>17</v>
      </c>
      <c r="H215" s="5" t="s">
        <v>17</v>
      </c>
      <c r="I215" s="8">
        <f>IF(OR(LOOKUP(A215,characters!A:A,characters!B:B)=-1, LOOKUP(A215,characters!A:A,characters!B:B)+0.1&gt;=B215),1,0)</f>
        <v/>
      </c>
    </row>
    <row r="216" spans="1:14">
      <c r="A216" s="4" t="s">
        <v>69</v>
      </c>
      <c r="B216" s="7">
        <v>0</v>
      </c>
      <c r="C216" s="5" t="s">
        <v>17</v>
      </c>
      <c r="D216" s="5" t="s">
        <v>17</v>
      </c>
      <c r="E216" s="6">
        <f>IF(I216=1,1.0,0)</f>
        <v/>
      </c>
      <c r="F216" s="6">
        <f>IF(I216=1,0.9,0)</f>
        <v/>
      </c>
      <c r="G216" s="5" t="s">
        <v>17</v>
      </c>
      <c r="H216" s="5" t="s">
        <v>17</v>
      </c>
      <c r="I216" s="8">
        <f>IF(OR(LOOKUP(A216,characters!A:A,characters!B:B)=-1, LOOKUP(A216,characters!A:A,characters!B:B)+0.1&gt;=B216),1,0)</f>
        <v/>
      </c>
    </row>
    <row r="217" spans="1:14">
      <c r="A217" s="4" t="s">
        <v>76</v>
      </c>
      <c r="B217" s="7">
        <v>2</v>
      </c>
      <c r="C217" s="5" t="s">
        <v>17</v>
      </c>
      <c r="D217" s="5" t="s">
        <v>17</v>
      </c>
      <c r="E217" s="5" t="s">
        <v>17</v>
      </c>
      <c r="F217" s="5" t="s">
        <v>17</v>
      </c>
      <c r="G217" s="6">
        <f>IF(I217=1,1.0,0)</f>
        <v/>
      </c>
      <c r="H217" s="6">
        <f>IF(I217=1,0.9,0)</f>
        <v/>
      </c>
      <c r="I217" s="8">
        <f>IF(OR(LOOKUP(A217,characters!A:A,characters!B:B)=-1, LOOKUP(A217,characters!A:A,characters!B:B)+0.1&gt;=B217),1,0)</f>
        <v/>
      </c>
    </row>
    <row r="218" spans="1:14">
      <c r="A218" s="4" t="s">
        <v>77</v>
      </c>
      <c r="B218" s="7">
        <v>3</v>
      </c>
      <c r="C218" s="5" t="s">
        <v>17</v>
      </c>
      <c r="D218" s="5" t="s">
        <v>17</v>
      </c>
      <c r="E218" s="5" t="s">
        <v>17</v>
      </c>
      <c r="F218" s="5" t="s">
        <v>17</v>
      </c>
      <c r="G218" s="5" t="s">
        <v>17</v>
      </c>
      <c r="H218" s="5" t="s">
        <v>17</v>
      </c>
      <c r="I218" s="8">
        <f>IF(OR(LOOKUP(A218,characters!A:A,characters!B:B)=-1, LOOKUP(A218,characters!A:A,characters!B:B)+0.1&gt;=B218),1,0)</f>
        <v/>
      </c>
    </row>
    <row r="219" spans="1:14">
      <c r="A219" s="4" t="s">
        <v>37</v>
      </c>
      <c r="B219" s="7">
        <v>1</v>
      </c>
      <c r="C219" s="5" t="s">
        <v>17</v>
      </c>
      <c r="D219" s="6">
        <f>IF(I219=1,1.0,0)</f>
        <v/>
      </c>
      <c r="E219" s="5" t="s">
        <v>17</v>
      </c>
      <c r="F219" s="5" t="s">
        <v>17</v>
      </c>
      <c r="G219" s="5" t="s">
        <v>17</v>
      </c>
      <c r="H219" s="5" t="s">
        <v>17</v>
      </c>
      <c r="I219" s="8">
        <f>IF(OR(LOOKUP(A219,characters!A:A,characters!B:B)=-1, LOOKUP(A219,characters!A:A,characters!B:B)+0.1&gt;=B219),1,0)</f>
        <v/>
      </c>
    </row>
    <row r="220" spans="1:14">
      <c r="A220" s="4" t="s">
        <v>39</v>
      </c>
      <c r="B220" s="7">
        <v>0</v>
      </c>
      <c r="C220" s="5" t="s">
        <v>17</v>
      </c>
      <c r="D220" s="5" t="s">
        <v>17</v>
      </c>
      <c r="E220" s="6">
        <f>IF(I220=1,1.0,0)</f>
        <v/>
      </c>
      <c r="F220" s="6">
        <f>IF(I220=1,0.9,0)</f>
        <v/>
      </c>
      <c r="G220" s="5" t="s">
        <v>17</v>
      </c>
      <c r="H220" s="5" t="s">
        <v>17</v>
      </c>
      <c r="I220" s="8">
        <f>IF(OR(LOOKUP(A220,characters!A:A,characters!B:B)=-1, LOOKUP(A220,characters!A:A,characters!B:B)+0.1&gt;=B220),1,0)</f>
        <v/>
      </c>
    </row>
    <row r="221" spans="1:14">
      <c r="A221" s="4" t="s">
        <v>70</v>
      </c>
      <c r="B221" s="7">
        <v>0</v>
      </c>
      <c r="C221" s="5" t="s">
        <v>17</v>
      </c>
      <c r="D221" s="5" t="s">
        <v>17</v>
      </c>
      <c r="E221" s="5" t="s">
        <v>17</v>
      </c>
      <c r="F221" s="5" t="s">
        <v>17</v>
      </c>
      <c r="G221" s="6">
        <f>IF(I221=1,1.0,0)</f>
        <v/>
      </c>
      <c r="H221" s="5" t="s">
        <v>17</v>
      </c>
      <c r="I221" s="8">
        <f>IF(OR(LOOKUP(A221,characters!A:A,characters!B:B)=-1, LOOKUP(A221,characters!A:A,characters!B:B)+0.1&gt;=B221),1,0)</f>
        <v/>
      </c>
    </row>
    <row r="222" spans="1:14">
      <c r="A222" s="4" t="s">
        <v>40</v>
      </c>
      <c r="B222" s="7">
        <v>0</v>
      </c>
      <c r="C222" s="5" t="s">
        <v>17</v>
      </c>
      <c r="D222" s="5" t="s">
        <v>17</v>
      </c>
      <c r="E222" s="6">
        <f>IF(I222=1,0.9,0)</f>
        <v/>
      </c>
      <c r="F222" s="5" t="s">
        <v>17</v>
      </c>
      <c r="G222" s="6">
        <f>IF(I222=1,1.0,0)</f>
        <v/>
      </c>
      <c r="H222" s="5" t="s">
        <v>17</v>
      </c>
      <c r="I222" s="8">
        <f>IF(OR(LOOKUP(A222,characters!A:A,characters!B:B)=-1, LOOKUP(A222,characters!A:A,characters!B:B)+0.1&gt;=B222),1,0)</f>
        <v/>
      </c>
    </row>
    <row r="223" spans="1:14">
      <c r="A223" s="4" t="s">
        <v>78</v>
      </c>
      <c r="B223" s="7">
        <v>3</v>
      </c>
      <c r="C223" s="5" t="s">
        <v>17</v>
      </c>
      <c r="D223" s="5" t="s">
        <v>17</v>
      </c>
      <c r="E223" s="5" t="s">
        <v>17</v>
      </c>
      <c r="F223" s="5" t="s">
        <v>17</v>
      </c>
      <c r="G223" s="5" t="s">
        <v>17</v>
      </c>
      <c r="H223" s="6">
        <f>IF(I223=1,1.0,0)</f>
        <v/>
      </c>
      <c r="I223" s="8">
        <f>IF(OR(LOOKUP(A223,characters!A:A,characters!B:B)=-1, LOOKUP(A223,characters!A:A,characters!B:B)+0.1&gt;=B223),1,0)</f>
        <v/>
      </c>
    </row>
    <row r="224" spans="1:14">
      <c r="A224" s="4" t="s">
        <v>75</v>
      </c>
      <c r="B224" s="7">
        <v>1</v>
      </c>
      <c r="C224" s="5" t="s">
        <v>17</v>
      </c>
      <c r="D224" s="5" t="s">
        <v>17</v>
      </c>
      <c r="E224" s="5" t="s">
        <v>17</v>
      </c>
      <c r="F224" s="5" t="s">
        <v>17</v>
      </c>
      <c r="G224" s="6">
        <f>IF(I224=1,1.0,0)</f>
        <v/>
      </c>
      <c r="H224" s="6">
        <f>IF(I224=1,0.99,0)</f>
        <v/>
      </c>
      <c r="I224" s="8">
        <f>IF(OR(LOOKUP(A224,characters!A:A,characters!B:B)=-1, LOOKUP(A224,characters!A:A,characters!B:B)+0.1&gt;=B224),1,0)</f>
        <v/>
      </c>
    </row>
    <row r="225" spans="1:9">
      <c r="A225" s="4" t="s">
        <v>21</v>
      </c>
      <c r="B225" s="7">
        <v>4</v>
      </c>
      <c r="C225" s="6">
        <f>IF(I225=1,1.0,0)</f>
        <v/>
      </c>
      <c r="D225" s="6">
        <f>IF(I225=1,0.99,0)</f>
        <v/>
      </c>
      <c r="E225" s="5" t="s">
        <v>17</v>
      </c>
      <c r="F225" s="5" t="s">
        <v>17</v>
      </c>
      <c r="G225" s="5" t="s">
        <v>17</v>
      </c>
      <c r="H225" s="5" t="s">
        <v>17</v>
      </c>
      <c r="I225" s="8">
        <f>IF(OR(LOOKUP(A225,characters!A:A,characters!B:B)=-1, LOOKUP(A225,characters!A:A,characters!B:B)+0.1&gt;=B225),1,0)</f>
        <v/>
      </c>
    </row>
    <row r="226" spans="1:9">
      <c r="A226" s="4" t="s">
        <v>41</v>
      </c>
      <c r="B226" s="7">
        <v>1</v>
      </c>
      <c r="C226" s="5" t="s">
        <v>17</v>
      </c>
      <c r="D226" s="5" t="s">
        <v>17</v>
      </c>
      <c r="E226" s="5" t="s">
        <v>17</v>
      </c>
      <c r="F226" s="5" t="s">
        <v>17</v>
      </c>
      <c r="G226" s="6">
        <f>IF(I226=1,1.0,0)</f>
        <v/>
      </c>
      <c r="H226" s="5" t="s">
        <v>17</v>
      </c>
      <c r="I226" s="8">
        <f>IF(OR(LOOKUP(A226,characters!A:A,characters!B:B)=-1, LOOKUP(A226,characters!A:A,characters!B:B)+0.1&gt;=B226),1,0)</f>
        <v/>
      </c>
    </row>
    <row r="227" spans="1:9">
      <c r="A227" s="4" t="s">
        <v>42</v>
      </c>
      <c r="B227" s="7">
        <v>0</v>
      </c>
      <c r="C227" s="5" t="s">
        <v>17</v>
      </c>
      <c r="D227" s="6">
        <f>IF(I227=1,1.0,0)</f>
        <v/>
      </c>
      <c r="E227" s="5" t="s">
        <v>17</v>
      </c>
      <c r="F227" s="5" t="s">
        <v>17</v>
      </c>
      <c r="G227" s="5" t="s">
        <v>17</v>
      </c>
      <c r="H227" s="5" t="s">
        <v>17</v>
      </c>
      <c r="I227" s="8">
        <f>IF(OR(LOOKUP(A227,characters!A:A,characters!B:B)=-1, LOOKUP(A227,characters!A:A,characters!B:B)+0.1&gt;=B227),1,0)</f>
        <v/>
      </c>
    </row>
    <row r="228" spans="1:9">
      <c r="A228" s="4" t="s">
        <v>71</v>
      </c>
      <c r="B228" s="7">
        <v>0</v>
      </c>
      <c r="C228" s="5" t="s">
        <v>17</v>
      </c>
      <c r="D228" s="6">
        <f>IF(I228=1,1.0,0)</f>
        <v/>
      </c>
      <c r="E228" s="5" t="s">
        <v>17</v>
      </c>
      <c r="F228" s="5" t="s">
        <v>17</v>
      </c>
      <c r="G228" s="5" t="s">
        <v>17</v>
      </c>
      <c r="H228" s="5" t="s">
        <v>17</v>
      </c>
      <c r="I228" s="8">
        <f>IF(OR(LOOKUP(A228,characters!A:A,characters!B:B)=-1, LOOKUP(A228,characters!A:A,characters!B:B)+0.1&gt;=B228),1,0)</f>
        <v/>
      </c>
    </row>
    <row r="229" spans="1:9">
      <c r="A229" s="4" t="s">
        <v>72</v>
      </c>
      <c r="B229" s="7">
        <v>0</v>
      </c>
      <c r="C229" s="5" t="s">
        <v>17</v>
      </c>
      <c r="D229" s="5" t="s">
        <v>17</v>
      </c>
      <c r="E229" s="6">
        <f>IF(I229=1,0.9,0)</f>
        <v/>
      </c>
      <c r="F229" s="5" t="s">
        <v>17</v>
      </c>
      <c r="G229" s="5" t="s">
        <v>17</v>
      </c>
      <c r="H229" s="6">
        <f>IF(I229=1,1.0,0)</f>
        <v/>
      </c>
      <c r="I229" s="8">
        <f>IF(OR(LOOKUP(A229,characters!A:A,characters!B:B)=-1, LOOKUP(A229,characters!A:A,characters!B:B)+0.1&gt;=B229),1,0)</f>
        <v/>
      </c>
    </row>
    <row r="230" spans="1:9">
      <c r="A230" s="4" t="s">
        <v>73</v>
      </c>
      <c r="B230" s="7">
        <v>0</v>
      </c>
      <c r="C230" s="5" t="s">
        <v>17</v>
      </c>
      <c r="D230" s="5" t="s">
        <v>17</v>
      </c>
      <c r="E230" s="5" t="s">
        <v>17</v>
      </c>
      <c r="F230" s="5" t="s">
        <v>17</v>
      </c>
      <c r="G230" s="6">
        <f>IF(I230=1,1.0,0)</f>
        <v/>
      </c>
      <c r="H230" s="5" t="s">
        <v>17</v>
      </c>
      <c r="I230" s="8">
        <f>IF(OR(LOOKUP(A230,characters!A:A,characters!B:B)=-1, LOOKUP(A230,characters!A:A,characters!B:B)+0.1&gt;=B230),1,0)</f>
        <v/>
      </c>
    </row>
    <row r="231" spans="1:9">
      <c r="A231" s="4" t="s">
        <v>74</v>
      </c>
      <c r="B231" s="7">
        <v>0</v>
      </c>
      <c r="C231" s="5" t="s">
        <v>17</v>
      </c>
      <c r="D231" s="5" t="s">
        <v>17</v>
      </c>
      <c r="E231" s="6">
        <f>IF(I231=1,1.0,0)</f>
        <v/>
      </c>
      <c r="F231" s="6">
        <f>IF(I231=1,0.9,0)</f>
        <v/>
      </c>
      <c r="G231" s="5" t="s">
        <v>17</v>
      </c>
      <c r="H231" s="5" t="s">
        <v>17</v>
      </c>
      <c r="I231" s="8">
        <f>IF(OR(LOOKUP(A231,characters!A:A,characters!B:B)=-1, LOOKUP(A231,characters!A:A,characters!B:B)+0.1&gt;=B231),1,0)</f>
        <v/>
      </c>
    </row>
    <row r="232" spans="1:9">
      <c r="A232" s="4" t="s">
        <v>43</v>
      </c>
      <c r="B232" s="7">
        <v>0</v>
      </c>
      <c r="C232" s="5" t="s">
        <v>17</v>
      </c>
      <c r="D232" s="6">
        <f>IF(I232=1,1.0,0)</f>
        <v/>
      </c>
      <c r="E232" s="5" t="s">
        <v>17</v>
      </c>
      <c r="F232" s="5" t="s">
        <v>17</v>
      </c>
      <c r="G232" s="5" t="s">
        <v>17</v>
      </c>
      <c r="H232" s="5" t="s">
        <v>17</v>
      </c>
      <c r="I232" s="8">
        <f>IF(OR(LOOKUP(A232,characters!A:A,characters!B:B)=-1, LOOKUP(A232,characters!A:A,characters!B:B)+0.1&gt;=B232),1,0)</f>
        <v/>
      </c>
    </row>
    <row r="234" spans="1:9">
      <c r="A234" s="3" t="s">
        <v>24</v>
      </c>
      <c r="B234" s="3" t="s">
        <v>9</v>
      </c>
      <c r="C234" s="3" t="s">
        <v>11</v>
      </c>
      <c r="D234" s="3" t="s">
        <v>10</v>
      </c>
    </row>
    <row r="235" spans="1:9">
      <c r="A235" s="4" t="s">
        <v>16</v>
      </c>
      <c r="B235" s="5" t="s">
        <v>17</v>
      </c>
      <c r="C235" s="6">
        <f>IF(SUM(E236:E253)=0,0,SUM(C236:C253)/SUM(E236:E253))</f>
        <v/>
      </c>
      <c r="D235" s="6">
        <f>IF(SUM(E236:E253)=0,0,SUM(D236:D253)/SUM(E236:E253))</f>
        <v/>
      </c>
    </row>
    <row r="236" spans="1:9">
      <c r="A236" s="4" t="s">
        <v>50</v>
      </c>
      <c r="B236" s="7">
        <v>2</v>
      </c>
      <c r="C236" s="6">
        <f>IF(E236=1,1.0,0)</f>
        <v/>
      </c>
      <c r="D236" s="6">
        <f>IF(E236=1,0.99,0)</f>
        <v/>
      </c>
      <c r="E236" s="8">
        <f>IF(OR(LOOKUP(A236,characters!A:A,characters!B:B)=-1, LOOKUP(A236,characters!A:A,characters!B:B)+0.1&gt;=B236),1,0)</f>
        <v/>
      </c>
    </row>
    <row r="237" spans="1:9">
      <c r="A237" s="4" t="s">
        <v>69</v>
      </c>
      <c r="B237" s="7">
        <v>0</v>
      </c>
      <c r="C237" s="5" t="s">
        <v>17</v>
      </c>
      <c r="D237" s="6">
        <f>IF(E237=1,1.0,0)</f>
        <v/>
      </c>
      <c r="E237" s="8">
        <f>IF(OR(LOOKUP(A237,characters!A:A,characters!B:B)=-1, LOOKUP(A237,characters!A:A,characters!B:B)+0.1&gt;=B237),1,0)</f>
        <v/>
      </c>
    </row>
    <row r="238" spans="1:9">
      <c r="A238" s="4" t="s">
        <v>76</v>
      </c>
      <c r="B238" s="7">
        <v>2</v>
      </c>
      <c r="C238" s="5" t="s">
        <v>17</v>
      </c>
      <c r="D238" s="6">
        <f>IF(E238=1,1.0,0)</f>
        <v/>
      </c>
      <c r="E238" s="8">
        <f>IF(OR(LOOKUP(A238,characters!A:A,characters!B:B)=-1, LOOKUP(A238,characters!A:A,characters!B:B)+0.1&gt;=B238),1,0)</f>
        <v/>
      </c>
    </row>
    <row r="239" spans="1:9">
      <c r="A239" s="4" t="s">
        <v>77</v>
      </c>
      <c r="B239" s="7">
        <v>3</v>
      </c>
      <c r="C239" s="5" t="s">
        <v>17</v>
      </c>
      <c r="D239" s="6">
        <f>IF(E239=1,1.0,0)</f>
        <v/>
      </c>
      <c r="E239" s="8">
        <f>IF(OR(LOOKUP(A239,characters!A:A,characters!B:B)=-1, LOOKUP(A239,characters!A:A,characters!B:B)+0.1&gt;=B239),1,0)</f>
        <v/>
      </c>
    </row>
    <row r="240" spans="1:9">
      <c r="A240" s="4" t="s">
        <v>37</v>
      </c>
      <c r="B240" s="7">
        <v>1</v>
      </c>
      <c r="C240" s="5" t="s">
        <v>17</v>
      </c>
      <c r="D240" s="6">
        <f>IF(E240=1,1.0,0)</f>
        <v/>
      </c>
      <c r="E240" s="8">
        <f>IF(OR(LOOKUP(A240,characters!A:A,characters!B:B)=-1, LOOKUP(A240,characters!A:A,characters!B:B)+0.1&gt;=B240),1,0)</f>
        <v/>
      </c>
    </row>
    <row r="241" spans="1:5">
      <c r="A241" s="4" t="s">
        <v>39</v>
      </c>
      <c r="B241" s="7">
        <v>0</v>
      </c>
      <c r="C241" s="5" t="s">
        <v>17</v>
      </c>
      <c r="D241" s="6">
        <f>IF(E241=1,1.0,0)</f>
        <v/>
      </c>
      <c r="E241" s="8">
        <f>IF(OR(LOOKUP(A241,characters!A:A,characters!B:B)=-1, LOOKUP(A241,characters!A:A,characters!B:B)+0.1&gt;=B241),1,0)</f>
        <v/>
      </c>
    </row>
    <row r="242" spans="1:5">
      <c r="A242" s="4" t="s">
        <v>70</v>
      </c>
      <c r="B242" s="7">
        <v>0</v>
      </c>
      <c r="C242" s="5" t="s">
        <v>17</v>
      </c>
      <c r="D242" s="6">
        <f>IF(E242=1,1.0,0)</f>
        <v/>
      </c>
      <c r="E242" s="8">
        <f>IF(OR(LOOKUP(A242,characters!A:A,characters!B:B)=-1, LOOKUP(A242,characters!A:A,characters!B:B)+0.1&gt;=B242),1,0)</f>
        <v/>
      </c>
    </row>
    <row r="243" spans="1:5">
      <c r="A243" s="4" t="s">
        <v>40</v>
      </c>
      <c r="B243" s="7">
        <v>0</v>
      </c>
      <c r="C243" s="5" t="s">
        <v>17</v>
      </c>
      <c r="D243" s="6">
        <f>IF(E243=1,1.0,0)</f>
        <v/>
      </c>
      <c r="E243" s="8">
        <f>IF(OR(LOOKUP(A243,characters!A:A,characters!B:B)=-1, LOOKUP(A243,characters!A:A,characters!B:B)+0.1&gt;=B243),1,0)</f>
        <v/>
      </c>
    </row>
    <row r="244" spans="1:5">
      <c r="A244" s="4" t="s">
        <v>78</v>
      </c>
      <c r="B244" s="7">
        <v>3</v>
      </c>
      <c r="C244" s="5" t="s">
        <v>17</v>
      </c>
      <c r="D244" s="6">
        <f>IF(E244=1,1.0,0)</f>
        <v/>
      </c>
      <c r="E244" s="8">
        <f>IF(OR(LOOKUP(A244,characters!A:A,characters!B:B)=-1, LOOKUP(A244,characters!A:A,characters!B:B)+0.1&gt;=B244),1,0)</f>
        <v/>
      </c>
    </row>
    <row r="245" spans="1:5">
      <c r="A245" s="4" t="s">
        <v>75</v>
      </c>
      <c r="B245" s="7">
        <v>1</v>
      </c>
      <c r="C245" s="5" t="s">
        <v>17</v>
      </c>
      <c r="D245" s="6">
        <f>IF(E245=1,1.0,0)</f>
        <v/>
      </c>
      <c r="E245" s="8">
        <f>IF(OR(LOOKUP(A245,characters!A:A,characters!B:B)=-1, LOOKUP(A245,characters!A:A,characters!B:B)+0.1&gt;=B245),1,0)</f>
        <v/>
      </c>
    </row>
    <row r="246" spans="1:5">
      <c r="A246" s="4" t="s">
        <v>21</v>
      </c>
      <c r="B246" s="7">
        <v>4</v>
      </c>
      <c r="C246" s="6">
        <f>IF(E246=1,0.99,0)</f>
        <v/>
      </c>
      <c r="D246" s="6">
        <f>IF(E246=1,1.0,0)</f>
        <v/>
      </c>
      <c r="E246" s="8">
        <f>IF(OR(LOOKUP(A246,characters!A:A,characters!B:B)=-1, LOOKUP(A246,characters!A:A,characters!B:B)+0.1&gt;=B246),1,0)</f>
        <v/>
      </c>
    </row>
    <row r="247" spans="1:5">
      <c r="A247" s="4" t="s">
        <v>41</v>
      </c>
      <c r="B247" s="7">
        <v>1</v>
      </c>
      <c r="C247" s="5" t="s">
        <v>17</v>
      </c>
      <c r="D247" s="6">
        <f>IF(E247=1,1.0,0)</f>
        <v/>
      </c>
      <c r="E247" s="8">
        <f>IF(OR(LOOKUP(A247,characters!A:A,characters!B:B)=-1, LOOKUP(A247,characters!A:A,characters!B:B)+0.1&gt;=B247),1,0)</f>
        <v/>
      </c>
    </row>
    <row r="248" spans="1:5">
      <c r="A248" s="4" t="s">
        <v>42</v>
      </c>
      <c r="B248" s="7">
        <v>0</v>
      </c>
      <c r="C248" s="5" t="s">
        <v>17</v>
      </c>
      <c r="D248" s="6">
        <f>IF(E248=1,1.0,0)</f>
        <v/>
      </c>
      <c r="E248" s="8">
        <f>IF(OR(LOOKUP(A248,characters!A:A,characters!B:B)=-1, LOOKUP(A248,characters!A:A,characters!B:B)+0.1&gt;=B248),1,0)</f>
        <v/>
      </c>
    </row>
    <row r="249" spans="1:5">
      <c r="A249" s="4" t="s">
        <v>71</v>
      </c>
      <c r="B249" s="7">
        <v>0</v>
      </c>
      <c r="C249" s="5" t="s">
        <v>17</v>
      </c>
      <c r="D249" s="6">
        <f>IF(E249=1,1.0,0)</f>
        <v/>
      </c>
      <c r="E249" s="8">
        <f>IF(OR(LOOKUP(A249,characters!A:A,characters!B:B)=-1, LOOKUP(A249,characters!A:A,characters!B:B)+0.1&gt;=B249),1,0)</f>
        <v/>
      </c>
    </row>
    <row r="250" spans="1:5">
      <c r="A250" s="4" t="s">
        <v>72</v>
      </c>
      <c r="B250" s="7">
        <v>0</v>
      </c>
      <c r="C250" s="5" t="s">
        <v>17</v>
      </c>
      <c r="D250" s="6">
        <f>IF(E250=1,1.0,0)</f>
        <v/>
      </c>
      <c r="E250" s="8">
        <f>IF(OR(LOOKUP(A250,characters!A:A,characters!B:B)=-1, LOOKUP(A250,characters!A:A,characters!B:B)+0.1&gt;=B250),1,0)</f>
        <v/>
      </c>
    </row>
    <row r="251" spans="1:5">
      <c r="A251" s="4" t="s">
        <v>73</v>
      </c>
      <c r="B251" s="7">
        <v>0</v>
      </c>
      <c r="C251" s="5" t="s">
        <v>17</v>
      </c>
      <c r="D251" s="6">
        <f>IF(E251=1,1.0,0)</f>
        <v/>
      </c>
      <c r="E251" s="8">
        <f>IF(OR(LOOKUP(A251,characters!A:A,characters!B:B)=-1, LOOKUP(A251,characters!A:A,characters!B:B)+0.1&gt;=B251),1,0)</f>
        <v/>
      </c>
    </row>
    <row r="252" spans="1:5">
      <c r="A252" s="4" t="s">
        <v>74</v>
      </c>
      <c r="B252" s="7">
        <v>0</v>
      </c>
      <c r="C252" s="5" t="s">
        <v>17</v>
      </c>
      <c r="D252" s="6">
        <f>IF(E252=1,1.0,0)</f>
        <v/>
      </c>
      <c r="E252" s="8">
        <f>IF(OR(LOOKUP(A252,characters!A:A,characters!B:B)=-1, LOOKUP(A252,characters!A:A,characters!B:B)+0.1&gt;=B252),1,0)</f>
        <v/>
      </c>
    </row>
    <row r="253" spans="1:5">
      <c r="A253" s="4" t="s">
        <v>43</v>
      </c>
      <c r="B253" s="7">
        <v>0</v>
      </c>
      <c r="C253" s="5" t="s">
        <v>17</v>
      </c>
      <c r="D253" s="6">
        <f>IF(E253=1,1.0,0)</f>
        <v/>
      </c>
      <c r="E253" s="8">
        <f>IF(OR(LOOKUP(A253,characters!A:A,characters!B:B)=-1, LOOKUP(A253,characters!A:A,characters!B:B)+0.1&gt;=B253),1,0)</f>
        <v/>
      </c>
    </row>
    <row r="260" spans="1:7">
      <c r="A260" s="3" t="s">
        <v>79</v>
      </c>
    </row>
    <row r="261" spans="1:7">
      <c r="A261" s="3" t="s">
        <v>8</v>
      </c>
      <c r="B261" s="3" t="s">
        <v>9</v>
      </c>
      <c r="C261" s="3" t="s">
        <v>10</v>
      </c>
      <c r="D261" s="3" t="s">
        <v>12</v>
      </c>
      <c r="E261" s="3" t="s">
        <v>13</v>
      </c>
      <c r="F261" s="3" t="s">
        <v>11</v>
      </c>
    </row>
    <row r="262" spans="1:7">
      <c r="A262" s="4" t="s">
        <v>16</v>
      </c>
      <c r="B262" s="5" t="s">
        <v>17</v>
      </c>
      <c r="C262" s="6">
        <f>IF(SUM(G263:G264)=0,0,SUM(C263:C264)/SUM(G263:G264))</f>
        <v/>
      </c>
      <c r="D262" s="6">
        <f>IF(SUM(G263:G264)=0,0,SUM(D263:D264)/SUM(G263:G264))</f>
        <v/>
      </c>
      <c r="E262" s="6">
        <f>IF(SUM(G263:G264)=0,0,SUM(E263:E264)/SUM(G263:G264))</f>
        <v/>
      </c>
      <c r="F262" s="6">
        <f>IF(SUM(G263:G264)=0,0,SUM(F263:F264)/SUM(G263:G264))</f>
        <v/>
      </c>
    </row>
    <row r="263" spans="1:7">
      <c r="A263" s="4" t="s">
        <v>60</v>
      </c>
      <c r="B263" s="7">
        <v>2</v>
      </c>
      <c r="C263" s="6">
        <f>IF(G263=1,1.0,0)</f>
        <v/>
      </c>
      <c r="D263" s="6">
        <f>IF(G263=1,1.0,0)</f>
        <v/>
      </c>
      <c r="E263" s="6">
        <f>IF(G263=1,1.0,0)</f>
        <v/>
      </c>
      <c r="F263" s="6">
        <f>IF(G263=1,0.9,0)</f>
        <v/>
      </c>
      <c r="G263" s="8">
        <f>IF(OR(LOOKUP(A263,characters!A:A,characters!B:B)=-1, LOOKUP(A263,characters!A:A,characters!B:B)+0.1&gt;=B263),1,0)</f>
        <v/>
      </c>
    </row>
    <row r="264" spans="1:7">
      <c r="A264" s="4" t="s">
        <v>80</v>
      </c>
      <c r="B264" s="7">
        <v>3</v>
      </c>
      <c r="C264" s="6">
        <f>IF(G264=1,1.0,0)</f>
        <v/>
      </c>
      <c r="D264" s="6">
        <f>IF(G264=1,0.9,0)</f>
        <v/>
      </c>
      <c r="E264" s="6">
        <f>IF(G264=1,0.9,0)</f>
        <v/>
      </c>
      <c r="F264" s="6">
        <f>IF(G264=1,0.8,0)</f>
        <v/>
      </c>
      <c r="G264" s="8">
        <f>IF(OR(LOOKUP(A264,characters!A:A,characters!B:B)=-1, LOOKUP(A264,characters!A:A,characters!B:B)+0.1&gt;=B264),1,0)</f>
        <v/>
      </c>
    </row>
    <row r="266" spans="1:7">
      <c r="A266" s="3" t="s">
        <v>23</v>
      </c>
      <c r="B266" s="3" t="s">
        <v>9</v>
      </c>
      <c r="C266" s="3" t="s">
        <v>12</v>
      </c>
      <c r="D266" s="3" t="s">
        <v>13</v>
      </c>
    </row>
    <row r="267" spans="1:7">
      <c r="A267" s="4" t="s">
        <v>16</v>
      </c>
      <c r="B267" s="5" t="s">
        <v>17</v>
      </c>
      <c r="C267" s="6">
        <f>IF(SUM(E268:E269)=0,0,SUM(C268:C269)/SUM(E268:E269))</f>
        <v/>
      </c>
      <c r="D267" s="6">
        <f>IF(SUM(E268:E269)=0,0,SUM(D268:D269)/SUM(E268:E269))</f>
        <v/>
      </c>
    </row>
    <row r="268" spans="1:7">
      <c r="A268" s="4" t="s">
        <v>60</v>
      </c>
      <c r="B268" s="7">
        <v>2</v>
      </c>
      <c r="C268" s="6">
        <f>IF(E268=1,1.0,0)</f>
        <v/>
      </c>
      <c r="D268" s="6">
        <f>IF(E268=1,0.99,0)</f>
        <v/>
      </c>
      <c r="E268" s="8">
        <f>IF(OR(LOOKUP(A268,characters!A:A,characters!B:B)=-1, LOOKUP(A268,characters!A:A,characters!B:B)+0.1&gt;=B268),1,0)</f>
        <v/>
      </c>
    </row>
    <row r="269" spans="1:7">
      <c r="A269" s="4" t="s">
        <v>80</v>
      </c>
      <c r="B269" s="7">
        <v>3</v>
      </c>
      <c r="C269" s="6">
        <f>IF(E269=1,1.0,0)</f>
        <v/>
      </c>
      <c r="D269" s="6">
        <f>IF(E269=1,0.99,0)</f>
        <v/>
      </c>
      <c r="E269" s="8">
        <f>IF(OR(LOOKUP(A269,characters!A:A,characters!B:B)=-1, LOOKUP(A269,characters!A:A,characters!B:B)+0.1&gt;=B269),1,0)</f>
        <v/>
      </c>
    </row>
    <row r="271" spans="1:7">
      <c r="A271" s="3" t="s">
        <v>24</v>
      </c>
      <c r="B271" s="3" t="s">
        <v>9</v>
      </c>
      <c r="C271" s="3" t="s">
        <v>11</v>
      </c>
      <c r="D271" s="3" t="s">
        <v>10</v>
      </c>
    </row>
    <row r="272" spans="1:7">
      <c r="A272" s="4" t="s">
        <v>16</v>
      </c>
      <c r="B272" s="5" t="s">
        <v>17</v>
      </c>
      <c r="C272" s="6">
        <f>IF(SUM(E273:E274)=0,0,SUM(C273:C274)/SUM(E273:E274))</f>
        <v/>
      </c>
      <c r="D272" s="6">
        <f>IF(SUM(E273:E274)=0,0,SUM(D273:D274)/SUM(E273:E274))</f>
        <v/>
      </c>
    </row>
    <row r="273" spans="1:11">
      <c r="A273" s="4" t="s">
        <v>60</v>
      </c>
      <c r="B273" s="7">
        <v>2</v>
      </c>
      <c r="C273" s="6">
        <f>IF(E273=1,1.0,0)</f>
        <v/>
      </c>
      <c r="D273" s="5" t="s">
        <v>17</v>
      </c>
      <c r="E273" s="8">
        <f>IF(OR(LOOKUP(A273,characters!A:A,characters!B:B)=-1, LOOKUP(A273,characters!A:A,characters!B:B)+0.1&gt;=B273),1,0)</f>
        <v/>
      </c>
    </row>
    <row r="274" spans="1:11">
      <c r="A274" s="4" t="s">
        <v>80</v>
      </c>
      <c r="B274" s="7">
        <v>3</v>
      </c>
      <c r="C274" s="6">
        <f>IF(E274=1,0.99,0)</f>
        <v/>
      </c>
      <c r="D274" s="6">
        <f>IF(E274=1,1.0,0)</f>
        <v/>
      </c>
      <c r="E274" s="8">
        <f>IF(OR(LOOKUP(A274,characters!A:A,characters!B:B)=-1, LOOKUP(A274,characters!A:A,characters!B:B)+0.1&gt;=B274),1,0)</f>
        <v/>
      </c>
    </row>
    <row r="281" spans="1:11">
      <c r="A281" s="3" t="s">
        <v>81</v>
      </c>
    </row>
    <row r="282" spans="1:11">
      <c r="A282" s="3" t="s">
        <v>8</v>
      </c>
      <c r="B282" s="3" t="s">
        <v>9</v>
      </c>
      <c r="C282" s="3" t="s">
        <v>10</v>
      </c>
      <c r="D282" s="3" t="s">
        <v>11</v>
      </c>
      <c r="E282" s="3" t="s">
        <v>13</v>
      </c>
      <c r="F282" s="3" t="s">
        <v>12</v>
      </c>
      <c r="G282" s="3" t="s">
        <v>15</v>
      </c>
      <c r="H282" s="3" t="s">
        <v>14</v>
      </c>
      <c r="I282" s="3" t="s">
        <v>27</v>
      </c>
      <c r="J282" s="3" t="s">
        <v>26</v>
      </c>
    </row>
    <row r="283" spans="1:11">
      <c r="A283" s="4" t="s">
        <v>16</v>
      </c>
      <c r="B283" s="5" t="s">
        <v>17</v>
      </c>
      <c r="C283" s="6">
        <f>IF(SUM(K284:K307)=0,0,SUM(C284:C307)/SUM(K284:K307))</f>
        <v/>
      </c>
      <c r="D283" s="6">
        <f>IF(SUM(K284:K307)=0,0,SUM(D284:D307)/SUM(K284:K307))</f>
        <v/>
      </c>
      <c r="E283" s="6">
        <f>IF(SUM(K284:K307)=0,0,SUM(E284:E307)/SUM(K284:K307))</f>
        <v/>
      </c>
      <c r="F283" s="6">
        <f>IF(SUM(K284:K307)=0,0,SUM(F284:F307)/SUM(K284:K307))</f>
        <v/>
      </c>
      <c r="G283" s="6">
        <f>IF(SUM(K284:K307)=0,0,SUM(G284:G307)/SUM(K284:K307))</f>
        <v/>
      </c>
      <c r="H283" s="6">
        <f>IF(SUM(K284:K307)=0,0,SUM(H284:H307)/SUM(K284:K307))</f>
        <v/>
      </c>
      <c r="I283" s="6">
        <f>IF(SUM(K284:K307)=0,0,SUM(I284:I307)/SUM(K284:K307))</f>
        <v/>
      </c>
      <c r="J283" s="6">
        <f>IF(SUM(K284:K307)=0,0,SUM(J284:J307)/SUM(K284:K307))</f>
        <v/>
      </c>
    </row>
    <row r="284" spans="1:11">
      <c r="A284" s="4" t="s">
        <v>82</v>
      </c>
      <c r="B284" s="7">
        <v>0</v>
      </c>
      <c r="C284" s="6">
        <f>IF(K284=1,0.9,0)</f>
        <v/>
      </c>
      <c r="D284" s="6">
        <f>IF(K284=1,0.8,0)</f>
        <v/>
      </c>
      <c r="E284" s="5" t="s">
        <v>17</v>
      </c>
      <c r="F284" s="5" t="s">
        <v>17</v>
      </c>
      <c r="G284" s="6">
        <f>IF(K284=1,0.7,0)</f>
        <v/>
      </c>
      <c r="H284" s="6">
        <f>IF(K284=1,1.0,0)</f>
        <v/>
      </c>
      <c r="I284" s="6">
        <f>IF(K284=1,0.7,0)</f>
        <v/>
      </c>
      <c r="J284" s="6">
        <f>IF(K284=1,0.7,0)</f>
        <v/>
      </c>
      <c r="K284" s="8">
        <f>IF(OR(LOOKUP(A284,characters!A:A,characters!B:B)=-1, LOOKUP(A284,characters!A:A,characters!B:B)+0.1&gt;=B284),1,0)</f>
        <v/>
      </c>
    </row>
    <row r="285" spans="1:11">
      <c r="A285" s="4" t="s">
        <v>80</v>
      </c>
      <c r="B285" s="7">
        <v>0</v>
      </c>
      <c r="C285" s="6">
        <f>IF(K285=1,1.0,0)</f>
        <v/>
      </c>
      <c r="D285" s="6">
        <f>IF(K285=1,0.8,0)</f>
        <v/>
      </c>
      <c r="E285" s="6">
        <f>IF(K285=1,0.9,0)</f>
        <v/>
      </c>
      <c r="F285" s="6">
        <f>IF(K285=1,0.9,0)</f>
        <v/>
      </c>
      <c r="G285" s="5" t="s">
        <v>17</v>
      </c>
      <c r="H285" s="5" t="s">
        <v>17</v>
      </c>
      <c r="I285" s="5" t="s">
        <v>17</v>
      </c>
      <c r="J285" s="5" t="s">
        <v>17</v>
      </c>
      <c r="K285" s="8">
        <f>IF(OR(LOOKUP(A285,characters!A:A,characters!B:B)=-1, LOOKUP(A285,characters!A:A,characters!B:B)+0.1&gt;=B285),1,0)</f>
        <v/>
      </c>
    </row>
    <row r="286" spans="1:11">
      <c r="A286" s="4" t="s">
        <v>20</v>
      </c>
      <c r="B286" s="7">
        <v>0</v>
      </c>
      <c r="C286" s="6">
        <f>IF(K286=1,1.0,0)</f>
        <v/>
      </c>
      <c r="D286" s="6">
        <f>IF(K286=1,0.9,0)</f>
        <v/>
      </c>
      <c r="E286" s="5" t="s">
        <v>17</v>
      </c>
      <c r="F286" s="5" t="s">
        <v>17</v>
      </c>
      <c r="G286" s="6">
        <f>IF(K286=1,0.8,0)</f>
        <v/>
      </c>
      <c r="H286" s="6">
        <f>IF(K286=1,1.0,0)</f>
        <v/>
      </c>
      <c r="I286" s="5" t="s">
        <v>17</v>
      </c>
      <c r="J286" s="5" t="s">
        <v>17</v>
      </c>
      <c r="K286" s="8">
        <f>IF(OR(LOOKUP(A286,characters!A:A,characters!B:B)=-1, LOOKUP(A286,characters!A:A,characters!B:B)+0.1&gt;=B286),1,0)</f>
        <v/>
      </c>
    </row>
    <row r="287" spans="1:11">
      <c r="A287" s="4" t="s">
        <v>83</v>
      </c>
      <c r="B287" s="7">
        <v>0</v>
      </c>
      <c r="C287" s="6">
        <f>IF(K287=1,1.0,0)</f>
        <v/>
      </c>
      <c r="D287" s="6">
        <f>IF(K287=1,0.8,0)</f>
        <v/>
      </c>
      <c r="E287" s="6">
        <f>IF(K287=1,0.9,0)</f>
        <v/>
      </c>
      <c r="F287" s="6">
        <f>IF(K287=1,0.9,0)</f>
        <v/>
      </c>
      <c r="G287" s="5" t="s">
        <v>17</v>
      </c>
      <c r="H287" s="5" t="s">
        <v>17</v>
      </c>
      <c r="I287" s="5" t="s">
        <v>17</v>
      </c>
      <c r="J287" s="5" t="s">
        <v>17</v>
      </c>
      <c r="K287" s="8">
        <f>IF(OR(LOOKUP(A287,characters!A:A,characters!B:B)=-1, LOOKUP(A287,characters!A:A,characters!B:B)+0.1&gt;=B287),1,0)</f>
        <v/>
      </c>
    </row>
    <row r="288" spans="1:11">
      <c r="A288" s="4" t="s">
        <v>75</v>
      </c>
      <c r="B288" s="7">
        <v>0</v>
      </c>
      <c r="C288" s="6">
        <f>IF(K288=1,1.0,0)</f>
        <v/>
      </c>
      <c r="D288" s="6">
        <f>IF(K288=1,0.9,0)</f>
        <v/>
      </c>
      <c r="E288" s="5" t="s">
        <v>17</v>
      </c>
      <c r="F288" s="5" t="s">
        <v>17</v>
      </c>
      <c r="G288" s="6">
        <f>IF(K288=1,0.8,0)</f>
        <v/>
      </c>
      <c r="H288" s="6">
        <f>IF(K288=1,1.0,0)</f>
        <v/>
      </c>
      <c r="I288" s="5" t="s">
        <v>17</v>
      </c>
      <c r="J288" s="5" t="s">
        <v>17</v>
      </c>
      <c r="K288" s="8">
        <f>IF(OR(LOOKUP(A288,characters!A:A,characters!B:B)=-1, LOOKUP(A288,characters!A:A,characters!B:B)+0.1&gt;=B288),1,0)</f>
        <v/>
      </c>
    </row>
    <row r="289" spans="1:11">
      <c r="A289" s="4" t="s">
        <v>21</v>
      </c>
      <c r="B289" s="7">
        <v>0</v>
      </c>
      <c r="C289" s="6">
        <f>IF(K289=1,1.0,0)</f>
        <v/>
      </c>
      <c r="D289" s="6">
        <f>IF(K289=1,0.8,0)</f>
        <v/>
      </c>
      <c r="E289" s="6">
        <f>IF(K289=1,0.9,0)</f>
        <v/>
      </c>
      <c r="F289" s="6">
        <f>IF(K289=1,0.9,0)</f>
        <v/>
      </c>
      <c r="G289" s="5" t="s">
        <v>17</v>
      </c>
      <c r="H289" s="5" t="s">
        <v>17</v>
      </c>
      <c r="I289" s="5" t="s">
        <v>17</v>
      </c>
      <c r="J289" s="5" t="s">
        <v>17</v>
      </c>
      <c r="K289" s="8">
        <f>IF(OR(LOOKUP(A289,characters!A:A,characters!B:B)=-1, LOOKUP(A289,characters!A:A,characters!B:B)+0.1&gt;=B289),1,0)</f>
        <v/>
      </c>
    </row>
    <row r="290" spans="1:11">
      <c r="A290" s="4" t="s">
        <v>84</v>
      </c>
      <c r="B290" s="7">
        <v>0</v>
      </c>
      <c r="C290" s="6">
        <f>IF(K290=1,1.0,0)</f>
        <v/>
      </c>
      <c r="D290" s="6">
        <f>IF(K290=1,0.8,0)</f>
        <v/>
      </c>
      <c r="E290" s="6">
        <f>IF(K290=1,0.9,0)</f>
        <v/>
      </c>
      <c r="F290" s="6">
        <f>IF(K290=1,0.7,0)</f>
        <v/>
      </c>
      <c r="G290" s="5" t="s">
        <v>17</v>
      </c>
      <c r="H290" s="5" t="s">
        <v>17</v>
      </c>
      <c r="I290" s="5" t="s">
        <v>17</v>
      </c>
      <c r="J290" s="5" t="s">
        <v>17</v>
      </c>
      <c r="K290" s="8">
        <f>IF(OR(LOOKUP(A290,characters!A:A,characters!B:B)=-1, LOOKUP(A290,characters!A:A,characters!B:B)+0.1&gt;=B290),1,0)</f>
        <v/>
      </c>
    </row>
    <row r="291" spans="1:11">
      <c r="A291" s="4" t="s">
        <v>18</v>
      </c>
      <c r="B291" s="7">
        <v>1</v>
      </c>
      <c r="C291" s="6">
        <f>IF(K291=1,1.0,0)</f>
        <v/>
      </c>
      <c r="D291" s="6">
        <f>IF(K291=1,0.8,0)</f>
        <v/>
      </c>
      <c r="E291" s="6">
        <f>IF(K291=1,0.9,0)</f>
        <v/>
      </c>
      <c r="F291" s="6">
        <f>IF(K291=1,0.9,0)</f>
        <v/>
      </c>
      <c r="G291" s="5" t="s">
        <v>17</v>
      </c>
      <c r="H291" s="5" t="s">
        <v>17</v>
      </c>
      <c r="I291" s="5" t="s">
        <v>17</v>
      </c>
      <c r="J291" s="5" t="s">
        <v>17</v>
      </c>
      <c r="K291" s="8">
        <f>IF(OR(LOOKUP(A291,characters!A:A,characters!B:B)=-1, LOOKUP(A291,characters!A:A,characters!B:B)+0.1&gt;=B291),1,0)</f>
        <v/>
      </c>
    </row>
    <row r="292" spans="1:11">
      <c r="A292" s="4" t="s">
        <v>76</v>
      </c>
      <c r="B292" s="7">
        <v>1</v>
      </c>
      <c r="C292" s="6">
        <f>IF(K292=1,0.9,0)</f>
        <v/>
      </c>
      <c r="D292" s="6">
        <f>IF(K292=1,0.8,0)</f>
        <v/>
      </c>
      <c r="E292" s="5" t="s">
        <v>17</v>
      </c>
      <c r="F292" s="5" t="s">
        <v>17</v>
      </c>
      <c r="G292" s="6">
        <f>IF(K292=1,0.7,0)</f>
        <v/>
      </c>
      <c r="H292" s="6">
        <f>IF(K292=1,1.0,0)</f>
        <v/>
      </c>
      <c r="I292" s="5" t="s">
        <v>17</v>
      </c>
      <c r="J292" s="5" t="s">
        <v>17</v>
      </c>
      <c r="K292" s="8">
        <f>IF(OR(LOOKUP(A292,characters!A:A,characters!B:B)=-1, LOOKUP(A292,characters!A:A,characters!B:B)+0.1&gt;=B292),1,0)</f>
        <v/>
      </c>
    </row>
    <row r="293" spans="1:11">
      <c r="A293" s="4" t="s">
        <v>85</v>
      </c>
      <c r="B293" s="7">
        <v>1</v>
      </c>
      <c r="C293" s="6">
        <f>IF(K293=1,1.0,0)</f>
        <v/>
      </c>
      <c r="D293" s="6">
        <f>IF(K293=1,0.9,0)</f>
        <v/>
      </c>
      <c r="E293" s="6">
        <f>IF(K293=1,1.0,0)</f>
        <v/>
      </c>
      <c r="F293" s="6">
        <f>IF(K293=1,1.0,0)</f>
        <v/>
      </c>
      <c r="G293" s="5" t="s">
        <v>17</v>
      </c>
      <c r="H293" s="5" t="s">
        <v>17</v>
      </c>
      <c r="I293" s="5" t="s">
        <v>17</v>
      </c>
      <c r="J293" s="5" t="s">
        <v>17</v>
      </c>
      <c r="K293" s="8">
        <f>IF(OR(LOOKUP(A293,characters!A:A,characters!B:B)=-1, LOOKUP(A293,characters!A:A,characters!B:B)+0.1&gt;=B293),1,0)</f>
        <v/>
      </c>
    </row>
    <row r="294" spans="1:11">
      <c r="A294" s="4" t="s">
        <v>86</v>
      </c>
      <c r="B294" s="7">
        <v>1</v>
      </c>
      <c r="C294" s="5" t="s">
        <v>17</v>
      </c>
      <c r="D294" s="6">
        <f>IF(K294=1,0.9,0)</f>
        <v/>
      </c>
      <c r="E294" s="6">
        <f>IF(K294=1,1.0,0)</f>
        <v/>
      </c>
      <c r="F294" s="6">
        <f>IF(K294=1,1.0,0)</f>
        <v/>
      </c>
      <c r="G294" s="5" t="s">
        <v>17</v>
      </c>
      <c r="H294" s="5" t="s">
        <v>17</v>
      </c>
      <c r="I294" s="5" t="s">
        <v>17</v>
      </c>
      <c r="J294" s="5" t="s">
        <v>17</v>
      </c>
      <c r="K294" s="8">
        <f>IF(OR(LOOKUP(A294,characters!A:A,characters!B:B)=-1, LOOKUP(A294,characters!A:A,characters!B:B)+0.1&gt;=B294),1,0)</f>
        <v/>
      </c>
    </row>
    <row r="295" spans="1:11">
      <c r="A295" s="4" t="s">
        <v>87</v>
      </c>
      <c r="B295" s="7">
        <v>1</v>
      </c>
      <c r="C295" s="6">
        <f>IF(K295=1,1.0,0)</f>
        <v/>
      </c>
      <c r="D295" s="6">
        <f>IF(K295=1,0.8,0)</f>
        <v/>
      </c>
      <c r="E295" s="6">
        <f>IF(K295=1,0.9,0)</f>
        <v/>
      </c>
      <c r="F295" s="6">
        <f>IF(K295=1,0.9,0)</f>
        <v/>
      </c>
      <c r="G295" s="5" t="s">
        <v>17</v>
      </c>
      <c r="H295" s="5" t="s">
        <v>17</v>
      </c>
      <c r="I295" s="5" t="s">
        <v>17</v>
      </c>
      <c r="J295" s="5" t="s">
        <v>17</v>
      </c>
      <c r="K295" s="8">
        <f>IF(OR(LOOKUP(A295,characters!A:A,characters!B:B)=-1, LOOKUP(A295,characters!A:A,characters!B:B)+0.1&gt;=B295),1,0)</f>
        <v/>
      </c>
    </row>
    <row r="296" spans="1:11">
      <c r="A296" s="4" t="s">
        <v>53</v>
      </c>
      <c r="B296" s="7">
        <v>1</v>
      </c>
      <c r="C296" s="6">
        <f>IF(K296=1,1.0,0)</f>
        <v/>
      </c>
      <c r="D296" s="6">
        <f>IF(K296=1,0.89,0)</f>
        <v/>
      </c>
      <c r="E296" s="5" t="s">
        <v>17</v>
      </c>
      <c r="F296" s="5" t="s">
        <v>17</v>
      </c>
      <c r="G296" s="6">
        <f>IF(K296=1,0.9,0)</f>
        <v/>
      </c>
      <c r="H296" s="6">
        <f>IF(K296=1,1.0,0)</f>
        <v/>
      </c>
      <c r="I296" s="5" t="s">
        <v>17</v>
      </c>
      <c r="J296" s="5" t="s">
        <v>17</v>
      </c>
      <c r="K296" s="8">
        <f>IF(OR(LOOKUP(A296,characters!A:A,characters!B:B)=-1, LOOKUP(A296,characters!A:A,characters!B:B)+0.1&gt;=B296),1,0)</f>
        <v/>
      </c>
    </row>
    <row r="297" spans="1:11">
      <c r="A297" s="4" t="s">
        <v>88</v>
      </c>
      <c r="B297" s="7">
        <v>1</v>
      </c>
      <c r="C297" s="6">
        <f>IF(K297=1,1.0,0)</f>
        <v/>
      </c>
      <c r="D297" s="6">
        <f>IF(K297=1,0.8,0)</f>
        <v/>
      </c>
      <c r="E297" s="6">
        <f>IF(K297=1,0.9,0)</f>
        <v/>
      </c>
      <c r="F297" s="6">
        <f>IF(K297=1,0.9,0)</f>
        <v/>
      </c>
      <c r="G297" s="5" t="s">
        <v>17</v>
      </c>
      <c r="H297" s="5" t="s">
        <v>17</v>
      </c>
      <c r="I297" s="5" t="s">
        <v>17</v>
      </c>
      <c r="J297" s="5" t="s">
        <v>17</v>
      </c>
      <c r="K297" s="8">
        <f>IF(OR(LOOKUP(A297,characters!A:A,characters!B:B)=-1, LOOKUP(A297,characters!A:A,characters!B:B)+0.1&gt;=B297),1,0)</f>
        <v/>
      </c>
    </row>
    <row r="298" spans="1:11">
      <c r="A298" s="4" t="s">
        <v>89</v>
      </c>
      <c r="B298" s="7">
        <v>1</v>
      </c>
      <c r="C298" s="5" t="s">
        <v>17</v>
      </c>
      <c r="D298" s="6">
        <f>IF(K298=1,0.9,0)</f>
        <v/>
      </c>
      <c r="E298" s="6">
        <f>IF(K298=1,1.0,0)</f>
        <v/>
      </c>
      <c r="F298" s="6">
        <f>IF(K298=1,1.0,0)</f>
        <v/>
      </c>
      <c r="G298" s="5" t="s">
        <v>17</v>
      </c>
      <c r="H298" s="5" t="s">
        <v>17</v>
      </c>
      <c r="I298" s="5" t="s">
        <v>17</v>
      </c>
      <c r="J298" s="5" t="s">
        <v>17</v>
      </c>
      <c r="K298" s="8">
        <f>IF(OR(LOOKUP(A298,characters!A:A,characters!B:B)=-1, LOOKUP(A298,characters!A:A,characters!B:B)+0.1&gt;=B298),1,0)</f>
        <v/>
      </c>
    </row>
    <row r="299" spans="1:11">
      <c r="A299" s="4" t="s">
        <v>49</v>
      </c>
      <c r="B299" s="7">
        <v>1</v>
      </c>
      <c r="C299" s="6">
        <f>IF(K299=1,1.0,0)</f>
        <v/>
      </c>
      <c r="D299" s="6">
        <f>IF(K299=1,0.79,0)</f>
        <v/>
      </c>
      <c r="E299" s="6">
        <f>IF(K299=1,0.89,0)</f>
        <v/>
      </c>
      <c r="F299" s="6">
        <f>IF(K299=1,0.89,0)</f>
        <v/>
      </c>
      <c r="G299" s="6">
        <f>IF(K299=1,0.9,0)</f>
        <v/>
      </c>
      <c r="H299" s="5" t="s">
        <v>17</v>
      </c>
      <c r="I299" s="5" t="s">
        <v>17</v>
      </c>
      <c r="J299" s="5" t="s">
        <v>17</v>
      </c>
      <c r="K299" s="8">
        <f>IF(OR(LOOKUP(A299,characters!A:A,characters!B:B)=-1, LOOKUP(A299,characters!A:A,characters!B:B)+0.1&gt;=B299),1,0)</f>
        <v/>
      </c>
    </row>
    <row r="300" spans="1:11">
      <c r="A300" s="4" t="s">
        <v>52</v>
      </c>
      <c r="B300" s="7">
        <v>1</v>
      </c>
      <c r="C300" s="6">
        <f>IF(K300=1,1.0,0)</f>
        <v/>
      </c>
      <c r="D300" s="6">
        <f>IF(K300=1,0.79,0)</f>
        <v/>
      </c>
      <c r="E300" s="6">
        <f>IF(K300=1,0.89,0)</f>
        <v/>
      </c>
      <c r="F300" s="6">
        <f>IF(K300=1,0.89,0)</f>
        <v/>
      </c>
      <c r="G300" s="6">
        <f>IF(K300=1,0.9,0)</f>
        <v/>
      </c>
      <c r="H300" s="5" t="s">
        <v>17</v>
      </c>
      <c r="I300" s="5" t="s">
        <v>17</v>
      </c>
      <c r="J300" s="5" t="s">
        <v>17</v>
      </c>
      <c r="K300" s="8">
        <f>IF(OR(LOOKUP(A300,characters!A:A,characters!B:B)=-1, LOOKUP(A300,characters!A:A,characters!B:B)+0.1&gt;=B300),1,0)</f>
        <v/>
      </c>
    </row>
    <row r="301" spans="1:11">
      <c r="A301" s="4" t="s">
        <v>90</v>
      </c>
      <c r="B301" s="7">
        <v>1</v>
      </c>
      <c r="C301" s="6">
        <f>IF(K301=1,1.0,0)</f>
        <v/>
      </c>
      <c r="D301" s="6">
        <f>IF(K301=1,0.8,0)</f>
        <v/>
      </c>
      <c r="E301" s="6">
        <f>IF(K301=1,0.9,0)</f>
        <v/>
      </c>
      <c r="F301" s="6">
        <f>IF(K301=1,0.9,0)</f>
        <v/>
      </c>
      <c r="G301" s="5" t="s">
        <v>17</v>
      </c>
      <c r="H301" s="6">
        <f>IF(K301=1,1.0,0)</f>
        <v/>
      </c>
      <c r="I301" s="5" t="s">
        <v>17</v>
      </c>
      <c r="J301" s="5" t="s">
        <v>17</v>
      </c>
      <c r="K301" s="8">
        <f>IF(OR(LOOKUP(A301,characters!A:A,characters!B:B)=-1, LOOKUP(A301,characters!A:A,characters!B:B)+0.1&gt;=B301),1,0)</f>
        <v/>
      </c>
    </row>
    <row r="302" spans="1:11">
      <c r="A302" s="4" t="s">
        <v>50</v>
      </c>
      <c r="B302" s="7">
        <v>2</v>
      </c>
      <c r="C302" s="6">
        <f>IF(K302=1,1.0,0)</f>
        <v/>
      </c>
      <c r="D302" s="6">
        <f>IF(K302=1,0.8,0)</f>
        <v/>
      </c>
      <c r="E302" s="6">
        <f>IF(K302=1,0.9,0)</f>
        <v/>
      </c>
      <c r="F302" s="6">
        <f>IF(K302=1,0.9,0)</f>
        <v/>
      </c>
      <c r="G302" s="5" t="s">
        <v>17</v>
      </c>
      <c r="H302" s="5" t="s">
        <v>17</v>
      </c>
      <c r="I302" s="5" t="s">
        <v>17</v>
      </c>
      <c r="J302" s="5" t="s">
        <v>17</v>
      </c>
      <c r="K302" s="8">
        <f>IF(OR(LOOKUP(A302,characters!A:A,characters!B:B)=-1, LOOKUP(A302,characters!A:A,characters!B:B)+0.1&gt;=B302),1,0)</f>
        <v/>
      </c>
    </row>
    <row r="303" spans="1:11">
      <c r="A303" s="4" t="s">
        <v>55</v>
      </c>
      <c r="B303" s="7">
        <v>2</v>
      </c>
      <c r="C303" s="6">
        <f>IF(K303=1,1.0,0)</f>
        <v/>
      </c>
      <c r="D303" s="6">
        <f>IF(K303=1,0.8,0)</f>
        <v/>
      </c>
      <c r="E303" s="6">
        <f>IF(K303=1,0.9,0)</f>
        <v/>
      </c>
      <c r="F303" s="6">
        <f>IF(K303=1,0.9,0)</f>
        <v/>
      </c>
      <c r="G303" s="5" t="s">
        <v>17</v>
      </c>
      <c r="H303" s="5" t="s">
        <v>17</v>
      </c>
      <c r="I303" s="5" t="s">
        <v>17</v>
      </c>
      <c r="J303" s="5" t="s">
        <v>17</v>
      </c>
      <c r="K303" s="8">
        <f>IF(OR(LOOKUP(A303,characters!A:A,characters!B:B)=-1, LOOKUP(A303,characters!A:A,characters!B:B)+0.1&gt;=B303),1,0)</f>
        <v/>
      </c>
    </row>
    <row r="304" spans="1:11">
      <c r="A304" s="4" t="s">
        <v>91</v>
      </c>
      <c r="B304" s="7">
        <v>2</v>
      </c>
      <c r="C304" s="6">
        <f>IF(K304=1,1.0,0)</f>
        <v/>
      </c>
      <c r="D304" s="6">
        <f>IF(K304=1,0.8,0)</f>
        <v/>
      </c>
      <c r="E304" s="6">
        <f>IF(K304=1,0.9,0)</f>
        <v/>
      </c>
      <c r="F304" s="6">
        <f>IF(K304=1,0.9,0)</f>
        <v/>
      </c>
      <c r="G304" s="5" t="s">
        <v>17</v>
      </c>
      <c r="H304" s="5" t="s">
        <v>17</v>
      </c>
      <c r="I304" s="5" t="s">
        <v>17</v>
      </c>
      <c r="J304" s="5" t="s">
        <v>17</v>
      </c>
      <c r="K304" s="8">
        <f>IF(OR(LOOKUP(A304,characters!A:A,characters!B:B)=-1, LOOKUP(A304,characters!A:A,characters!B:B)+0.1&gt;=B304),1,0)</f>
        <v/>
      </c>
    </row>
    <row r="305" spans="1:11">
      <c r="A305" s="4" t="s">
        <v>92</v>
      </c>
      <c r="B305" s="7">
        <v>2</v>
      </c>
      <c r="C305" s="6">
        <f>IF(K305=1,1.0,0)</f>
        <v/>
      </c>
      <c r="D305" s="6">
        <f>IF(K305=1,0.7,0)</f>
        <v/>
      </c>
      <c r="E305" s="6">
        <f>IF(K305=1,0.8,0)</f>
        <v/>
      </c>
      <c r="F305" s="6">
        <f>IF(K305=1,0.9,0)</f>
        <v/>
      </c>
      <c r="G305" s="5" t="s">
        <v>17</v>
      </c>
      <c r="H305" s="5" t="s">
        <v>17</v>
      </c>
      <c r="I305" s="5" t="s">
        <v>17</v>
      </c>
      <c r="J305" s="5" t="s">
        <v>17</v>
      </c>
      <c r="K305" s="8">
        <f>IF(OR(LOOKUP(A305,characters!A:A,characters!B:B)=-1, LOOKUP(A305,characters!A:A,characters!B:B)+0.1&gt;=B305),1,0)</f>
        <v/>
      </c>
    </row>
    <row r="306" spans="1:11">
      <c r="A306" s="4" t="s">
        <v>22</v>
      </c>
      <c r="B306" s="7">
        <v>3</v>
      </c>
      <c r="C306" s="6">
        <f>IF(K306=1,1.0,0)</f>
        <v/>
      </c>
      <c r="D306" s="6">
        <f>IF(K306=1,0.8,0)</f>
        <v/>
      </c>
      <c r="E306" s="6">
        <f>IF(K306=1,0.9,0)</f>
        <v/>
      </c>
      <c r="F306" s="6">
        <f>IF(K306=1,0.9,0)</f>
        <v/>
      </c>
      <c r="G306" s="5" t="s">
        <v>17</v>
      </c>
      <c r="H306" s="5" t="s">
        <v>17</v>
      </c>
      <c r="I306" s="5" t="s">
        <v>17</v>
      </c>
      <c r="J306" s="5" t="s">
        <v>17</v>
      </c>
      <c r="K306" s="8">
        <f>IF(OR(LOOKUP(A306,characters!A:A,characters!B:B)=-1, LOOKUP(A306,characters!A:A,characters!B:B)+0.1&gt;=B306),1,0)</f>
        <v/>
      </c>
    </row>
    <row r="307" spans="1:11">
      <c r="A307" s="4" t="s">
        <v>93</v>
      </c>
      <c r="B307" s="7">
        <v>4</v>
      </c>
      <c r="C307" s="6">
        <f>IF(K307=1,1.0,0)</f>
        <v/>
      </c>
      <c r="D307" s="6">
        <f>IF(K307=1,0.79,0)</f>
        <v/>
      </c>
      <c r="E307" s="6">
        <f>IF(K307=1,0.89,0)</f>
        <v/>
      </c>
      <c r="F307" s="6">
        <f>IF(K307=1,0.89,0)</f>
        <v/>
      </c>
      <c r="G307" s="6">
        <f>IF(K307=1,0.9,0)</f>
        <v/>
      </c>
      <c r="H307" s="5" t="s">
        <v>17</v>
      </c>
      <c r="I307" s="5" t="s">
        <v>17</v>
      </c>
      <c r="J307" s="5" t="s">
        <v>17</v>
      </c>
      <c r="K307" s="8">
        <f>IF(OR(LOOKUP(A307,characters!A:A,characters!B:B)=-1, LOOKUP(A307,characters!A:A,characters!B:B)+0.1&gt;=B307),1,0)</f>
        <v/>
      </c>
    </row>
    <row r="309" spans="1:11">
      <c r="A309" s="3" t="s">
        <v>30</v>
      </c>
      <c r="B309" s="3" t="s">
        <v>9</v>
      </c>
      <c r="C309" s="3" t="s">
        <v>11</v>
      </c>
      <c r="D309" s="3" t="s">
        <v>66</v>
      </c>
      <c r="E309" s="3" t="s">
        <v>63</v>
      </c>
      <c r="F309" s="3" t="s">
        <v>64</v>
      </c>
      <c r="G309" s="3" t="s">
        <v>45</v>
      </c>
      <c r="H309" s="3" t="s">
        <v>65</v>
      </c>
      <c r="I309" s="3" t="s">
        <v>47</v>
      </c>
      <c r="J309" s="3" t="s">
        <v>46</v>
      </c>
    </row>
    <row r="310" spans="1:11">
      <c r="A310" s="4" t="s">
        <v>16</v>
      </c>
      <c r="B310" s="5" t="s">
        <v>17</v>
      </c>
      <c r="C310" s="6">
        <f>IF(SUM(K311:K334)=0,0,SUM(C311:C334)/SUM(K311:K334))</f>
        <v/>
      </c>
      <c r="D310" s="6">
        <f>IF(SUM(K311:K334)=0,0,SUM(D311:D334)/SUM(K311:K334))</f>
        <v/>
      </c>
      <c r="E310" s="6">
        <f>IF(SUM(K311:K334)=0,0,SUM(E311:E334)/SUM(K311:K334))</f>
        <v/>
      </c>
      <c r="F310" s="6">
        <f>IF(SUM(K311:K334)=0,0,SUM(F311:F334)/SUM(K311:K334))</f>
        <v/>
      </c>
      <c r="G310" s="6">
        <f>IF(SUM(K311:K334)=0,0,SUM(G311:G334)/SUM(K311:K334))</f>
        <v/>
      </c>
      <c r="H310" s="6">
        <f>IF(SUM(K311:K334)=0,0,SUM(H311:H334)/SUM(K311:K334))</f>
        <v/>
      </c>
      <c r="I310" s="6">
        <f>IF(SUM(K311:K334)=0,0,SUM(I311:I334)/SUM(K311:K334))</f>
        <v/>
      </c>
      <c r="J310" s="6">
        <f>IF(SUM(K311:K334)=0,0,SUM(J311:J334)/SUM(K311:K334))</f>
        <v/>
      </c>
    </row>
    <row r="311" spans="1:11">
      <c r="A311" s="4" t="s">
        <v>22</v>
      </c>
      <c r="B311" s="7">
        <v>3</v>
      </c>
      <c r="C311" s="6">
        <f>IF(K311=1,1.0,0)</f>
        <v/>
      </c>
      <c r="D311" s="6">
        <f>IF(K311=1,0.9,0)</f>
        <v/>
      </c>
      <c r="E311" s="5" t="s">
        <v>17</v>
      </c>
      <c r="F311" s="5" t="s">
        <v>17</v>
      </c>
      <c r="G311" s="5" t="s">
        <v>17</v>
      </c>
      <c r="H311" s="5" t="s">
        <v>17</v>
      </c>
      <c r="I311" s="5" t="s">
        <v>17</v>
      </c>
      <c r="J311" s="5" t="s">
        <v>17</v>
      </c>
      <c r="K311" s="8">
        <f>IF(OR(LOOKUP(A311,characters!A:A,characters!B:B)=-1, LOOKUP(A311,characters!A:A,characters!B:B)+0.1&gt;=B311),1,0)</f>
        <v/>
      </c>
    </row>
    <row r="312" spans="1:11">
      <c r="A312" s="4" t="s">
        <v>50</v>
      </c>
      <c r="B312" s="7">
        <v>2</v>
      </c>
      <c r="C312" s="6">
        <f>IF(K312=1,1.0,0)</f>
        <v/>
      </c>
      <c r="D312" s="5" t="s">
        <v>17</v>
      </c>
      <c r="E312" s="6">
        <f>IF(K312=1,1.0,0)</f>
        <v/>
      </c>
      <c r="F312" s="5" t="s">
        <v>17</v>
      </c>
      <c r="G312" s="5" t="s">
        <v>17</v>
      </c>
      <c r="H312" s="5" t="s">
        <v>17</v>
      </c>
      <c r="I312" s="5" t="s">
        <v>17</v>
      </c>
      <c r="J312" s="5" t="s">
        <v>17</v>
      </c>
      <c r="K312" s="8">
        <f>IF(OR(LOOKUP(A312,characters!A:A,characters!B:B)=-1, LOOKUP(A312,characters!A:A,characters!B:B)+0.1&gt;=B312),1,0)</f>
        <v/>
      </c>
    </row>
    <row r="313" spans="1:11">
      <c r="A313" s="4" t="s">
        <v>18</v>
      </c>
      <c r="B313" s="7">
        <v>1</v>
      </c>
      <c r="C313" s="6">
        <f>IF(K313=1,0.9,0)</f>
        <v/>
      </c>
      <c r="D313" s="6">
        <f>IF(K313=1,1.0,0)</f>
        <v/>
      </c>
      <c r="E313" s="5" t="s">
        <v>17</v>
      </c>
      <c r="F313" s="5" t="s">
        <v>17</v>
      </c>
      <c r="G313" s="5" t="s">
        <v>17</v>
      </c>
      <c r="H313" s="5" t="s">
        <v>17</v>
      </c>
      <c r="I313" s="5" t="s">
        <v>17</v>
      </c>
      <c r="J313" s="5" t="s">
        <v>17</v>
      </c>
      <c r="K313" s="8">
        <f>IF(OR(LOOKUP(A313,characters!A:A,characters!B:B)=-1, LOOKUP(A313,characters!A:A,characters!B:B)+0.1&gt;=B313),1,0)</f>
        <v/>
      </c>
    </row>
    <row r="314" spans="1:11">
      <c r="A314" s="4" t="s">
        <v>76</v>
      </c>
      <c r="B314" s="7">
        <v>1</v>
      </c>
      <c r="C314" s="6">
        <f>IF(K314=1,0.9,0)</f>
        <v/>
      </c>
      <c r="D314" s="5" t="s">
        <v>17</v>
      </c>
      <c r="E314" s="5" t="s">
        <v>17</v>
      </c>
      <c r="F314" s="6">
        <f>IF(K314=1,1.0,0)</f>
        <v/>
      </c>
      <c r="G314" s="5" t="s">
        <v>17</v>
      </c>
      <c r="H314" s="5" t="s">
        <v>17</v>
      </c>
      <c r="I314" s="5" t="s">
        <v>17</v>
      </c>
      <c r="J314" s="5" t="s">
        <v>17</v>
      </c>
      <c r="K314" s="8">
        <f>IF(OR(LOOKUP(A314,characters!A:A,characters!B:B)=-1, LOOKUP(A314,characters!A:A,characters!B:B)+0.1&gt;=B314),1,0)</f>
        <v/>
      </c>
    </row>
    <row r="315" spans="1:11">
      <c r="A315" s="4" t="s">
        <v>85</v>
      </c>
      <c r="B315" s="7">
        <v>1</v>
      </c>
      <c r="C315" s="6">
        <f>IF(K315=1,0.99,0)</f>
        <v/>
      </c>
      <c r="D315" s="5" t="s">
        <v>17</v>
      </c>
      <c r="E315" s="5" t="s">
        <v>17</v>
      </c>
      <c r="F315" s="6">
        <f>IF(K315=1,1.0,0)</f>
        <v/>
      </c>
      <c r="G315" s="5" t="s">
        <v>17</v>
      </c>
      <c r="H315" s="5" t="s">
        <v>17</v>
      </c>
      <c r="I315" s="5" t="s">
        <v>17</v>
      </c>
      <c r="J315" s="5" t="s">
        <v>17</v>
      </c>
      <c r="K315" s="8">
        <f>IF(OR(LOOKUP(A315,characters!A:A,characters!B:B)=-1, LOOKUP(A315,characters!A:A,characters!B:B)+0.1&gt;=B315),1,0)</f>
        <v/>
      </c>
    </row>
    <row r="316" spans="1:11">
      <c r="A316" s="4" t="s">
        <v>86</v>
      </c>
      <c r="B316" s="7">
        <v>1</v>
      </c>
      <c r="C316" s="6">
        <f>IF(K316=1,0.9,0)</f>
        <v/>
      </c>
      <c r="D316" s="5" t="s">
        <v>17</v>
      </c>
      <c r="E316" s="5" t="s">
        <v>17</v>
      </c>
      <c r="F316" s="5" t="s">
        <v>17</v>
      </c>
      <c r="G316" s="6">
        <f>IF(K316=1,1.0,0)</f>
        <v/>
      </c>
      <c r="H316" s="5" t="s">
        <v>17</v>
      </c>
      <c r="I316" s="5" t="s">
        <v>17</v>
      </c>
      <c r="J316" s="5" t="s">
        <v>17</v>
      </c>
      <c r="K316" s="8">
        <f>IF(OR(LOOKUP(A316,characters!A:A,characters!B:B)=-1, LOOKUP(A316,characters!A:A,characters!B:B)+0.1&gt;=B316),1,0)</f>
        <v/>
      </c>
    </row>
    <row r="317" spans="1:11">
      <c r="A317" s="4" t="s">
        <v>55</v>
      </c>
      <c r="B317" s="7">
        <v>2</v>
      </c>
      <c r="C317" s="6">
        <f>IF(K317=1,0.99,0)</f>
        <v/>
      </c>
      <c r="D317" s="5" t="s">
        <v>17</v>
      </c>
      <c r="E317" s="5" t="s">
        <v>17</v>
      </c>
      <c r="F317" s="5" t="s">
        <v>17</v>
      </c>
      <c r="G317" s="6">
        <f>IF(K317=1,1.0,0)</f>
        <v/>
      </c>
      <c r="H317" s="5" t="s">
        <v>17</v>
      </c>
      <c r="I317" s="5" t="s">
        <v>17</v>
      </c>
      <c r="J317" s="5" t="s">
        <v>17</v>
      </c>
      <c r="K317" s="8">
        <f>IF(OR(LOOKUP(A317,characters!A:A,characters!B:B)=-1, LOOKUP(A317,characters!A:A,characters!B:B)+0.1&gt;=B317),1,0)</f>
        <v/>
      </c>
    </row>
    <row r="318" spans="1:11">
      <c r="A318" s="4" t="s">
        <v>82</v>
      </c>
      <c r="B318" s="7">
        <v>0</v>
      </c>
      <c r="C318" s="6">
        <f>IF(K318=1,0.9,0)</f>
        <v/>
      </c>
      <c r="D318" s="5" t="s">
        <v>17</v>
      </c>
      <c r="E318" s="5" t="s">
        <v>17</v>
      </c>
      <c r="F318" s="5" t="s">
        <v>17</v>
      </c>
      <c r="G318" s="5" t="s">
        <v>17</v>
      </c>
      <c r="H318" s="6">
        <f>IF(K318=1,1.0,0)</f>
        <v/>
      </c>
      <c r="I318" s="5" t="s">
        <v>17</v>
      </c>
      <c r="J318" s="5" t="s">
        <v>17</v>
      </c>
      <c r="K318" s="8">
        <f>IF(OR(LOOKUP(A318,characters!A:A,characters!B:B)=-1, LOOKUP(A318,characters!A:A,characters!B:B)+0.1&gt;=B318),1,0)</f>
        <v/>
      </c>
    </row>
    <row r="319" spans="1:11">
      <c r="A319" s="4" t="s">
        <v>80</v>
      </c>
      <c r="B319" s="7">
        <v>0</v>
      </c>
      <c r="C319" s="6">
        <f>IF(K319=1,0.9,0)</f>
        <v/>
      </c>
      <c r="D319" s="5" t="s">
        <v>17</v>
      </c>
      <c r="E319" s="5" t="s">
        <v>17</v>
      </c>
      <c r="F319" s="5" t="s">
        <v>17</v>
      </c>
      <c r="G319" s="5" t="s">
        <v>17</v>
      </c>
      <c r="H319" s="6">
        <f>IF(K319=1,1.0,0)</f>
        <v/>
      </c>
      <c r="I319" s="5" t="s">
        <v>17</v>
      </c>
      <c r="J319" s="5" t="s">
        <v>17</v>
      </c>
      <c r="K319" s="8">
        <f>IF(OR(LOOKUP(A319,characters!A:A,characters!B:B)=-1, LOOKUP(A319,characters!A:A,characters!B:B)+0.1&gt;=B319),1,0)</f>
        <v/>
      </c>
    </row>
    <row r="320" spans="1:11">
      <c r="A320" s="4" t="s">
        <v>87</v>
      </c>
      <c r="B320" s="7">
        <v>1</v>
      </c>
      <c r="C320" s="6">
        <f>IF(K320=1,0.9,0)</f>
        <v/>
      </c>
      <c r="D320" s="5" t="s">
        <v>17</v>
      </c>
      <c r="E320" s="5" t="s">
        <v>17</v>
      </c>
      <c r="F320" s="5" t="s">
        <v>17</v>
      </c>
      <c r="G320" s="5" t="s">
        <v>17</v>
      </c>
      <c r="H320" s="5" t="s">
        <v>17</v>
      </c>
      <c r="I320" s="6">
        <f>IF(K320=1,1.0,0)</f>
        <v/>
      </c>
      <c r="J320" s="5" t="s">
        <v>17</v>
      </c>
      <c r="K320" s="8">
        <f>IF(OR(LOOKUP(A320,characters!A:A,characters!B:B)=-1, LOOKUP(A320,characters!A:A,characters!B:B)+0.1&gt;=B320),1,0)</f>
        <v/>
      </c>
    </row>
    <row r="321" spans="1:11">
      <c r="A321" s="4" t="s">
        <v>20</v>
      </c>
      <c r="B321" s="7">
        <v>0</v>
      </c>
      <c r="C321" s="6">
        <f>IF(K321=1,0.9,0)</f>
        <v/>
      </c>
      <c r="D321" s="6">
        <f>IF(K321=1,1.0,0)</f>
        <v/>
      </c>
      <c r="E321" s="5" t="s">
        <v>17</v>
      </c>
      <c r="F321" s="5" t="s">
        <v>17</v>
      </c>
      <c r="G321" s="5" t="s">
        <v>17</v>
      </c>
      <c r="H321" s="5" t="s">
        <v>17</v>
      </c>
      <c r="I321" s="5" t="s">
        <v>17</v>
      </c>
      <c r="J321" s="5" t="s">
        <v>17</v>
      </c>
      <c r="K321" s="8">
        <f>IF(OR(LOOKUP(A321,characters!A:A,characters!B:B)=-1, LOOKUP(A321,characters!A:A,characters!B:B)+0.1&gt;=B321),1,0)</f>
        <v/>
      </c>
    </row>
    <row r="322" spans="1:11">
      <c r="A322" s="4" t="s">
        <v>53</v>
      </c>
      <c r="B322" s="7">
        <v>1</v>
      </c>
      <c r="C322" s="6">
        <f>IF(K322=1,0.9,0)</f>
        <v/>
      </c>
      <c r="D322" s="5" t="s">
        <v>17</v>
      </c>
      <c r="E322" s="6">
        <f>IF(K322=1,1.0,0)</f>
        <v/>
      </c>
      <c r="F322" s="5" t="s">
        <v>17</v>
      </c>
      <c r="G322" s="5" t="s">
        <v>17</v>
      </c>
      <c r="H322" s="5" t="s">
        <v>17</v>
      </c>
      <c r="I322" s="5" t="s">
        <v>17</v>
      </c>
      <c r="J322" s="5" t="s">
        <v>17</v>
      </c>
      <c r="K322" s="8">
        <f>IF(OR(LOOKUP(A322,characters!A:A,characters!B:B)=-1, LOOKUP(A322,characters!A:A,characters!B:B)+0.1&gt;=B322),1,0)</f>
        <v/>
      </c>
    </row>
    <row r="323" spans="1:11">
      <c r="A323" s="4" t="s">
        <v>91</v>
      </c>
      <c r="B323" s="7">
        <v>2</v>
      </c>
      <c r="C323" s="6">
        <f>IF(K323=1,0.99,0)</f>
        <v/>
      </c>
      <c r="D323" s="5" t="s">
        <v>17</v>
      </c>
      <c r="E323" s="5" t="s">
        <v>17</v>
      </c>
      <c r="F323" s="5" t="s">
        <v>17</v>
      </c>
      <c r="G323" s="6">
        <f>IF(K323=1,1.0,0)</f>
        <v/>
      </c>
      <c r="H323" s="5" t="s">
        <v>17</v>
      </c>
      <c r="I323" s="5" t="s">
        <v>17</v>
      </c>
      <c r="J323" s="5" t="s">
        <v>17</v>
      </c>
      <c r="K323" s="8">
        <f>IF(OR(LOOKUP(A323,characters!A:A,characters!B:B)=-1, LOOKUP(A323,characters!A:A,characters!B:B)+0.1&gt;=B323),1,0)</f>
        <v/>
      </c>
    </row>
    <row r="324" spans="1:11">
      <c r="A324" s="4" t="s">
        <v>83</v>
      </c>
      <c r="B324" s="7">
        <v>0</v>
      </c>
      <c r="C324" s="6">
        <f>IF(K324=1,0.99,0)</f>
        <v/>
      </c>
      <c r="D324" s="5" t="s">
        <v>17</v>
      </c>
      <c r="E324" s="5" t="s">
        <v>17</v>
      </c>
      <c r="F324" s="5" t="s">
        <v>17</v>
      </c>
      <c r="G324" s="5" t="s">
        <v>17</v>
      </c>
      <c r="H324" s="5" t="s">
        <v>17</v>
      </c>
      <c r="I324" s="6">
        <f>IF(K324=1,1.0,0)</f>
        <v/>
      </c>
      <c r="J324" s="5" t="s">
        <v>17</v>
      </c>
      <c r="K324" s="8">
        <f>IF(OR(LOOKUP(A324,characters!A:A,characters!B:B)=-1, LOOKUP(A324,characters!A:A,characters!B:B)+0.1&gt;=B324),1,0)</f>
        <v/>
      </c>
    </row>
    <row r="325" spans="1:11">
      <c r="A325" s="4" t="s">
        <v>88</v>
      </c>
      <c r="B325" s="7">
        <v>1</v>
      </c>
      <c r="C325" s="5" t="s">
        <v>17</v>
      </c>
      <c r="D325" s="5" t="s">
        <v>17</v>
      </c>
      <c r="E325" s="5" t="s">
        <v>17</v>
      </c>
      <c r="F325" s="5" t="s">
        <v>17</v>
      </c>
      <c r="G325" s="5" t="s">
        <v>17</v>
      </c>
      <c r="H325" s="5" t="s">
        <v>17</v>
      </c>
      <c r="I325" s="5" t="s">
        <v>17</v>
      </c>
      <c r="J325" s="6">
        <f>IF(K325=1,1.0,0)</f>
        <v/>
      </c>
      <c r="K325" s="8">
        <f>IF(OR(LOOKUP(A325,characters!A:A,characters!B:B)=-1, LOOKUP(A325,characters!A:A,characters!B:B)+0.1&gt;=B325),1,0)</f>
        <v/>
      </c>
    </row>
    <row r="326" spans="1:11">
      <c r="A326" s="4" t="s">
        <v>75</v>
      </c>
      <c r="B326" s="7">
        <v>0</v>
      </c>
      <c r="C326" s="6">
        <f>IF(K326=1,0.9,0)</f>
        <v/>
      </c>
      <c r="D326" s="5" t="s">
        <v>17</v>
      </c>
      <c r="E326" s="5" t="s">
        <v>17</v>
      </c>
      <c r="F326" s="6">
        <f>IF(K326=1,1.0,0)</f>
        <v/>
      </c>
      <c r="G326" s="5" t="s">
        <v>17</v>
      </c>
      <c r="H326" s="5" t="s">
        <v>17</v>
      </c>
      <c r="I326" s="5" t="s">
        <v>17</v>
      </c>
      <c r="J326" s="5" t="s">
        <v>17</v>
      </c>
      <c r="K326" s="8">
        <f>IF(OR(LOOKUP(A326,characters!A:A,characters!B:B)=-1, LOOKUP(A326,characters!A:A,characters!B:B)+0.1&gt;=B326),1,0)</f>
        <v/>
      </c>
    </row>
    <row r="327" spans="1:11">
      <c r="A327" s="4" t="s">
        <v>89</v>
      </c>
      <c r="B327" s="7">
        <v>1</v>
      </c>
      <c r="C327" s="6">
        <f>IF(K327=1,0.99,0)</f>
        <v/>
      </c>
      <c r="D327" s="5" t="s">
        <v>17</v>
      </c>
      <c r="E327" s="5" t="s">
        <v>17</v>
      </c>
      <c r="F327" s="5" t="s">
        <v>17</v>
      </c>
      <c r="G327" s="5" t="s">
        <v>17</v>
      </c>
      <c r="H327" s="5" t="s">
        <v>17</v>
      </c>
      <c r="I327" s="5" t="s">
        <v>17</v>
      </c>
      <c r="J327" s="6">
        <f>IF(K327=1,1.0,0)</f>
        <v/>
      </c>
      <c r="K327" s="8">
        <f>IF(OR(LOOKUP(A327,characters!A:A,characters!B:B)=-1, LOOKUP(A327,characters!A:A,characters!B:B)+0.1&gt;=B327),1,0)</f>
        <v/>
      </c>
    </row>
    <row r="328" spans="1:11">
      <c r="A328" s="4" t="s">
        <v>21</v>
      </c>
      <c r="B328" s="7">
        <v>0</v>
      </c>
      <c r="C328" s="6">
        <f>IF(K328=1,0.99,0)</f>
        <v/>
      </c>
      <c r="D328" s="6">
        <f>IF(K328=1,1.0,0)</f>
        <v/>
      </c>
      <c r="E328" s="5" t="s">
        <v>17</v>
      </c>
      <c r="F328" s="5" t="s">
        <v>17</v>
      </c>
      <c r="G328" s="5" t="s">
        <v>17</v>
      </c>
      <c r="H328" s="5" t="s">
        <v>17</v>
      </c>
      <c r="I328" s="5" t="s">
        <v>17</v>
      </c>
      <c r="J328" s="5" t="s">
        <v>17</v>
      </c>
      <c r="K328" s="8">
        <f>IF(OR(LOOKUP(A328,characters!A:A,characters!B:B)=-1, LOOKUP(A328,characters!A:A,characters!B:B)+0.1&gt;=B328),1,0)</f>
        <v/>
      </c>
    </row>
    <row r="329" spans="1:11">
      <c r="A329" s="4" t="s">
        <v>49</v>
      </c>
      <c r="B329" s="7">
        <v>1</v>
      </c>
      <c r="C329" s="6">
        <f>IF(K329=1,0.99,0)</f>
        <v/>
      </c>
      <c r="D329" s="5" t="s">
        <v>17</v>
      </c>
      <c r="E329" s="6">
        <f>IF(K329=1,1.0,0)</f>
        <v/>
      </c>
      <c r="F329" s="5" t="s">
        <v>17</v>
      </c>
      <c r="G329" s="5" t="s">
        <v>17</v>
      </c>
      <c r="H329" s="5" t="s">
        <v>17</v>
      </c>
      <c r="I329" s="5" t="s">
        <v>17</v>
      </c>
      <c r="J329" s="5" t="s">
        <v>17</v>
      </c>
      <c r="K329" s="8">
        <f>IF(OR(LOOKUP(A329,characters!A:A,characters!B:B)=-1, LOOKUP(A329,characters!A:A,characters!B:B)+0.1&gt;=B329),1,0)</f>
        <v/>
      </c>
    </row>
    <row r="330" spans="1:11">
      <c r="A330" s="4" t="s">
        <v>92</v>
      </c>
      <c r="B330" s="7">
        <v>2</v>
      </c>
      <c r="C330" s="6">
        <f>IF(K330=1,0.9,0)</f>
        <v/>
      </c>
      <c r="D330" s="5" t="s">
        <v>17</v>
      </c>
      <c r="E330" s="5" t="s">
        <v>17</v>
      </c>
      <c r="F330" s="5" t="s">
        <v>17</v>
      </c>
      <c r="G330" s="5" t="s">
        <v>17</v>
      </c>
      <c r="H330" s="5" t="s">
        <v>17</v>
      </c>
      <c r="I330" s="6">
        <f>IF(K330=1,1.0,0)</f>
        <v/>
      </c>
      <c r="J330" s="5" t="s">
        <v>17</v>
      </c>
      <c r="K330" s="8">
        <f>IF(OR(LOOKUP(A330,characters!A:A,characters!B:B)=-1, LOOKUP(A330,characters!A:A,characters!B:B)+0.1&gt;=B330),1,0)</f>
        <v/>
      </c>
    </row>
    <row r="331" spans="1:11">
      <c r="A331" s="4" t="s">
        <v>52</v>
      </c>
      <c r="B331" s="7">
        <v>1</v>
      </c>
      <c r="C331" s="6">
        <f>IF(K331=1,0.9,0)</f>
        <v/>
      </c>
      <c r="D331" s="5" t="s">
        <v>17</v>
      </c>
      <c r="E331" s="6">
        <f>IF(K331=1,1.0,0)</f>
        <v/>
      </c>
      <c r="F331" s="5" t="s">
        <v>17</v>
      </c>
      <c r="G331" s="5" t="s">
        <v>17</v>
      </c>
      <c r="H331" s="5" t="s">
        <v>17</v>
      </c>
      <c r="I331" s="5" t="s">
        <v>17</v>
      </c>
      <c r="J331" s="5" t="s">
        <v>17</v>
      </c>
      <c r="K331" s="8">
        <f>IF(OR(LOOKUP(A331,characters!A:A,characters!B:B)=-1, LOOKUP(A331,characters!A:A,characters!B:B)+0.1&gt;=B331),1,0)</f>
        <v/>
      </c>
    </row>
    <row r="332" spans="1:11">
      <c r="A332" s="4" t="s">
        <v>90</v>
      </c>
      <c r="B332" s="7">
        <v>1</v>
      </c>
      <c r="C332" s="6">
        <f>IF(K332=1,0.9,0)</f>
        <v/>
      </c>
      <c r="D332" s="5" t="s">
        <v>17</v>
      </c>
      <c r="E332" s="5" t="s">
        <v>17</v>
      </c>
      <c r="F332" s="5" t="s">
        <v>17</v>
      </c>
      <c r="G332" s="6">
        <f>IF(K332=1,1.0,0)</f>
        <v/>
      </c>
      <c r="H332" s="5" t="s">
        <v>17</v>
      </c>
      <c r="I332" s="5" t="s">
        <v>17</v>
      </c>
      <c r="J332" s="5" t="s">
        <v>17</v>
      </c>
      <c r="K332" s="8">
        <f>IF(OR(LOOKUP(A332,characters!A:A,characters!B:B)=-1, LOOKUP(A332,characters!A:A,characters!B:B)+0.1&gt;=B332),1,0)</f>
        <v/>
      </c>
    </row>
    <row r="333" spans="1:11">
      <c r="A333" s="4" t="s">
        <v>93</v>
      </c>
      <c r="B333" s="7">
        <v>4</v>
      </c>
      <c r="C333" s="6">
        <f>IF(K333=1,1.0,0)</f>
        <v/>
      </c>
      <c r="D333" s="5" t="s">
        <v>17</v>
      </c>
      <c r="E333" s="5" t="s">
        <v>17</v>
      </c>
      <c r="F333" s="5" t="s">
        <v>17</v>
      </c>
      <c r="G333" s="5" t="s">
        <v>17</v>
      </c>
      <c r="H333" s="5" t="s">
        <v>17</v>
      </c>
      <c r="I333" s="5" t="s">
        <v>17</v>
      </c>
      <c r="J333" s="6">
        <f>IF(K333=1,0.9,0)</f>
        <v/>
      </c>
      <c r="K333" s="8">
        <f>IF(OR(LOOKUP(A333,characters!A:A,characters!B:B)=-1, LOOKUP(A333,characters!A:A,characters!B:B)+0.1&gt;=B333),1,0)</f>
        <v/>
      </c>
    </row>
    <row r="334" spans="1:11">
      <c r="A334" s="4" t="s">
        <v>84</v>
      </c>
      <c r="B334" s="7">
        <v>0</v>
      </c>
      <c r="C334" s="6">
        <f>IF(K334=1,0.99,0)</f>
        <v/>
      </c>
      <c r="D334" s="5" t="s">
        <v>17</v>
      </c>
      <c r="E334" s="5" t="s">
        <v>17</v>
      </c>
      <c r="F334" s="5" t="s">
        <v>17</v>
      </c>
      <c r="G334" s="5" t="s">
        <v>17</v>
      </c>
      <c r="H334" s="5" t="s">
        <v>17</v>
      </c>
      <c r="I334" s="6">
        <f>IF(K334=1,1.0,0)</f>
        <v/>
      </c>
      <c r="J334" s="5" t="s">
        <v>17</v>
      </c>
      <c r="K334" s="8">
        <f>IF(OR(LOOKUP(A334,characters!A:A,characters!B:B)=-1, LOOKUP(A334,characters!A:A,characters!B:B)+0.1&gt;=B334),1,0)</f>
        <v/>
      </c>
    </row>
    <row r="336" spans="1:11">
      <c r="A336" s="3" t="s">
        <v>31</v>
      </c>
      <c r="B336" s="3" t="s">
        <v>9</v>
      </c>
      <c r="C336" s="3" t="s">
        <v>11</v>
      </c>
      <c r="D336" s="3" t="s">
        <v>15</v>
      </c>
      <c r="E336" s="3" t="s">
        <v>32</v>
      </c>
    </row>
    <row r="337" spans="1:6">
      <c r="A337" s="4" t="s">
        <v>16</v>
      </c>
      <c r="B337" s="5" t="s">
        <v>17</v>
      </c>
      <c r="C337" s="6">
        <f>IF(SUM(F338:F361)=0,0,SUM(C338:C361)/SUM(F338:F361))</f>
        <v/>
      </c>
      <c r="D337" s="6">
        <f>IF(SUM(F338:F361)=0,0,SUM(D338:D361)/SUM(F338:F361))</f>
        <v/>
      </c>
      <c r="E337" s="6">
        <f>IF(SUM(F338:F361)=0,0,SUM(E338:E361)/SUM(F338:F361))</f>
        <v/>
      </c>
    </row>
    <row r="338" spans="1:6">
      <c r="A338" s="4" t="s">
        <v>22</v>
      </c>
      <c r="B338" s="7">
        <v>3</v>
      </c>
      <c r="C338" s="6">
        <f>IF(F338=1,1.0,0)</f>
        <v/>
      </c>
      <c r="D338" s="5" t="s">
        <v>17</v>
      </c>
      <c r="E338" s="5" t="s">
        <v>17</v>
      </c>
      <c r="F338" s="8">
        <f>IF(OR(LOOKUP(A338,characters!A:A,characters!B:B)=-1, LOOKUP(A338,characters!A:A,characters!B:B)+0.1&gt;=B338),1,0)</f>
        <v/>
      </c>
    </row>
    <row r="339" spans="1:6">
      <c r="A339" s="4" t="s">
        <v>50</v>
      </c>
      <c r="B339" s="7">
        <v>2</v>
      </c>
      <c r="C339" s="6">
        <f>IF(F339=1,1.0,0)</f>
        <v/>
      </c>
      <c r="D339" s="5" t="s">
        <v>17</v>
      </c>
      <c r="E339" s="5" t="s">
        <v>17</v>
      </c>
      <c r="F339" s="8">
        <f>IF(OR(LOOKUP(A339,characters!A:A,characters!B:B)=-1, LOOKUP(A339,characters!A:A,characters!B:B)+0.1&gt;=B339),1,0)</f>
        <v/>
      </c>
    </row>
    <row r="340" spans="1:6">
      <c r="A340" s="4" t="s">
        <v>18</v>
      </c>
      <c r="B340" s="7">
        <v>1</v>
      </c>
      <c r="C340" s="6">
        <f>IF(F340=1,1.0,0)</f>
        <v/>
      </c>
      <c r="D340" s="5" t="s">
        <v>17</v>
      </c>
      <c r="E340" s="5" t="s">
        <v>17</v>
      </c>
      <c r="F340" s="8">
        <f>IF(OR(LOOKUP(A340,characters!A:A,characters!B:B)=-1, LOOKUP(A340,characters!A:A,characters!B:B)+0.1&gt;=B340),1,0)</f>
        <v/>
      </c>
    </row>
    <row r="341" spans="1:6">
      <c r="A341" s="4" t="s">
        <v>76</v>
      </c>
      <c r="B341" s="7">
        <v>1</v>
      </c>
      <c r="C341" s="6">
        <f>IF(F341=1,1.0,0)</f>
        <v/>
      </c>
      <c r="D341" s="5" t="s">
        <v>17</v>
      </c>
      <c r="E341" s="5" t="s">
        <v>17</v>
      </c>
      <c r="F341" s="8">
        <f>IF(OR(LOOKUP(A341,characters!A:A,characters!B:B)=-1, LOOKUP(A341,characters!A:A,characters!B:B)+0.1&gt;=B341),1,0)</f>
        <v/>
      </c>
    </row>
    <row r="342" spans="1:6">
      <c r="A342" s="4" t="s">
        <v>85</v>
      </c>
      <c r="B342" s="7">
        <v>1</v>
      </c>
      <c r="C342" s="6">
        <f>IF(F342=1,1.0,0)</f>
        <v/>
      </c>
      <c r="D342" s="5" t="s">
        <v>17</v>
      </c>
      <c r="E342" s="5" t="s">
        <v>17</v>
      </c>
      <c r="F342" s="8">
        <f>IF(OR(LOOKUP(A342,characters!A:A,characters!B:B)=-1, LOOKUP(A342,characters!A:A,characters!B:B)+0.1&gt;=B342),1,0)</f>
        <v/>
      </c>
    </row>
    <row r="343" spans="1:6">
      <c r="A343" s="4" t="s">
        <v>86</v>
      </c>
      <c r="B343" s="7">
        <v>1</v>
      </c>
      <c r="C343" s="6">
        <f>IF(F343=1,1.0,0)</f>
        <v/>
      </c>
      <c r="D343" s="5" t="s">
        <v>17</v>
      </c>
      <c r="E343" s="5" t="s">
        <v>17</v>
      </c>
      <c r="F343" s="8">
        <f>IF(OR(LOOKUP(A343,characters!A:A,characters!B:B)=-1, LOOKUP(A343,characters!A:A,characters!B:B)+0.1&gt;=B343),1,0)</f>
        <v/>
      </c>
    </row>
    <row r="344" spans="1:6">
      <c r="A344" s="4" t="s">
        <v>55</v>
      </c>
      <c r="B344" s="7">
        <v>2</v>
      </c>
      <c r="C344" s="6">
        <f>IF(F344=1,1.0,0)</f>
        <v/>
      </c>
      <c r="D344" s="5" t="s">
        <v>17</v>
      </c>
      <c r="E344" s="5" t="s">
        <v>17</v>
      </c>
      <c r="F344" s="8">
        <f>IF(OR(LOOKUP(A344,characters!A:A,characters!B:B)=-1, LOOKUP(A344,characters!A:A,characters!B:B)+0.1&gt;=B344),1,0)</f>
        <v/>
      </c>
    </row>
    <row r="345" spans="1:6">
      <c r="A345" s="4" t="s">
        <v>82</v>
      </c>
      <c r="B345" s="7">
        <v>0</v>
      </c>
      <c r="C345" s="6">
        <f>IF(F345=1,1.0,0)</f>
        <v/>
      </c>
      <c r="D345" s="5" t="s">
        <v>17</v>
      </c>
      <c r="E345" s="5" t="s">
        <v>17</v>
      </c>
      <c r="F345" s="8">
        <f>IF(OR(LOOKUP(A345,characters!A:A,characters!B:B)=-1, LOOKUP(A345,characters!A:A,characters!B:B)+0.1&gt;=B345),1,0)</f>
        <v/>
      </c>
    </row>
    <row r="346" spans="1:6">
      <c r="A346" s="4" t="s">
        <v>80</v>
      </c>
      <c r="B346" s="7">
        <v>0</v>
      </c>
      <c r="C346" s="6">
        <f>IF(F346=1,1.0,0)</f>
        <v/>
      </c>
      <c r="D346" s="5" t="s">
        <v>17</v>
      </c>
      <c r="E346" s="5" t="s">
        <v>17</v>
      </c>
      <c r="F346" s="8">
        <f>IF(OR(LOOKUP(A346,characters!A:A,characters!B:B)=-1, LOOKUP(A346,characters!A:A,characters!B:B)+0.1&gt;=B346),1,0)</f>
        <v/>
      </c>
    </row>
    <row r="347" spans="1:6">
      <c r="A347" s="4" t="s">
        <v>87</v>
      </c>
      <c r="B347" s="7">
        <v>1</v>
      </c>
      <c r="C347" s="6">
        <f>IF(F347=1,1.0,0)</f>
        <v/>
      </c>
      <c r="D347" s="5" t="s">
        <v>17</v>
      </c>
      <c r="E347" s="5" t="s">
        <v>17</v>
      </c>
      <c r="F347" s="8">
        <f>IF(OR(LOOKUP(A347,characters!A:A,characters!B:B)=-1, LOOKUP(A347,characters!A:A,characters!B:B)+0.1&gt;=B347),1,0)</f>
        <v/>
      </c>
    </row>
    <row r="348" spans="1:6">
      <c r="A348" s="4" t="s">
        <v>20</v>
      </c>
      <c r="B348" s="7">
        <v>0</v>
      </c>
      <c r="C348" s="6">
        <f>IF(F348=1,1.0,0)</f>
        <v/>
      </c>
      <c r="D348" s="5" t="s">
        <v>17</v>
      </c>
      <c r="E348" s="5" t="s">
        <v>17</v>
      </c>
      <c r="F348" s="8">
        <f>IF(OR(LOOKUP(A348,characters!A:A,characters!B:B)=-1, LOOKUP(A348,characters!A:A,characters!B:B)+0.1&gt;=B348),1,0)</f>
        <v/>
      </c>
    </row>
    <row r="349" spans="1:6">
      <c r="A349" s="4" t="s">
        <v>53</v>
      </c>
      <c r="B349" s="7">
        <v>1</v>
      </c>
      <c r="C349" s="6">
        <f>IF(F349=1,0.99,0)</f>
        <v/>
      </c>
      <c r="D349" s="6">
        <f>IF(F349=1,1.0,0)</f>
        <v/>
      </c>
      <c r="E349" s="5" t="s">
        <v>17</v>
      </c>
      <c r="F349" s="8">
        <f>IF(OR(LOOKUP(A349,characters!A:A,characters!B:B)=-1, LOOKUP(A349,characters!A:A,characters!B:B)+0.1&gt;=B349),1,0)</f>
        <v/>
      </c>
    </row>
    <row r="350" spans="1:6">
      <c r="A350" s="4" t="s">
        <v>91</v>
      </c>
      <c r="B350" s="7">
        <v>2</v>
      </c>
      <c r="C350" s="6">
        <f>IF(F350=1,1.0,0)</f>
        <v/>
      </c>
      <c r="D350" s="5" t="s">
        <v>17</v>
      </c>
      <c r="E350" s="5" t="s">
        <v>17</v>
      </c>
      <c r="F350" s="8">
        <f>IF(OR(LOOKUP(A350,characters!A:A,characters!B:B)=-1, LOOKUP(A350,characters!A:A,characters!B:B)+0.1&gt;=B350),1,0)</f>
        <v/>
      </c>
    </row>
    <row r="351" spans="1:6">
      <c r="A351" s="4" t="s">
        <v>83</v>
      </c>
      <c r="B351" s="7">
        <v>0</v>
      </c>
      <c r="C351" s="6">
        <f>IF(F351=1,1.0,0)</f>
        <v/>
      </c>
      <c r="D351" s="5" t="s">
        <v>17</v>
      </c>
      <c r="E351" s="5" t="s">
        <v>17</v>
      </c>
      <c r="F351" s="8">
        <f>IF(OR(LOOKUP(A351,characters!A:A,characters!B:B)=-1, LOOKUP(A351,characters!A:A,characters!B:B)+0.1&gt;=B351),1,0)</f>
        <v/>
      </c>
    </row>
    <row r="352" spans="1:6">
      <c r="A352" s="4" t="s">
        <v>88</v>
      </c>
      <c r="B352" s="7">
        <v>1</v>
      </c>
      <c r="C352" s="6">
        <f>IF(F352=1,1.0,0)</f>
        <v/>
      </c>
      <c r="D352" s="5" t="s">
        <v>17</v>
      </c>
      <c r="E352" s="5" t="s">
        <v>17</v>
      </c>
      <c r="F352" s="8">
        <f>IF(OR(LOOKUP(A352,characters!A:A,characters!B:B)=-1, LOOKUP(A352,characters!A:A,characters!B:B)+0.1&gt;=B352),1,0)</f>
        <v/>
      </c>
    </row>
    <row r="353" spans="1:6">
      <c r="A353" s="4" t="s">
        <v>75</v>
      </c>
      <c r="B353" s="7">
        <v>0</v>
      </c>
      <c r="C353" s="6">
        <f>IF(F353=1,1.0,0)</f>
        <v/>
      </c>
      <c r="D353" s="5" t="s">
        <v>17</v>
      </c>
      <c r="E353" s="5" t="s">
        <v>17</v>
      </c>
      <c r="F353" s="8">
        <f>IF(OR(LOOKUP(A353,characters!A:A,characters!B:B)=-1, LOOKUP(A353,characters!A:A,characters!B:B)+0.1&gt;=B353),1,0)</f>
        <v/>
      </c>
    </row>
    <row r="354" spans="1:6">
      <c r="A354" s="4" t="s">
        <v>89</v>
      </c>
      <c r="B354" s="7">
        <v>1</v>
      </c>
      <c r="C354" s="6">
        <f>IF(F354=1,1.0,0)</f>
        <v/>
      </c>
      <c r="D354" s="5" t="s">
        <v>17</v>
      </c>
      <c r="E354" s="5" t="s">
        <v>17</v>
      </c>
      <c r="F354" s="8">
        <f>IF(OR(LOOKUP(A354,characters!A:A,characters!B:B)=-1, LOOKUP(A354,characters!A:A,characters!B:B)+0.1&gt;=B354),1,0)</f>
        <v/>
      </c>
    </row>
    <row r="355" spans="1:6">
      <c r="A355" s="4" t="s">
        <v>21</v>
      </c>
      <c r="B355" s="7">
        <v>0</v>
      </c>
      <c r="C355" s="6">
        <f>IF(F355=1,1.0,0)</f>
        <v/>
      </c>
      <c r="D355" s="5" t="s">
        <v>17</v>
      </c>
      <c r="E355" s="5" t="s">
        <v>17</v>
      </c>
      <c r="F355" s="8">
        <f>IF(OR(LOOKUP(A355,characters!A:A,characters!B:B)=-1, LOOKUP(A355,characters!A:A,characters!B:B)+0.1&gt;=B355),1,0)</f>
        <v/>
      </c>
    </row>
    <row r="356" spans="1:6">
      <c r="A356" s="4" t="s">
        <v>49</v>
      </c>
      <c r="B356" s="7">
        <v>1</v>
      </c>
      <c r="C356" s="6">
        <f>IF(F356=1,1.0,0)</f>
        <v/>
      </c>
      <c r="D356" s="6">
        <f>IF(F356=1,1.0,0)</f>
        <v/>
      </c>
      <c r="E356" s="5" t="s">
        <v>17</v>
      </c>
      <c r="F356" s="8">
        <f>IF(OR(LOOKUP(A356,characters!A:A,characters!B:B)=-1, LOOKUP(A356,characters!A:A,characters!B:B)+0.1&gt;=B356),1,0)</f>
        <v/>
      </c>
    </row>
    <row r="357" spans="1:6">
      <c r="A357" s="4" t="s">
        <v>92</v>
      </c>
      <c r="B357" s="7">
        <v>2</v>
      </c>
      <c r="C357" s="6">
        <f>IF(F357=1,1.0,0)</f>
        <v/>
      </c>
      <c r="D357" s="5" t="s">
        <v>17</v>
      </c>
      <c r="E357" s="6">
        <f>IF(F357=1,0.99,0)</f>
        <v/>
      </c>
      <c r="F357" s="8">
        <f>IF(OR(LOOKUP(A357,characters!A:A,characters!B:B)=-1, LOOKUP(A357,characters!A:A,characters!B:B)+0.1&gt;=B357),1,0)</f>
        <v/>
      </c>
    </row>
    <row r="358" spans="1:6">
      <c r="A358" s="4" t="s">
        <v>52</v>
      </c>
      <c r="B358" s="7">
        <v>1</v>
      </c>
      <c r="C358" s="6">
        <f>IF(F358=1,1.0,0)</f>
        <v/>
      </c>
      <c r="D358" s="5" t="s">
        <v>17</v>
      </c>
      <c r="E358" s="5" t="s">
        <v>17</v>
      </c>
      <c r="F358" s="8">
        <f>IF(OR(LOOKUP(A358,characters!A:A,characters!B:B)=-1, LOOKUP(A358,characters!A:A,characters!B:B)+0.1&gt;=B358),1,0)</f>
        <v/>
      </c>
    </row>
    <row r="359" spans="1:6">
      <c r="A359" s="4" t="s">
        <v>90</v>
      </c>
      <c r="B359" s="7">
        <v>1</v>
      </c>
      <c r="C359" s="6">
        <f>IF(F359=1,1.0,0)</f>
        <v/>
      </c>
      <c r="D359" s="5" t="s">
        <v>17</v>
      </c>
      <c r="E359" s="5" t="s">
        <v>17</v>
      </c>
      <c r="F359" s="8">
        <f>IF(OR(LOOKUP(A359,characters!A:A,characters!B:B)=-1, LOOKUP(A359,characters!A:A,characters!B:B)+0.1&gt;=B359),1,0)</f>
        <v/>
      </c>
    </row>
    <row r="360" spans="1:6">
      <c r="A360" s="4" t="s">
        <v>93</v>
      </c>
      <c r="B360" s="7">
        <v>4</v>
      </c>
      <c r="C360" s="5" t="s">
        <v>17</v>
      </c>
      <c r="D360" s="6">
        <f>IF(F360=1,1.0,0)</f>
        <v/>
      </c>
      <c r="E360" s="5" t="s">
        <v>17</v>
      </c>
      <c r="F360" s="8">
        <f>IF(OR(LOOKUP(A360,characters!A:A,characters!B:B)=-1, LOOKUP(A360,characters!A:A,characters!B:B)+0.1&gt;=B360),1,0)</f>
        <v/>
      </c>
    </row>
    <row r="361" spans="1:6">
      <c r="A361" s="4" t="s">
        <v>84</v>
      </c>
      <c r="B361" s="7">
        <v>0</v>
      </c>
      <c r="C361" s="6">
        <f>IF(F361=1,1.0,0)</f>
        <v/>
      </c>
      <c r="D361" s="5" t="s">
        <v>17</v>
      </c>
      <c r="E361" s="5" t="s">
        <v>17</v>
      </c>
      <c r="F361" s="8">
        <f>IF(OR(LOOKUP(A361,characters!A:A,characters!B:B)=-1, LOOKUP(A361,characters!A:A,characters!B:B)+0.1&gt;=B361),1,0)</f>
        <v/>
      </c>
    </row>
    <row r="368" spans="1:6">
      <c r="A368" s="3" t="s">
        <v>94</v>
      </c>
    </row>
    <row r="369" spans="1:10">
      <c r="A369" s="3" t="s">
        <v>8</v>
      </c>
      <c r="B369" s="3" t="s">
        <v>9</v>
      </c>
      <c r="C369" s="3" t="s">
        <v>10</v>
      </c>
      <c r="D369" s="3" t="s">
        <v>27</v>
      </c>
      <c r="E369" s="3" t="s">
        <v>26</v>
      </c>
      <c r="F369" s="3" t="s">
        <v>28</v>
      </c>
      <c r="G369" s="3" t="s">
        <v>14</v>
      </c>
      <c r="H369" s="3" t="s">
        <v>11</v>
      </c>
      <c r="I369" s="3" t="s">
        <v>15</v>
      </c>
    </row>
    <row r="370" spans="1:10">
      <c r="A370" s="4" t="s">
        <v>16</v>
      </c>
      <c r="B370" s="5" t="s">
        <v>17</v>
      </c>
      <c r="C370" s="6">
        <f>IF(SUM(J371:J375)=0,0,SUM(C371:C375)/SUM(J371:J375))</f>
        <v/>
      </c>
      <c r="D370" s="6">
        <f>IF(SUM(J371:J375)=0,0,SUM(D371:D375)/SUM(J371:J375))</f>
        <v/>
      </c>
      <c r="E370" s="6">
        <f>IF(SUM(J371:J375)=0,0,SUM(E371:E375)/SUM(J371:J375))</f>
        <v/>
      </c>
      <c r="F370" s="6">
        <f>IF(SUM(J371:J375)=0,0,SUM(F371:F375)/SUM(J371:J375))</f>
        <v/>
      </c>
      <c r="G370" s="6">
        <f>IF(SUM(J371:J375)=0,0,SUM(G371:G375)/SUM(J371:J375))</f>
        <v/>
      </c>
      <c r="H370" s="6">
        <f>IF(SUM(J371:J375)=0,0,SUM(H371:H375)/SUM(J371:J375))</f>
        <v/>
      </c>
      <c r="I370" s="6">
        <f>IF(SUM(J371:J375)=0,0,SUM(I371:I375)/SUM(J371:J375))</f>
        <v/>
      </c>
    </row>
    <row r="371" spans="1:10">
      <c r="A371" s="4" t="s">
        <v>95</v>
      </c>
      <c r="B371" s="7">
        <v>0</v>
      </c>
      <c r="C371" s="6">
        <f>IF(J371=1,1.0,0)</f>
        <v/>
      </c>
      <c r="D371" s="6">
        <f>IF(J371=1,0.9,0)</f>
        <v/>
      </c>
      <c r="E371" s="6">
        <f>IF(J371=1,0.8,0)</f>
        <v/>
      </c>
      <c r="F371" s="6">
        <f>IF(J371=1,0.8,0)</f>
        <v/>
      </c>
      <c r="G371" s="5" t="s">
        <v>17</v>
      </c>
      <c r="H371" s="5" t="s">
        <v>17</v>
      </c>
      <c r="I371" s="5" t="s">
        <v>17</v>
      </c>
      <c r="J371" s="8">
        <f>IF(OR(LOOKUP(A371,characters!A:A,characters!B:B)=-1, LOOKUP(A371,characters!A:A,characters!B:B)+0.1&gt;=B371),1,0)</f>
        <v/>
      </c>
    </row>
    <row r="372" spans="1:10">
      <c r="A372" s="4" t="s">
        <v>82</v>
      </c>
      <c r="B372" s="7">
        <v>0</v>
      </c>
      <c r="C372" s="6">
        <f>IF(J372=1,0.9,0)</f>
        <v/>
      </c>
      <c r="D372" s="6">
        <f>IF(J372=1,0.7,0)</f>
        <v/>
      </c>
      <c r="E372" s="6">
        <f>IF(J372=1,0.7,0)</f>
        <v/>
      </c>
      <c r="F372" s="5" t="s">
        <v>17</v>
      </c>
      <c r="G372" s="6">
        <f>IF(J372=1,1.0,0)</f>
        <v/>
      </c>
      <c r="H372" s="6">
        <f>IF(J372=1,0.8,0)</f>
        <v/>
      </c>
      <c r="I372" s="6">
        <f>IF(J372=1,0.7,0)</f>
        <v/>
      </c>
      <c r="J372" s="8">
        <f>IF(OR(LOOKUP(A372,characters!A:A,characters!B:B)=-1, LOOKUP(A372,characters!A:A,characters!B:B)+0.1&gt;=B372),1,0)</f>
        <v/>
      </c>
    </row>
    <row r="373" spans="1:10">
      <c r="A373" s="4" t="s">
        <v>96</v>
      </c>
      <c r="B373" s="7">
        <v>0</v>
      </c>
      <c r="C373" s="6">
        <f>IF(J373=1,1.0,0)</f>
        <v/>
      </c>
      <c r="D373" s="6">
        <f>IF(J373=1,0.9,0)</f>
        <v/>
      </c>
      <c r="E373" s="6">
        <f>IF(J373=1,0.8,0)</f>
        <v/>
      </c>
      <c r="F373" s="6">
        <f>IF(J373=1,0.8,0)</f>
        <v/>
      </c>
      <c r="G373" s="5" t="s">
        <v>17</v>
      </c>
      <c r="H373" s="5" t="s">
        <v>17</v>
      </c>
      <c r="I373" s="5" t="s">
        <v>17</v>
      </c>
      <c r="J373" s="8">
        <f>IF(OR(LOOKUP(A373,characters!A:A,characters!B:B)=-1, LOOKUP(A373,characters!A:A,characters!B:B)+0.1&gt;=B373),1,0)</f>
        <v/>
      </c>
    </row>
    <row r="374" spans="1:10">
      <c r="A374" s="4" t="s">
        <v>97</v>
      </c>
      <c r="B374" s="7">
        <v>0</v>
      </c>
      <c r="C374" s="6">
        <f>IF(J374=1,1.0,0)</f>
        <v/>
      </c>
      <c r="D374" s="6">
        <f>IF(J374=1,0.9,0)</f>
        <v/>
      </c>
      <c r="E374" s="6">
        <f>IF(J374=1,0.7,0)</f>
        <v/>
      </c>
      <c r="F374" s="6">
        <f>IF(J374=1,0.8,0)</f>
        <v/>
      </c>
      <c r="G374" s="5" t="s">
        <v>17</v>
      </c>
      <c r="H374" s="5" t="s">
        <v>17</v>
      </c>
      <c r="I374" s="5" t="s">
        <v>17</v>
      </c>
      <c r="J374" s="8">
        <f>IF(OR(LOOKUP(A374,characters!A:A,characters!B:B)=-1, LOOKUP(A374,characters!A:A,characters!B:B)+0.1&gt;=B374),1,0)</f>
        <v/>
      </c>
    </row>
    <row r="375" spans="1:10">
      <c r="A375" s="4" t="s">
        <v>98</v>
      </c>
      <c r="B375" s="7">
        <v>0</v>
      </c>
      <c r="C375" s="6">
        <f>IF(J375=1,1.0,0)</f>
        <v/>
      </c>
      <c r="D375" s="6">
        <f>IF(J375=1,0.9,0)</f>
        <v/>
      </c>
      <c r="E375" s="6">
        <f>IF(J375=1,0.8,0)</f>
        <v/>
      </c>
      <c r="F375" s="6">
        <f>IF(J375=1,0.8,0)</f>
        <v/>
      </c>
      <c r="G375" s="5" t="s">
        <v>17</v>
      </c>
      <c r="H375" s="5" t="s">
        <v>17</v>
      </c>
      <c r="I375" s="5" t="s">
        <v>17</v>
      </c>
      <c r="J375" s="8">
        <f>IF(OR(LOOKUP(A375,characters!A:A,characters!B:B)=-1, LOOKUP(A375,characters!A:A,characters!B:B)+0.1&gt;=B375),1,0)</f>
        <v/>
      </c>
    </row>
    <row r="377" spans="1:10">
      <c r="A377" s="3" t="s">
        <v>30</v>
      </c>
      <c r="B377" s="3" t="s">
        <v>9</v>
      </c>
      <c r="C377" s="3" t="s">
        <v>27</v>
      </c>
      <c r="D377" s="3" t="s">
        <v>65</v>
      </c>
      <c r="E377" s="3" t="s">
        <v>11</v>
      </c>
    </row>
    <row r="378" spans="1:10">
      <c r="A378" s="4" t="s">
        <v>16</v>
      </c>
      <c r="B378" s="5" t="s">
        <v>17</v>
      </c>
      <c r="C378" s="6">
        <f>IF(SUM(F379:F383)=0,0,SUM(C379:C383)/SUM(F379:F383))</f>
        <v/>
      </c>
      <c r="D378" s="6">
        <f>IF(SUM(F379:F383)=0,0,SUM(D379:D383)/SUM(F379:F383))</f>
        <v/>
      </c>
      <c r="E378" s="6">
        <f>IF(SUM(F379:F383)=0,0,SUM(E379:E383)/SUM(F379:F383))</f>
        <v/>
      </c>
    </row>
    <row r="379" spans="1:10">
      <c r="A379" s="4" t="s">
        <v>95</v>
      </c>
      <c r="B379" s="7">
        <v>0</v>
      </c>
      <c r="C379" s="6">
        <f>IF(F379=1,1.0,0)</f>
        <v/>
      </c>
      <c r="D379" s="5" t="s">
        <v>17</v>
      </c>
      <c r="E379" s="5" t="s">
        <v>17</v>
      </c>
      <c r="F379" s="8">
        <f>IF(OR(LOOKUP(A379,characters!A:A,characters!B:B)=-1, LOOKUP(A379,characters!A:A,characters!B:B)+0.1&gt;=B379),1,0)</f>
        <v/>
      </c>
    </row>
    <row r="380" spans="1:10">
      <c r="A380" s="4" t="s">
        <v>82</v>
      </c>
      <c r="B380" s="7">
        <v>0</v>
      </c>
      <c r="C380" s="5" t="s">
        <v>17</v>
      </c>
      <c r="D380" s="6">
        <f>IF(F380=1,1.0,0)</f>
        <v/>
      </c>
      <c r="E380" s="6">
        <f>IF(F380=1,0.9,0)</f>
        <v/>
      </c>
      <c r="F380" s="8">
        <f>IF(OR(LOOKUP(A380,characters!A:A,characters!B:B)=-1, LOOKUP(A380,characters!A:A,characters!B:B)+0.1&gt;=B380),1,0)</f>
        <v/>
      </c>
    </row>
    <row r="381" spans="1:10">
      <c r="A381" s="4" t="s">
        <v>96</v>
      </c>
      <c r="B381" s="7">
        <v>0</v>
      </c>
      <c r="C381" s="6">
        <f>IF(F381=1,1.0,0)</f>
        <v/>
      </c>
      <c r="D381" s="5" t="s">
        <v>17</v>
      </c>
      <c r="E381" s="5" t="s">
        <v>17</v>
      </c>
      <c r="F381" s="8">
        <f>IF(OR(LOOKUP(A381,characters!A:A,characters!B:B)=-1, LOOKUP(A381,characters!A:A,characters!B:B)+0.1&gt;=B381),1,0)</f>
        <v/>
      </c>
    </row>
    <row r="382" spans="1:10">
      <c r="A382" s="4" t="s">
        <v>97</v>
      </c>
      <c r="B382" s="7">
        <v>0</v>
      </c>
      <c r="C382" s="6">
        <f>IF(F382=1,1.0,0)</f>
        <v/>
      </c>
      <c r="D382" s="5" t="s">
        <v>17</v>
      </c>
      <c r="E382" s="5" t="s">
        <v>17</v>
      </c>
      <c r="F382" s="8">
        <f>IF(OR(LOOKUP(A382,characters!A:A,characters!B:B)=-1, LOOKUP(A382,characters!A:A,characters!B:B)+0.1&gt;=B382),1,0)</f>
        <v/>
      </c>
    </row>
    <row r="383" spans="1:10">
      <c r="A383" s="4" t="s">
        <v>98</v>
      </c>
      <c r="B383" s="7">
        <v>0</v>
      </c>
      <c r="C383" s="6">
        <f>IF(F383=1,1.0,0)</f>
        <v/>
      </c>
      <c r="D383" s="5" t="s">
        <v>17</v>
      </c>
      <c r="E383" s="5" t="s">
        <v>17</v>
      </c>
      <c r="F383" s="8">
        <f>IF(OR(LOOKUP(A383,characters!A:A,characters!B:B)=-1, LOOKUP(A383,characters!A:A,characters!B:B)+0.1&gt;=B383),1,0)</f>
        <v/>
      </c>
    </row>
    <row r="385" spans="1:11">
      <c r="A385" s="3" t="s">
        <v>31</v>
      </c>
      <c r="B385" s="3" t="s">
        <v>9</v>
      </c>
      <c r="C385" s="3" t="s">
        <v>32</v>
      </c>
      <c r="D385" s="3" t="s">
        <v>11</v>
      </c>
    </row>
    <row r="386" spans="1:11">
      <c r="A386" s="4" t="s">
        <v>16</v>
      </c>
      <c r="B386" s="5" t="s">
        <v>17</v>
      </c>
      <c r="C386" s="6">
        <f>IF(SUM(E387:E391)=0,0,SUM(C387:C391)/SUM(E387:E391))</f>
        <v/>
      </c>
      <c r="D386" s="6">
        <f>IF(SUM(E387:E391)=0,0,SUM(D387:D391)/SUM(E387:E391))</f>
        <v/>
      </c>
    </row>
    <row r="387" spans="1:11">
      <c r="A387" s="4" t="s">
        <v>95</v>
      </c>
      <c r="B387" s="7">
        <v>0</v>
      </c>
      <c r="C387" s="6">
        <f>IF(E387=1,1.0,0)</f>
        <v/>
      </c>
      <c r="D387" s="5" t="s">
        <v>17</v>
      </c>
      <c r="E387" s="8">
        <f>IF(OR(LOOKUP(A387,characters!A:A,characters!B:B)=-1, LOOKUP(A387,characters!A:A,characters!B:B)+0.1&gt;=B387),1,0)</f>
        <v/>
      </c>
    </row>
    <row r="388" spans="1:11">
      <c r="A388" s="4" t="s">
        <v>82</v>
      </c>
      <c r="B388" s="7">
        <v>0</v>
      </c>
      <c r="C388" s="5" t="s">
        <v>17</v>
      </c>
      <c r="D388" s="6">
        <f>IF(E388=1,1.0,0)</f>
        <v/>
      </c>
      <c r="E388" s="8">
        <f>IF(OR(LOOKUP(A388,characters!A:A,characters!B:B)=-1, LOOKUP(A388,characters!A:A,characters!B:B)+0.1&gt;=B388),1,0)</f>
        <v/>
      </c>
    </row>
    <row r="389" spans="1:11">
      <c r="A389" s="4" t="s">
        <v>96</v>
      </c>
      <c r="B389" s="7">
        <v>0</v>
      </c>
      <c r="C389" s="6">
        <f>IF(E389=1,1.0,0)</f>
        <v/>
      </c>
      <c r="D389" s="5" t="s">
        <v>17</v>
      </c>
      <c r="E389" s="8">
        <f>IF(OR(LOOKUP(A389,characters!A:A,characters!B:B)=-1, LOOKUP(A389,characters!A:A,characters!B:B)+0.1&gt;=B389),1,0)</f>
        <v/>
      </c>
    </row>
    <row r="390" spans="1:11">
      <c r="A390" s="4" t="s">
        <v>97</v>
      </c>
      <c r="B390" s="7">
        <v>0</v>
      </c>
      <c r="C390" s="6">
        <f>IF(E390=1,1.0,0)</f>
        <v/>
      </c>
      <c r="D390" s="5" t="s">
        <v>17</v>
      </c>
      <c r="E390" s="8">
        <f>IF(OR(LOOKUP(A390,characters!A:A,characters!B:B)=-1, LOOKUP(A390,characters!A:A,characters!B:B)+0.1&gt;=B390),1,0)</f>
        <v/>
      </c>
    </row>
    <row r="391" spans="1:11">
      <c r="A391" s="4" t="s">
        <v>98</v>
      </c>
      <c r="B391" s="7">
        <v>0</v>
      </c>
      <c r="C391" s="6">
        <f>IF(E391=1,1.0,0)</f>
        <v/>
      </c>
      <c r="D391" s="5" t="s">
        <v>17</v>
      </c>
      <c r="E391" s="8">
        <f>IF(OR(LOOKUP(A391,characters!A:A,characters!B:B)=-1, LOOKUP(A391,characters!A:A,characters!B:B)+0.1&gt;=B391),1,0)</f>
        <v/>
      </c>
    </row>
    <row r="398" spans="1:11">
      <c r="A398" s="3" t="s">
        <v>99</v>
      </c>
    </row>
    <row r="399" spans="1:11">
      <c r="A399" s="3" t="s">
        <v>8</v>
      </c>
      <c r="B399" s="3" t="s">
        <v>9</v>
      </c>
      <c r="C399" s="3" t="s">
        <v>10</v>
      </c>
      <c r="D399" s="3" t="s">
        <v>15</v>
      </c>
      <c r="E399" s="3" t="s">
        <v>11</v>
      </c>
      <c r="F399" s="3" t="s">
        <v>27</v>
      </c>
      <c r="G399" s="3" t="s">
        <v>26</v>
      </c>
      <c r="H399" s="3" t="s">
        <v>14</v>
      </c>
      <c r="I399" s="3" t="s">
        <v>12</v>
      </c>
      <c r="J399" s="3" t="s">
        <v>13</v>
      </c>
      <c r="K399" s="3" t="s">
        <v>28</v>
      </c>
    </row>
    <row r="400" spans="1:11">
      <c r="A400" s="4" t="s">
        <v>16</v>
      </c>
      <c r="B400" s="5" t="s">
        <v>17</v>
      </c>
      <c r="C400" s="6">
        <f>IF(SUM(L401:L409)=0,0,SUM(C401:C409)/SUM(L401:L409))</f>
        <v/>
      </c>
      <c r="D400" s="6">
        <f>IF(SUM(L401:L409)=0,0,SUM(D401:D409)/SUM(L401:L409))</f>
        <v/>
      </c>
      <c r="E400" s="6">
        <f>IF(SUM(L401:L409)=0,0,SUM(E401:E409)/SUM(L401:L409))</f>
        <v/>
      </c>
      <c r="F400" s="6">
        <f>IF(SUM(L401:L409)=0,0,SUM(F401:F409)/SUM(L401:L409))</f>
        <v/>
      </c>
      <c r="G400" s="6">
        <f>IF(SUM(L401:L409)=0,0,SUM(G401:G409)/SUM(L401:L409))</f>
        <v/>
      </c>
      <c r="H400" s="6">
        <f>IF(SUM(L401:L409)=0,0,SUM(H401:H409)/SUM(L401:L409))</f>
        <v/>
      </c>
      <c r="I400" s="6">
        <f>IF(SUM(L401:L409)=0,0,SUM(I401:I409)/SUM(L401:L409))</f>
        <v/>
      </c>
      <c r="J400" s="6">
        <f>IF(SUM(L401:L409)=0,0,SUM(J401:J409)/SUM(L401:L409))</f>
        <v/>
      </c>
      <c r="K400" s="6">
        <f>IF(SUM(L401:L409)=0,0,SUM(K401:K409)/SUM(L401:L409))</f>
        <v/>
      </c>
    </row>
    <row r="401" spans="1:12">
      <c r="A401" s="4" t="s">
        <v>100</v>
      </c>
      <c r="B401" s="7">
        <v>0</v>
      </c>
      <c r="C401" s="6">
        <f>IF(L401=1,1.0,0)</f>
        <v/>
      </c>
      <c r="D401" s="6">
        <f>IF(L401=1,0.9,0)</f>
        <v/>
      </c>
      <c r="E401" s="6">
        <f>IF(L401=1,0.8,0)</f>
        <v/>
      </c>
      <c r="F401" s="5" t="s">
        <v>17</v>
      </c>
      <c r="G401" s="5" t="s">
        <v>17</v>
      </c>
      <c r="H401" s="5" t="s">
        <v>17</v>
      </c>
      <c r="I401" s="5" t="s">
        <v>17</v>
      </c>
      <c r="J401" s="5" t="s">
        <v>17</v>
      </c>
      <c r="K401" s="5" t="s">
        <v>17</v>
      </c>
      <c r="L401" s="8">
        <f>IF(OR(LOOKUP(A401,characters!A:A,characters!B:B)=-1, LOOKUP(A401,characters!A:A,characters!B:B)+0.1&gt;=B401),1,0)</f>
        <v/>
      </c>
    </row>
    <row r="402" spans="1:12">
      <c r="A402" s="4" t="s">
        <v>101</v>
      </c>
      <c r="B402" s="7">
        <v>0</v>
      </c>
      <c r="C402" s="6">
        <f>IF(L402=1,1.0,0)</f>
        <v/>
      </c>
      <c r="D402" s="6">
        <f>IF(L402=1,0.9,0)</f>
        <v/>
      </c>
      <c r="E402" s="5" t="s">
        <v>17</v>
      </c>
      <c r="F402" s="6">
        <f>IF(L402=1,0.7,0)</f>
        <v/>
      </c>
      <c r="G402" s="6">
        <f>IF(L402=1,0.7,0)</f>
        <v/>
      </c>
      <c r="H402" s="5" t="s">
        <v>17</v>
      </c>
      <c r="I402" s="5" t="s">
        <v>17</v>
      </c>
      <c r="J402" s="5" t="s">
        <v>17</v>
      </c>
      <c r="K402" s="6">
        <f>IF(L402=1,0.8,0)</f>
        <v/>
      </c>
      <c r="L402" s="8">
        <f>IF(OR(LOOKUP(A402,characters!A:A,characters!B:B)=-1, LOOKUP(A402,characters!A:A,characters!B:B)+0.1&gt;=B402),1,0)</f>
        <v/>
      </c>
    </row>
    <row r="403" spans="1:12">
      <c r="A403" s="4" t="s">
        <v>102</v>
      </c>
      <c r="B403" s="7">
        <v>0</v>
      </c>
      <c r="C403" s="6">
        <f>IF(L403=1,1.0,0)</f>
        <v/>
      </c>
      <c r="D403" s="6">
        <f>IF(L403=1,0.9,0)</f>
        <v/>
      </c>
      <c r="E403" s="6">
        <f>IF(L403=1,0.89,0)</f>
        <v/>
      </c>
      <c r="F403" s="5" t="s">
        <v>17</v>
      </c>
      <c r="G403" s="5" t="s">
        <v>17</v>
      </c>
      <c r="H403" s="5" t="s">
        <v>17</v>
      </c>
      <c r="I403" s="5" t="s">
        <v>17</v>
      </c>
      <c r="J403" s="5" t="s">
        <v>17</v>
      </c>
      <c r="K403" s="5" t="s">
        <v>17</v>
      </c>
      <c r="L403" s="8">
        <f>IF(OR(LOOKUP(A403,characters!A:A,characters!B:B)=-1, LOOKUP(A403,characters!A:A,characters!B:B)+0.1&gt;=B403),1,0)</f>
        <v/>
      </c>
    </row>
    <row r="404" spans="1:12">
      <c r="A404" s="4" t="s">
        <v>73</v>
      </c>
      <c r="B404" s="7">
        <v>0</v>
      </c>
      <c r="C404" s="6">
        <f>IF(L404=1,0.8,0)</f>
        <v/>
      </c>
      <c r="D404" s="6">
        <f>IF(L404=1,0.9,0)</f>
        <v/>
      </c>
      <c r="E404" s="5" t="s">
        <v>17</v>
      </c>
      <c r="F404" s="6">
        <f>IF(L404=1,0.7,0)</f>
        <v/>
      </c>
      <c r="G404" s="6">
        <f>IF(L404=1,0.7,0)</f>
        <v/>
      </c>
      <c r="H404" s="6">
        <f>IF(L404=1,1.0,0)</f>
        <v/>
      </c>
      <c r="I404" s="5" t="s">
        <v>17</v>
      </c>
      <c r="J404" s="5" t="s">
        <v>17</v>
      </c>
      <c r="K404" s="5" t="s">
        <v>17</v>
      </c>
      <c r="L404" s="8">
        <f>IF(OR(LOOKUP(A404,characters!A:A,characters!B:B)=-1, LOOKUP(A404,characters!A:A,characters!B:B)+0.1&gt;=B404),1,0)</f>
        <v/>
      </c>
    </row>
    <row r="405" spans="1:12">
      <c r="A405" s="4" t="s">
        <v>74</v>
      </c>
      <c r="B405" s="7">
        <v>0</v>
      </c>
      <c r="C405" s="6">
        <f>IF(L405=1,1.0,0)</f>
        <v/>
      </c>
      <c r="D405" s="6">
        <f>IF(L405=1,1.0,0)</f>
        <v/>
      </c>
      <c r="E405" s="5" t="s">
        <v>17</v>
      </c>
      <c r="F405" s="6">
        <f>IF(L405=1,0.9,0)</f>
        <v/>
      </c>
      <c r="G405" s="6">
        <f>IF(L405=1,0.9,0)</f>
        <v/>
      </c>
      <c r="H405" s="5" t="s">
        <v>17</v>
      </c>
      <c r="I405" s="5" t="s">
        <v>17</v>
      </c>
      <c r="J405" s="5" t="s">
        <v>17</v>
      </c>
      <c r="K405" s="5" t="s">
        <v>17</v>
      </c>
      <c r="L405" s="8">
        <f>IF(OR(LOOKUP(A405,characters!A:A,characters!B:B)=-1, LOOKUP(A405,characters!A:A,characters!B:B)+0.1&gt;=B405),1,0)</f>
        <v/>
      </c>
    </row>
    <row r="406" spans="1:12">
      <c r="A406" s="4" t="s">
        <v>77</v>
      </c>
      <c r="B406" s="7">
        <v>1</v>
      </c>
      <c r="C406" s="6">
        <f>IF(L406=1,1.0,0)</f>
        <v/>
      </c>
      <c r="D406" s="6">
        <f>IF(L406=1,0.99,0)</f>
        <v/>
      </c>
      <c r="E406" s="5" t="s">
        <v>17</v>
      </c>
      <c r="F406" s="5" t="s">
        <v>17</v>
      </c>
      <c r="G406" s="5" t="s">
        <v>17</v>
      </c>
      <c r="H406" s="5" t="s">
        <v>17</v>
      </c>
      <c r="I406" s="5" t="s">
        <v>17</v>
      </c>
      <c r="J406" s="5" t="s">
        <v>17</v>
      </c>
      <c r="K406" s="5" t="s">
        <v>17</v>
      </c>
      <c r="L406" s="8">
        <f>IF(OR(LOOKUP(A406,characters!A:A,characters!B:B)=-1, LOOKUP(A406,characters!A:A,characters!B:B)+0.1&gt;=B406),1,0)</f>
        <v/>
      </c>
    </row>
    <row r="407" spans="1:12">
      <c r="A407" s="4" t="s">
        <v>82</v>
      </c>
      <c r="B407" s="7">
        <v>1</v>
      </c>
      <c r="C407" s="6">
        <f>IF(L407=1,0.9,0)</f>
        <v/>
      </c>
      <c r="D407" s="6">
        <f>IF(L407=1,0.7,0)</f>
        <v/>
      </c>
      <c r="E407" s="6">
        <f>IF(L407=1,0.8,0)</f>
        <v/>
      </c>
      <c r="F407" s="6">
        <f>IF(L407=1,0.7,0)</f>
        <v/>
      </c>
      <c r="G407" s="6">
        <f>IF(L407=1,0.7,0)</f>
        <v/>
      </c>
      <c r="H407" s="6">
        <f>IF(L407=1,1.0,0)</f>
        <v/>
      </c>
      <c r="I407" s="5" t="s">
        <v>17</v>
      </c>
      <c r="J407" s="5" t="s">
        <v>17</v>
      </c>
      <c r="K407" s="5" t="s">
        <v>17</v>
      </c>
      <c r="L407" s="8">
        <f>IF(OR(LOOKUP(A407,characters!A:A,characters!B:B)=-1, LOOKUP(A407,characters!A:A,characters!B:B)+0.1&gt;=B407),1,0)</f>
        <v/>
      </c>
    </row>
    <row r="408" spans="1:12">
      <c r="A408" s="4" t="s">
        <v>91</v>
      </c>
      <c r="B408" s="7">
        <v>1</v>
      </c>
      <c r="C408" s="6">
        <f>IF(L408=1,1.0,0)</f>
        <v/>
      </c>
      <c r="D408" s="5" t="s">
        <v>17</v>
      </c>
      <c r="E408" s="6">
        <f>IF(L408=1,0.8,0)</f>
        <v/>
      </c>
      <c r="F408" s="5" t="s">
        <v>17</v>
      </c>
      <c r="G408" s="5" t="s">
        <v>17</v>
      </c>
      <c r="H408" s="5" t="s">
        <v>17</v>
      </c>
      <c r="I408" s="6">
        <f>IF(L408=1,0.9,0)</f>
        <v/>
      </c>
      <c r="J408" s="6">
        <f>IF(L408=1,0.9,0)</f>
        <v/>
      </c>
      <c r="K408" s="5" t="s">
        <v>17</v>
      </c>
      <c r="L408" s="8">
        <f>IF(OR(LOOKUP(A408,characters!A:A,characters!B:B)=-1, LOOKUP(A408,characters!A:A,characters!B:B)+0.1&gt;=B408),1,0)</f>
        <v/>
      </c>
    </row>
    <row r="409" spans="1:12">
      <c r="A409" s="4" t="s">
        <v>78</v>
      </c>
      <c r="B409" s="7">
        <v>1</v>
      </c>
      <c r="C409" s="6">
        <f>IF(L409=1,1.0,0)</f>
        <v/>
      </c>
      <c r="D409" s="6">
        <f>IF(L409=1,0.9,0)</f>
        <v/>
      </c>
      <c r="E409" s="6">
        <f>IF(L409=1,0.8,0)</f>
        <v/>
      </c>
      <c r="F409" s="5" t="s">
        <v>17</v>
      </c>
      <c r="G409" s="5" t="s">
        <v>17</v>
      </c>
      <c r="H409" s="5" t="s">
        <v>17</v>
      </c>
      <c r="I409" s="5" t="s">
        <v>17</v>
      </c>
      <c r="J409" s="5" t="s">
        <v>17</v>
      </c>
      <c r="K409" s="5" t="s">
        <v>17</v>
      </c>
      <c r="L409" s="8">
        <f>IF(OR(LOOKUP(A409,characters!A:A,characters!B:B)=-1, LOOKUP(A409,characters!A:A,characters!B:B)+0.1&gt;=B409),1,0)</f>
        <v/>
      </c>
    </row>
    <row r="411" spans="1:12">
      <c r="A411" s="3" t="s">
        <v>30</v>
      </c>
      <c r="B411" s="3" t="s">
        <v>9</v>
      </c>
      <c r="C411" s="3" t="s">
        <v>11</v>
      </c>
      <c r="D411" s="3" t="s">
        <v>27</v>
      </c>
      <c r="E411" s="3" t="s">
        <v>26</v>
      </c>
      <c r="F411" s="3" t="s">
        <v>65</v>
      </c>
      <c r="G411" s="3" t="s">
        <v>45</v>
      </c>
    </row>
    <row r="412" spans="1:12">
      <c r="A412" s="4" t="s">
        <v>16</v>
      </c>
      <c r="B412" s="5" t="s">
        <v>17</v>
      </c>
      <c r="C412" s="6">
        <f>IF(SUM(H413:H421)=0,0,SUM(C413:C421)/SUM(H413:H421))</f>
        <v/>
      </c>
      <c r="D412" s="6">
        <f>IF(SUM(H413:H421)=0,0,SUM(D413:D421)/SUM(H413:H421))</f>
        <v/>
      </c>
      <c r="E412" s="6">
        <f>IF(SUM(H413:H421)=0,0,SUM(E413:E421)/SUM(H413:H421))</f>
        <v/>
      </c>
      <c r="F412" s="6">
        <f>IF(SUM(H413:H421)=0,0,SUM(F413:F421)/SUM(H413:H421))</f>
        <v/>
      </c>
      <c r="G412" s="6">
        <f>IF(SUM(H413:H421)=0,0,SUM(G413:G421)/SUM(H413:H421))</f>
        <v/>
      </c>
    </row>
    <row r="413" spans="1:12">
      <c r="A413" s="4" t="s">
        <v>77</v>
      </c>
      <c r="B413" s="7">
        <v>1</v>
      </c>
      <c r="C413" s="5" t="s">
        <v>17</v>
      </c>
      <c r="D413" s="5" t="s">
        <v>17</v>
      </c>
      <c r="E413" s="5" t="s">
        <v>17</v>
      </c>
      <c r="F413" s="5" t="s">
        <v>17</v>
      </c>
      <c r="G413" s="5" t="s">
        <v>17</v>
      </c>
      <c r="H413" s="8">
        <f>IF(OR(LOOKUP(A413,characters!A:A,characters!B:B)=-1, LOOKUP(A413,characters!A:A,characters!B:B)+0.1&gt;=B413),1,0)</f>
        <v/>
      </c>
    </row>
    <row r="414" spans="1:12">
      <c r="A414" s="4" t="s">
        <v>100</v>
      </c>
      <c r="B414" s="7">
        <v>0</v>
      </c>
      <c r="C414" s="6">
        <f>IF(H414=1,1.0,0)</f>
        <v/>
      </c>
      <c r="D414" s="5" t="s">
        <v>17</v>
      </c>
      <c r="E414" s="5" t="s">
        <v>17</v>
      </c>
      <c r="F414" s="5" t="s">
        <v>17</v>
      </c>
      <c r="G414" s="5" t="s">
        <v>17</v>
      </c>
      <c r="H414" s="8">
        <f>IF(OR(LOOKUP(A414,characters!A:A,characters!B:B)=-1, LOOKUP(A414,characters!A:A,characters!B:B)+0.1&gt;=B414),1,0)</f>
        <v/>
      </c>
    </row>
    <row r="415" spans="1:12">
      <c r="A415" s="4" t="s">
        <v>101</v>
      </c>
      <c r="B415" s="7">
        <v>0</v>
      </c>
      <c r="C415" s="5" t="s">
        <v>17</v>
      </c>
      <c r="D415" s="6">
        <f>IF(H415=1,1.0,0)</f>
        <v/>
      </c>
      <c r="E415" s="6">
        <f>IF(H415=1,0.99,0)</f>
        <v/>
      </c>
      <c r="F415" s="5" t="s">
        <v>17</v>
      </c>
      <c r="G415" s="5" t="s">
        <v>17</v>
      </c>
      <c r="H415" s="8">
        <f>IF(OR(LOOKUP(A415,characters!A:A,characters!B:B)=-1, LOOKUP(A415,characters!A:A,characters!B:B)+0.1&gt;=B415),1,0)</f>
        <v/>
      </c>
    </row>
    <row r="416" spans="1:12">
      <c r="A416" s="4" t="s">
        <v>82</v>
      </c>
      <c r="B416" s="7">
        <v>1</v>
      </c>
      <c r="C416" s="6">
        <f>IF(H416=1,0.9,0)</f>
        <v/>
      </c>
      <c r="D416" s="5" t="s">
        <v>17</v>
      </c>
      <c r="E416" s="5" t="s">
        <v>17</v>
      </c>
      <c r="F416" s="6">
        <f>IF(H416=1,1.0,0)</f>
        <v/>
      </c>
      <c r="G416" s="5" t="s">
        <v>17</v>
      </c>
      <c r="H416" s="8">
        <f>IF(OR(LOOKUP(A416,characters!A:A,characters!B:B)=-1, LOOKUP(A416,characters!A:A,characters!B:B)+0.1&gt;=B416),1,0)</f>
        <v/>
      </c>
    </row>
    <row r="417" spans="1:8">
      <c r="A417" s="4" t="s">
        <v>102</v>
      </c>
      <c r="B417" s="7">
        <v>0</v>
      </c>
      <c r="C417" s="6">
        <f>IF(H417=1,1.0,0)</f>
        <v/>
      </c>
      <c r="D417" s="5" t="s">
        <v>17</v>
      </c>
      <c r="E417" s="5" t="s">
        <v>17</v>
      </c>
      <c r="F417" s="5" t="s">
        <v>17</v>
      </c>
      <c r="G417" s="5" t="s">
        <v>17</v>
      </c>
      <c r="H417" s="8">
        <f>IF(OR(LOOKUP(A417,characters!A:A,characters!B:B)=-1, LOOKUP(A417,characters!A:A,characters!B:B)+0.1&gt;=B417),1,0)</f>
        <v/>
      </c>
    </row>
    <row r="418" spans="1:8">
      <c r="A418" s="4" t="s">
        <v>91</v>
      </c>
      <c r="B418" s="7">
        <v>1</v>
      </c>
      <c r="C418" s="6">
        <f>IF(H418=1,0.99,0)</f>
        <v/>
      </c>
      <c r="D418" s="5" t="s">
        <v>17</v>
      </c>
      <c r="E418" s="5" t="s">
        <v>17</v>
      </c>
      <c r="F418" s="5" t="s">
        <v>17</v>
      </c>
      <c r="G418" s="6">
        <f>IF(H418=1,1.0,0)</f>
        <v/>
      </c>
      <c r="H418" s="8">
        <f>IF(OR(LOOKUP(A418,characters!A:A,characters!B:B)=-1, LOOKUP(A418,characters!A:A,characters!B:B)+0.1&gt;=B418),1,0)</f>
        <v/>
      </c>
    </row>
    <row r="419" spans="1:8">
      <c r="A419" s="4" t="s">
        <v>78</v>
      </c>
      <c r="B419" s="7">
        <v>1</v>
      </c>
      <c r="C419" s="6">
        <f>IF(H419=1,1.0,0)</f>
        <v/>
      </c>
      <c r="D419" s="5" t="s">
        <v>17</v>
      </c>
      <c r="E419" s="5" t="s">
        <v>17</v>
      </c>
      <c r="F419" s="5" t="s">
        <v>17</v>
      </c>
      <c r="G419" s="5" t="s">
        <v>17</v>
      </c>
      <c r="H419" s="8">
        <f>IF(OR(LOOKUP(A419,characters!A:A,characters!B:B)=-1, LOOKUP(A419,characters!A:A,characters!B:B)+0.1&gt;=B419),1,0)</f>
        <v/>
      </c>
    </row>
    <row r="420" spans="1:8">
      <c r="A420" s="4" t="s">
        <v>73</v>
      </c>
      <c r="B420" s="7">
        <v>0</v>
      </c>
      <c r="C420" s="5" t="s">
        <v>17</v>
      </c>
      <c r="D420" s="6">
        <f>IF(H420=1,1.0,0)</f>
        <v/>
      </c>
      <c r="E420" s="6">
        <f>IF(H420=1,1.0,0)</f>
        <v/>
      </c>
      <c r="F420" s="5" t="s">
        <v>17</v>
      </c>
      <c r="G420" s="5" t="s">
        <v>17</v>
      </c>
      <c r="H420" s="8">
        <f>IF(OR(LOOKUP(A420,characters!A:A,characters!B:B)=-1, LOOKUP(A420,characters!A:A,characters!B:B)+0.1&gt;=B420),1,0)</f>
        <v/>
      </c>
    </row>
    <row r="421" spans="1:8">
      <c r="A421" s="4" t="s">
        <v>74</v>
      </c>
      <c r="B421" s="7">
        <v>0</v>
      </c>
      <c r="C421" s="5" t="s">
        <v>17</v>
      </c>
      <c r="D421" s="6">
        <f>IF(H421=1,1.0,0)</f>
        <v/>
      </c>
      <c r="E421" s="6">
        <f>IF(H421=1,0.9,0)</f>
        <v/>
      </c>
      <c r="F421" s="5" t="s">
        <v>17</v>
      </c>
      <c r="G421" s="5" t="s">
        <v>17</v>
      </c>
      <c r="H421" s="8">
        <f>IF(OR(LOOKUP(A421,characters!A:A,characters!B:B)=-1, LOOKUP(A421,characters!A:A,characters!B:B)+0.1&gt;=B421),1,0)</f>
        <v/>
      </c>
    </row>
    <row r="423" spans="1:8">
      <c r="A423" s="3" t="s">
        <v>31</v>
      </c>
      <c r="B423" s="3" t="s">
        <v>9</v>
      </c>
      <c r="C423" s="3" t="s">
        <v>15</v>
      </c>
      <c r="D423" s="3" t="s">
        <v>32</v>
      </c>
      <c r="E423" s="3" t="s">
        <v>11</v>
      </c>
    </row>
    <row r="424" spans="1:8">
      <c r="A424" s="4" t="s">
        <v>16</v>
      </c>
      <c r="B424" s="5" t="s">
        <v>17</v>
      </c>
      <c r="C424" s="6">
        <f>IF(SUM(F425:F433)=0,0,SUM(C425:C433)/SUM(F425:F433))</f>
        <v/>
      </c>
      <c r="D424" s="6">
        <f>IF(SUM(F425:F433)=0,0,SUM(D425:D433)/SUM(F425:F433))</f>
        <v/>
      </c>
      <c r="E424" s="6">
        <f>IF(SUM(F425:F433)=0,0,SUM(E425:E433)/SUM(F425:F433))</f>
        <v/>
      </c>
    </row>
    <row r="425" spans="1:8">
      <c r="A425" s="4" t="s">
        <v>77</v>
      </c>
      <c r="B425" s="7">
        <v>1</v>
      </c>
      <c r="C425" s="6">
        <f>IF(F425=1,1.0,0)</f>
        <v/>
      </c>
      <c r="D425" s="5" t="s">
        <v>17</v>
      </c>
      <c r="E425" s="5" t="s">
        <v>17</v>
      </c>
      <c r="F425" s="8">
        <f>IF(OR(LOOKUP(A425,characters!A:A,characters!B:B)=-1, LOOKUP(A425,characters!A:A,characters!B:B)+0.1&gt;=B425),1,0)</f>
        <v/>
      </c>
    </row>
    <row r="426" spans="1:8">
      <c r="A426" s="4" t="s">
        <v>100</v>
      </c>
      <c r="B426" s="7">
        <v>0</v>
      </c>
      <c r="C426" s="6">
        <f>IF(F426=1,1.0,0)</f>
        <v/>
      </c>
      <c r="D426" s="5" t="s">
        <v>17</v>
      </c>
      <c r="E426" s="5" t="s">
        <v>17</v>
      </c>
      <c r="F426" s="8">
        <f>IF(OR(LOOKUP(A426,characters!A:A,characters!B:B)=-1, LOOKUP(A426,characters!A:A,characters!B:B)+0.1&gt;=B426),1,0)</f>
        <v/>
      </c>
    </row>
    <row r="427" spans="1:8">
      <c r="A427" s="4" t="s">
        <v>101</v>
      </c>
      <c r="B427" s="7">
        <v>0</v>
      </c>
      <c r="C427" s="5" t="s">
        <v>17</v>
      </c>
      <c r="D427" s="6">
        <f>IF(F427=1,1.0,0)</f>
        <v/>
      </c>
      <c r="E427" s="5" t="s">
        <v>17</v>
      </c>
      <c r="F427" s="8">
        <f>IF(OR(LOOKUP(A427,characters!A:A,characters!B:B)=-1, LOOKUP(A427,characters!A:A,characters!B:B)+0.1&gt;=B427),1,0)</f>
        <v/>
      </c>
    </row>
    <row r="428" spans="1:8">
      <c r="A428" s="4" t="s">
        <v>82</v>
      </c>
      <c r="B428" s="7">
        <v>1</v>
      </c>
      <c r="C428" s="5" t="s">
        <v>17</v>
      </c>
      <c r="D428" s="5" t="s">
        <v>17</v>
      </c>
      <c r="E428" s="6">
        <f>IF(F428=1,1.0,0)</f>
        <v/>
      </c>
      <c r="F428" s="8">
        <f>IF(OR(LOOKUP(A428,characters!A:A,characters!B:B)=-1, LOOKUP(A428,characters!A:A,characters!B:B)+0.1&gt;=B428),1,0)</f>
        <v/>
      </c>
    </row>
    <row r="429" spans="1:8">
      <c r="A429" s="4" t="s">
        <v>102</v>
      </c>
      <c r="B429" s="7">
        <v>0</v>
      </c>
      <c r="C429" s="6">
        <f>IF(F429=1,1.0,0)</f>
        <v/>
      </c>
      <c r="D429" s="6">
        <f>IF(F429=1,1.0,0)</f>
        <v/>
      </c>
      <c r="E429" s="5" t="s">
        <v>17</v>
      </c>
      <c r="F429" s="8">
        <f>IF(OR(LOOKUP(A429,characters!A:A,characters!B:B)=-1, LOOKUP(A429,characters!A:A,characters!B:B)+0.1&gt;=B429),1,0)</f>
        <v/>
      </c>
    </row>
    <row r="430" spans="1:8">
      <c r="A430" s="4" t="s">
        <v>91</v>
      </c>
      <c r="B430" s="7">
        <v>1</v>
      </c>
      <c r="C430" s="5" t="s">
        <v>17</v>
      </c>
      <c r="D430" s="5" t="s">
        <v>17</v>
      </c>
      <c r="E430" s="6">
        <f>IF(F430=1,1.0,0)</f>
        <v/>
      </c>
      <c r="F430" s="8">
        <f>IF(OR(LOOKUP(A430,characters!A:A,characters!B:B)=-1, LOOKUP(A430,characters!A:A,characters!B:B)+0.1&gt;=B430),1,0)</f>
        <v/>
      </c>
    </row>
    <row r="431" spans="1:8">
      <c r="A431" s="4" t="s">
        <v>78</v>
      </c>
      <c r="B431" s="7">
        <v>1</v>
      </c>
      <c r="C431" s="6">
        <f>IF(F431=1,1.0,0)</f>
        <v/>
      </c>
      <c r="D431" s="6">
        <f>IF(F431=1,0.99,0)</f>
        <v/>
      </c>
      <c r="E431" s="5" t="s">
        <v>17</v>
      </c>
      <c r="F431" s="8">
        <f>IF(OR(LOOKUP(A431,characters!A:A,characters!B:B)=-1, LOOKUP(A431,characters!A:A,characters!B:B)+0.1&gt;=B431),1,0)</f>
        <v/>
      </c>
    </row>
    <row r="432" spans="1:8">
      <c r="A432" s="4" t="s">
        <v>73</v>
      </c>
      <c r="B432" s="7">
        <v>0</v>
      </c>
      <c r="C432" s="6">
        <f>IF(F432=1,1.0,0)</f>
        <v/>
      </c>
      <c r="D432" s="6">
        <f>IF(F432=1,1.0,0)</f>
        <v/>
      </c>
      <c r="E432" s="5" t="s">
        <v>17</v>
      </c>
      <c r="F432" s="8">
        <f>IF(OR(LOOKUP(A432,characters!A:A,characters!B:B)=-1, LOOKUP(A432,characters!A:A,characters!B:B)+0.1&gt;=B432),1,0)</f>
        <v/>
      </c>
    </row>
    <row r="433" spans="1:12">
      <c r="A433" s="4" t="s">
        <v>74</v>
      </c>
      <c r="B433" s="7">
        <v>0</v>
      </c>
      <c r="C433" s="6">
        <f>IF(F433=1,1.0,0)</f>
        <v/>
      </c>
      <c r="D433" s="6">
        <f>IF(F433=1,0.9,0)</f>
        <v/>
      </c>
      <c r="E433" s="5" t="s">
        <v>17</v>
      </c>
      <c r="F433" s="8">
        <f>IF(OR(LOOKUP(A433,characters!A:A,characters!B:B)=-1, LOOKUP(A433,characters!A:A,characters!B:B)+0.1&gt;=B433),1,0)</f>
        <v/>
      </c>
    </row>
    <row r="440" spans="1:12">
      <c r="A440" s="3" t="s">
        <v>103</v>
      </c>
    </row>
    <row r="441" spans="1:12">
      <c r="A441" s="3" t="s">
        <v>8</v>
      </c>
      <c r="B441" s="3" t="s">
        <v>9</v>
      </c>
      <c r="C441" s="3" t="s">
        <v>10</v>
      </c>
      <c r="D441" s="3" t="s">
        <v>12</v>
      </c>
      <c r="E441" s="3" t="s">
        <v>13</v>
      </c>
      <c r="F441" s="3" t="s">
        <v>11</v>
      </c>
      <c r="G441" s="3" t="s">
        <v>15</v>
      </c>
      <c r="H441" s="3" t="s">
        <v>14</v>
      </c>
      <c r="I441" s="3" t="s">
        <v>34</v>
      </c>
      <c r="J441" s="3" t="s">
        <v>35</v>
      </c>
      <c r="K441" s="3" t="s">
        <v>28</v>
      </c>
    </row>
    <row r="442" spans="1:12">
      <c r="A442" s="4" t="s">
        <v>16</v>
      </c>
      <c r="B442" s="5" t="s">
        <v>17</v>
      </c>
      <c r="C442" s="6">
        <f>IF(SUM(L443:L448)=0,0,SUM(C443:C448)/SUM(L443:L448))</f>
        <v/>
      </c>
      <c r="D442" s="6">
        <f>IF(SUM(L443:L448)=0,0,SUM(D443:D448)/SUM(L443:L448))</f>
        <v/>
      </c>
      <c r="E442" s="6">
        <f>IF(SUM(L443:L448)=0,0,SUM(E443:E448)/SUM(L443:L448))</f>
        <v/>
      </c>
      <c r="F442" s="6">
        <f>IF(SUM(L443:L448)=0,0,SUM(F443:F448)/SUM(L443:L448))</f>
        <v/>
      </c>
      <c r="G442" s="6">
        <f>IF(SUM(L443:L448)=0,0,SUM(G443:G448)/SUM(L443:L448))</f>
        <v/>
      </c>
      <c r="H442" s="6">
        <f>IF(SUM(L443:L448)=0,0,SUM(H443:H448)/SUM(L443:L448))</f>
        <v/>
      </c>
      <c r="I442" s="6">
        <f>IF(SUM(L443:L448)=0,0,SUM(I443:I448)/SUM(L443:L448))</f>
        <v/>
      </c>
      <c r="J442" s="6">
        <f>IF(SUM(L443:L448)=0,0,SUM(J443:J448)/SUM(L443:L448))</f>
        <v/>
      </c>
      <c r="K442" s="6">
        <f>IF(SUM(L443:L448)=0,0,SUM(K443:K448)/SUM(L443:L448))</f>
        <v/>
      </c>
    </row>
    <row r="443" spans="1:12">
      <c r="A443" s="4" t="s">
        <v>89</v>
      </c>
      <c r="B443" s="7">
        <v>0</v>
      </c>
      <c r="C443" s="5" t="s">
        <v>17</v>
      </c>
      <c r="D443" s="6">
        <f>IF(L443=1,1.0,0)</f>
        <v/>
      </c>
      <c r="E443" s="6">
        <f>IF(L443=1,1.0,0)</f>
        <v/>
      </c>
      <c r="F443" s="6">
        <f>IF(L443=1,0.9,0)</f>
        <v/>
      </c>
      <c r="G443" s="5" t="s">
        <v>17</v>
      </c>
      <c r="H443" s="5" t="s">
        <v>17</v>
      </c>
      <c r="I443" s="5" t="s">
        <v>17</v>
      </c>
      <c r="J443" s="5" t="s">
        <v>17</v>
      </c>
      <c r="K443" s="5" t="s">
        <v>17</v>
      </c>
      <c r="L443" s="8">
        <f>IF(OR(LOOKUP(A443,characters!A:A,characters!B:B)=-1, LOOKUP(A443,characters!A:A,characters!B:B)+0.1&gt;=B443),1,0)</f>
        <v/>
      </c>
    </row>
    <row r="444" spans="1:12">
      <c r="A444" s="4" t="s">
        <v>41</v>
      </c>
      <c r="B444" s="7">
        <v>0</v>
      </c>
      <c r="C444" s="6">
        <f>IF(L444=1,1.0,0)</f>
        <v/>
      </c>
      <c r="D444" s="5" t="s">
        <v>17</v>
      </c>
      <c r="E444" s="5" t="s">
        <v>17</v>
      </c>
      <c r="F444" s="5" t="s">
        <v>17</v>
      </c>
      <c r="G444" s="6">
        <f>IF(L444=1,0.9,0)</f>
        <v/>
      </c>
      <c r="H444" s="6">
        <f>IF(L444=1,1.0,0)</f>
        <v/>
      </c>
      <c r="I444" s="6">
        <f>IF(L444=1,0.9,0)</f>
        <v/>
      </c>
      <c r="J444" s="6">
        <f>IF(L444=1,0.9,0)</f>
        <v/>
      </c>
      <c r="K444" s="6">
        <f>IF(L444=1,0.8,0)</f>
        <v/>
      </c>
      <c r="L444" s="8">
        <f>IF(OR(LOOKUP(A444,characters!A:A,characters!B:B)=-1, LOOKUP(A444,characters!A:A,characters!B:B)+0.1&gt;=B444),1,0)</f>
        <v/>
      </c>
    </row>
    <row r="445" spans="1:12">
      <c r="A445" s="4" t="s">
        <v>93</v>
      </c>
      <c r="B445" s="7">
        <v>0</v>
      </c>
      <c r="C445" s="6">
        <f>IF(L445=1,1.0,0)</f>
        <v/>
      </c>
      <c r="D445" s="6">
        <f>IF(L445=1,0.89,0)</f>
        <v/>
      </c>
      <c r="E445" s="6">
        <f>IF(L445=1,0.89,0)</f>
        <v/>
      </c>
      <c r="F445" s="6">
        <f>IF(L445=1,0.79,0)</f>
        <v/>
      </c>
      <c r="G445" s="6">
        <f>IF(L445=1,0.9,0)</f>
        <v/>
      </c>
      <c r="H445" s="5" t="s">
        <v>17</v>
      </c>
      <c r="I445" s="5" t="s">
        <v>17</v>
      </c>
      <c r="J445" s="5" t="s">
        <v>17</v>
      </c>
      <c r="K445" s="5" t="s">
        <v>17</v>
      </c>
      <c r="L445" s="8">
        <f>IF(OR(LOOKUP(A445,characters!A:A,characters!B:B)=-1, LOOKUP(A445,characters!A:A,characters!B:B)+0.1&gt;=B445),1,0)</f>
        <v/>
      </c>
    </row>
    <row r="446" spans="1:12">
      <c r="A446" s="4" t="s">
        <v>62</v>
      </c>
      <c r="B446" s="7">
        <v>1</v>
      </c>
      <c r="C446" s="6">
        <f>IF(L446=1,0.79,0)</f>
        <v/>
      </c>
      <c r="D446" s="6">
        <f>IF(L446=1,1.0,0)</f>
        <v/>
      </c>
      <c r="E446" s="6">
        <f>IF(L446=1,0.99,0)</f>
        <v/>
      </c>
      <c r="F446" s="6">
        <f>IF(L446=1,0.89,0)</f>
        <v/>
      </c>
      <c r="G446" s="5" t="s">
        <v>17</v>
      </c>
      <c r="H446" s="5" t="s">
        <v>17</v>
      </c>
      <c r="I446" s="5" t="s">
        <v>17</v>
      </c>
      <c r="J446" s="5" t="s">
        <v>17</v>
      </c>
      <c r="K446" s="5" t="s">
        <v>17</v>
      </c>
      <c r="L446" s="8">
        <f>IF(OR(LOOKUP(A446,characters!A:A,characters!B:B)=-1, LOOKUP(A446,characters!A:A,characters!B:B)+0.1&gt;=B446),1,0)</f>
        <v/>
      </c>
    </row>
    <row r="447" spans="1:12">
      <c r="A447" s="4" t="s">
        <v>87</v>
      </c>
      <c r="B447" s="7">
        <v>1</v>
      </c>
      <c r="C447" s="6">
        <f>IF(L447=1,1.0,0)</f>
        <v/>
      </c>
      <c r="D447" s="6">
        <f>IF(L447=1,0.9,0)</f>
        <v/>
      </c>
      <c r="E447" s="6">
        <f>IF(L447=1,0.9,0)</f>
        <v/>
      </c>
      <c r="F447" s="6">
        <f>IF(L447=1,0.8,0)</f>
        <v/>
      </c>
      <c r="G447" s="5" t="s">
        <v>17</v>
      </c>
      <c r="H447" s="5" t="s">
        <v>17</v>
      </c>
      <c r="I447" s="5" t="s">
        <v>17</v>
      </c>
      <c r="J447" s="5" t="s">
        <v>17</v>
      </c>
      <c r="K447" s="5" t="s">
        <v>17</v>
      </c>
      <c r="L447" s="8">
        <f>IF(OR(LOOKUP(A447,characters!A:A,characters!B:B)=-1, LOOKUP(A447,characters!A:A,characters!B:B)+0.1&gt;=B447),1,0)</f>
        <v/>
      </c>
    </row>
    <row r="448" spans="1:12">
      <c r="A448" s="4" t="s">
        <v>88</v>
      </c>
      <c r="B448" s="7">
        <v>1</v>
      </c>
      <c r="C448" s="6">
        <f>IF(L448=1,1.0,0)</f>
        <v/>
      </c>
      <c r="D448" s="6">
        <f>IF(L448=1,0.9,0)</f>
        <v/>
      </c>
      <c r="E448" s="6">
        <f>IF(L448=1,0.9,0)</f>
        <v/>
      </c>
      <c r="F448" s="6">
        <f>IF(L448=1,0.8,0)</f>
        <v/>
      </c>
      <c r="G448" s="5" t="s">
        <v>17</v>
      </c>
      <c r="H448" s="5" t="s">
        <v>17</v>
      </c>
      <c r="I448" s="5" t="s">
        <v>17</v>
      </c>
      <c r="J448" s="5" t="s">
        <v>17</v>
      </c>
      <c r="K448" s="5" t="s">
        <v>17</v>
      </c>
      <c r="L448" s="8">
        <f>IF(OR(LOOKUP(A448,characters!A:A,characters!B:B)=-1, LOOKUP(A448,characters!A:A,characters!B:B)+0.1&gt;=B448),1,0)</f>
        <v/>
      </c>
    </row>
    <row r="450" spans="1:6">
      <c r="A450" s="3" t="s">
        <v>23</v>
      </c>
      <c r="B450" s="3" t="s">
        <v>9</v>
      </c>
      <c r="C450" s="3" t="s">
        <v>12</v>
      </c>
      <c r="D450" s="3" t="s">
        <v>13</v>
      </c>
      <c r="E450" s="3" t="s">
        <v>14</v>
      </c>
    </row>
    <row r="451" spans="1:6">
      <c r="A451" s="4" t="s">
        <v>16</v>
      </c>
      <c r="B451" s="5" t="s">
        <v>17</v>
      </c>
      <c r="C451" s="6">
        <f>IF(SUM(F452:F457)=0,0,SUM(C452:C457)/SUM(F452:F457))</f>
        <v/>
      </c>
      <c r="D451" s="6">
        <f>IF(SUM(F452:F457)=0,0,SUM(D452:D457)/SUM(F452:F457))</f>
        <v/>
      </c>
      <c r="E451" s="6">
        <f>IF(SUM(F452:F457)=0,0,SUM(E452:E457)/SUM(F452:F457))</f>
        <v/>
      </c>
    </row>
    <row r="452" spans="1:6">
      <c r="A452" s="4" t="s">
        <v>62</v>
      </c>
      <c r="B452" s="7">
        <v>1</v>
      </c>
      <c r="C452" s="6">
        <f>IF(F452=1,1.0,0)</f>
        <v/>
      </c>
      <c r="D452" s="6">
        <f>IF(F452=1,0.99,0)</f>
        <v/>
      </c>
      <c r="E452" s="5" t="s">
        <v>17</v>
      </c>
      <c r="F452" s="8">
        <f>IF(OR(LOOKUP(A452,characters!A:A,characters!B:B)=-1, LOOKUP(A452,characters!A:A,characters!B:B)+0.1&gt;=B452),1,0)</f>
        <v/>
      </c>
    </row>
    <row r="453" spans="1:6">
      <c r="A453" s="4" t="s">
        <v>87</v>
      </c>
      <c r="B453" s="7">
        <v>1</v>
      </c>
      <c r="C453" s="5" t="s">
        <v>17</v>
      </c>
      <c r="D453" s="6">
        <f>IF(F453=1,1.0,0)</f>
        <v/>
      </c>
      <c r="E453" s="5" t="s">
        <v>17</v>
      </c>
      <c r="F453" s="8">
        <f>IF(OR(LOOKUP(A453,characters!A:A,characters!B:B)=-1, LOOKUP(A453,characters!A:A,characters!B:B)+0.1&gt;=B453),1,0)</f>
        <v/>
      </c>
    </row>
    <row r="454" spans="1:6">
      <c r="A454" s="4" t="s">
        <v>88</v>
      </c>
      <c r="B454" s="7">
        <v>1</v>
      </c>
      <c r="C454" s="6">
        <f>IF(F454=1,1.0,0)</f>
        <v/>
      </c>
      <c r="D454" s="6">
        <f>IF(F454=1,0.99,0)</f>
        <v/>
      </c>
      <c r="E454" s="5" t="s">
        <v>17</v>
      </c>
      <c r="F454" s="8">
        <f>IF(OR(LOOKUP(A454,characters!A:A,characters!B:B)=-1, LOOKUP(A454,characters!A:A,characters!B:B)+0.1&gt;=B454),1,0)</f>
        <v/>
      </c>
    </row>
    <row r="455" spans="1:6">
      <c r="A455" s="4" t="s">
        <v>89</v>
      </c>
      <c r="B455" s="7">
        <v>0</v>
      </c>
      <c r="C455" s="6">
        <f>IF(F455=1,1.0,0)</f>
        <v/>
      </c>
      <c r="D455" s="6">
        <f>IF(F455=1,0.99,0)</f>
        <v/>
      </c>
      <c r="E455" s="5" t="s">
        <v>17</v>
      </c>
      <c r="F455" s="8">
        <f>IF(OR(LOOKUP(A455,characters!A:A,characters!B:B)=-1, LOOKUP(A455,characters!A:A,characters!B:B)+0.1&gt;=B455),1,0)</f>
        <v/>
      </c>
    </row>
    <row r="456" spans="1:6">
      <c r="A456" s="4" t="s">
        <v>41</v>
      </c>
      <c r="B456" s="7">
        <v>0</v>
      </c>
      <c r="C456" s="5" t="s">
        <v>17</v>
      </c>
      <c r="D456" s="5" t="s">
        <v>17</v>
      </c>
      <c r="E456" s="6">
        <f>IF(F456=1,1.0,0)</f>
        <v/>
      </c>
      <c r="F456" s="8">
        <f>IF(OR(LOOKUP(A456,characters!A:A,characters!B:B)=-1, LOOKUP(A456,characters!A:A,characters!B:B)+0.1&gt;=B456),1,0)</f>
        <v/>
      </c>
    </row>
    <row r="457" spans="1:6">
      <c r="A457" s="4" t="s">
        <v>93</v>
      </c>
      <c r="B457" s="7">
        <v>0</v>
      </c>
      <c r="C457" s="6">
        <f>IF(F457=1,1.0,0)</f>
        <v/>
      </c>
      <c r="D457" s="6">
        <f>IF(F457=1,0.99,0)</f>
        <v/>
      </c>
      <c r="E457" s="5" t="s">
        <v>17</v>
      </c>
      <c r="F457" s="8">
        <f>IF(OR(LOOKUP(A457,characters!A:A,characters!B:B)=-1, LOOKUP(A457,characters!A:A,characters!B:B)+0.1&gt;=B457),1,0)</f>
        <v/>
      </c>
    </row>
    <row r="459" spans="1:6">
      <c r="A459" s="3" t="s">
        <v>24</v>
      </c>
      <c r="B459" s="3" t="s">
        <v>9</v>
      </c>
      <c r="C459" s="3" t="s">
        <v>11</v>
      </c>
      <c r="D459" s="3" t="s">
        <v>10</v>
      </c>
    </row>
    <row r="460" spans="1:6">
      <c r="A460" s="4" t="s">
        <v>16</v>
      </c>
      <c r="B460" s="5" t="s">
        <v>17</v>
      </c>
      <c r="C460" s="6">
        <f>IF(SUM(E461:E466)=0,0,SUM(C461:C466)/SUM(E461:E466))</f>
        <v/>
      </c>
      <c r="D460" s="6">
        <f>IF(SUM(E461:E466)=0,0,SUM(D461:D466)/SUM(E461:E466))</f>
        <v/>
      </c>
    </row>
    <row r="461" spans="1:6">
      <c r="A461" s="4" t="s">
        <v>62</v>
      </c>
      <c r="B461" s="7">
        <v>1</v>
      </c>
      <c r="C461" s="6">
        <f>IF(E461=1,1.0,0)</f>
        <v/>
      </c>
      <c r="D461" s="5" t="s">
        <v>17</v>
      </c>
      <c r="E461" s="8">
        <f>IF(OR(LOOKUP(A461,characters!A:A,characters!B:B)=-1, LOOKUP(A461,characters!A:A,characters!B:B)+0.1&gt;=B461),1,0)</f>
        <v/>
      </c>
    </row>
    <row r="462" spans="1:6">
      <c r="A462" s="4" t="s">
        <v>87</v>
      </c>
      <c r="B462" s="7">
        <v>1</v>
      </c>
      <c r="C462" s="6">
        <f>IF(E462=1,0.99,0)</f>
        <v/>
      </c>
      <c r="D462" s="6">
        <f>IF(E462=1,1.0,0)</f>
        <v/>
      </c>
      <c r="E462" s="8">
        <f>IF(OR(LOOKUP(A462,characters!A:A,characters!B:B)=-1, LOOKUP(A462,characters!A:A,characters!B:B)+0.1&gt;=B462),1,0)</f>
        <v/>
      </c>
    </row>
    <row r="463" spans="1:6">
      <c r="A463" s="4" t="s">
        <v>88</v>
      </c>
      <c r="B463" s="7">
        <v>1</v>
      </c>
      <c r="C463" s="6">
        <f>IF(E463=1,1.0,0)</f>
        <v/>
      </c>
      <c r="D463" s="6">
        <f>IF(E463=1,0.9,0)</f>
        <v/>
      </c>
      <c r="E463" s="8">
        <f>IF(OR(LOOKUP(A463,characters!A:A,characters!B:B)=-1, LOOKUP(A463,characters!A:A,characters!B:B)+0.1&gt;=B463),1,0)</f>
        <v/>
      </c>
    </row>
    <row r="464" spans="1:6">
      <c r="A464" s="4" t="s">
        <v>89</v>
      </c>
      <c r="B464" s="7">
        <v>0</v>
      </c>
      <c r="C464" s="6">
        <f>IF(E464=1,1.0,0)</f>
        <v/>
      </c>
      <c r="D464" s="5" t="s">
        <v>17</v>
      </c>
      <c r="E464" s="8">
        <f>IF(OR(LOOKUP(A464,characters!A:A,characters!B:B)=-1, LOOKUP(A464,characters!A:A,characters!B:B)+0.1&gt;=B464),1,0)</f>
        <v/>
      </c>
    </row>
    <row r="465" spans="1:6">
      <c r="A465" s="4" t="s">
        <v>41</v>
      </c>
      <c r="B465" s="7">
        <v>0</v>
      </c>
      <c r="C465" s="5" t="s">
        <v>17</v>
      </c>
      <c r="D465" s="6">
        <f>IF(E465=1,1.0,0)</f>
        <v/>
      </c>
      <c r="E465" s="8">
        <f>IF(OR(LOOKUP(A465,characters!A:A,characters!B:B)=-1, LOOKUP(A465,characters!A:A,characters!B:B)+0.1&gt;=B465),1,0)</f>
        <v/>
      </c>
    </row>
    <row r="466" spans="1:6">
      <c r="A466" s="4" t="s">
        <v>93</v>
      </c>
      <c r="B466" s="7">
        <v>0</v>
      </c>
      <c r="C466" s="6">
        <f>IF(E466=1,0.99,0)</f>
        <v/>
      </c>
      <c r="D466" s="6">
        <f>IF(E466=1,1.0,0)</f>
        <v/>
      </c>
      <c r="E466" s="8">
        <f>IF(OR(LOOKUP(A466,characters!A:A,characters!B:B)=-1, LOOKUP(A466,characters!A:A,characters!B:B)+0.1&gt;=B466),1,0)</f>
        <v/>
      </c>
    </row>
    <row r="473" spans="1:6">
      <c r="A473" s="3" t="s">
        <v>104</v>
      </c>
    </row>
    <row r="474" spans="1:6">
      <c r="A474" s="3" t="s">
        <v>8</v>
      </c>
      <c r="B474" s="3" t="s">
        <v>9</v>
      </c>
      <c r="C474" s="3" t="s">
        <v>10</v>
      </c>
      <c r="D474" s="3" t="s">
        <v>13</v>
      </c>
      <c r="E474" s="3" t="s">
        <v>28</v>
      </c>
    </row>
    <row r="475" spans="1:6">
      <c r="A475" s="4" t="s">
        <v>16</v>
      </c>
      <c r="B475" s="5" t="s">
        <v>17</v>
      </c>
      <c r="C475" s="6">
        <f>IF(SUM(F476)=0,0,SUM(C476)/SUM(F476))</f>
        <v/>
      </c>
      <c r="D475" s="6">
        <f>IF(SUM(F476)=0,0,SUM(D476)/SUM(F476))</f>
        <v/>
      </c>
      <c r="E475" s="6">
        <f>IF(SUM(F476)=0,0,SUM(E476)/SUM(F476))</f>
        <v/>
      </c>
    </row>
    <row r="476" spans="1:6">
      <c r="A476" s="4" t="s">
        <v>43</v>
      </c>
      <c r="B476" s="7">
        <v>1</v>
      </c>
      <c r="C476" s="6">
        <f>IF(F476=1,1.0,0)</f>
        <v/>
      </c>
      <c r="D476" s="6">
        <f>IF(F476=1,0.9,0)</f>
        <v/>
      </c>
      <c r="E476" s="6">
        <f>IF(F476=1,0.8,0)</f>
        <v/>
      </c>
      <c r="F476" s="8">
        <f>IF(OR(LOOKUP(A476,characters!A:A,characters!B:B)=-1, LOOKUP(A476,characters!A:A,characters!B:B)+0.1&gt;=B476),1,0)</f>
        <v/>
      </c>
    </row>
    <row r="478" spans="1:6">
      <c r="A478" s="3" t="s">
        <v>23</v>
      </c>
      <c r="B478" s="3" t="s">
        <v>9</v>
      </c>
      <c r="C478" s="3" t="s">
        <v>13</v>
      </c>
    </row>
    <row r="479" spans="1:6">
      <c r="A479" s="4" t="s">
        <v>16</v>
      </c>
      <c r="B479" s="5" t="s">
        <v>17</v>
      </c>
      <c r="C479" s="6">
        <f>IF(SUM(D480)=0,0,SUM(C480)/SUM(D480))</f>
        <v/>
      </c>
    </row>
    <row r="480" spans="1:6">
      <c r="A480" s="4" t="s">
        <v>43</v>
      </c>
      <c r="B480" s="7">
        <v>1</v>
      </c>
      <c r="C480" s="6">
        <f>IF(D480=1,1.0,0)</f>
        <v/>
      </c>
      <c r="D480" s="8">
        <f>IF(OR(LOOKUP(A480,characters!A:A,characters!B:B)=-1, LOOKUP(A480,characters!A:A,characters!B:B)+0.1&gt;=B480),1,0)</f>
        <v/>
      </c>
    </row>
    <row r="482" spans="1:7">
      <c r="A482" s="3" t="s">
        <v>24</v>
      </c>
      <c r="B482" s="3" t="s">
        <v>9</v>
      </c>
      <c r="C482" s="3" t="s">
        <v>10</v>
      </c>
    </row>
    <row r="483" spans="1:7">
      <c r="A483" s="4" t="s">
        <v>16</v>
      </c>
      <c r="B483" s="5" t="s">
        <v>17</v>
      </c>
      <c r="C483" s="6">
        <f>IF(SUM(D484)=0,0,SUM(C484)/SUM(D484))</f>
        <v/>
      </c>
    </row>
    <row r="484" spans="1:7">
      <c r="A484" s="4" t="s">
        <v>43</v>
      </c>
      <c r="B484" s="7">
        <v>1</v>
      </c>
      <c r="C484" s="6">
        <f>IF(D484=1,1.0,0)</f>
        <v/>
      </c>
      <c r="D484" s="8">
        <f>IF(OR(LOOKUP(A484,characters!A:A,characters!B:B)=-1, LOOKUP(A484,characters!A:A,characters!B:B)+0.1&gt;=B484),1,0)</f>
        <v/>
      </c>
    </row>
    <row r="491" spans="1:7">
      <c r="A491" s="3" t="s">
        <v>105</v>
      </c>
    </row>
    <row r="492" spans="1:7">
      <c r="A492" s="3" t="s">
        <v>8</v>
      </c>
      <c r="B492" s="3" t="s">
        <v>9</v>
      </c>
      <c r="C492" s="3" t="s">
        <v>10</v>
      </c>
      <c r="D492" s="3" t="s">
        <v>13</v>
      </c>
      <c r="E492" s="3" t="s">
        <v>12</v>
      </c>
      <c r="F492" s="3" t="s">
        <v>11</v>
      </c>
    </row>
    <row r="493" spans="1:7">
      <c r="A493" s="4" t="s">
        <v>16</v>
      </c>
      <c r="B493" s="5" t="s">
        <v>17</v>
      </c>
      <c r="C493" s="6">
        <f>IF(SUM(G494:G498)=0,0,SUM(C494:C498)/SUM(G494:G498))</f>
        <v/>
      </c>
      <c r="D493" s="6">
        <f>IF(SUM(G494:G498)=0,0,SUM(D494:D498)/SUM(G494:G498))</f>
        <v/>
      </c>
      <c r="E493" s="6">
        <f>IF(SUM(G494:G498)=0,0,SUM(E494:E498)/SUM(G494:G498))</f>
        <v/>
      </c>
      <c r="F493" s="6">
        <f>IF(SUM(G494:G498)=0,0,SUM(F494:F498)/SUM(G494:G498))</f>
        <v/>
      </c>
    </row>
    <row r="494" spans="1:7">
      <c r="A494" s="4" t="s">
        <v>83</v>
      </c>
      <c r="B494" s="7">
        <v>1</v>
      </c>
      <c r="C494" s="6">
        <f>IF(G494=1,1.0,0)</f>
        <v/>
      </c>
      <c r="D494" s="6">
        <f>IF(G494=1,0.9,0)</f>
        <v/>
      </c>
      <c r="E494" s="6">
        <f>IF(G494=1,0.9,0)</f>
        <v/>
      </c>
      <c r="F494" s="6">
        <f>IF(G494=1,0.8,0)</f>
        <v/>
      </c>
      <c r="G494" s="8">
        <f>IF(OR(LOOKUP(A494,characters!A:A,characters!B:B)=-1, LOOKUP(A494,characters!A:A,characters!B:B)+0.1&gt;=B494),1,0)</f>
        <v/>
      </c>
    </row>
    <row r="495" spans="1:7">
      <c r="A495" s="4" t="s">
        <v>92</v>
      </c>
      <c r="B495" s="7">
        <v>1</v>
      </c>
      <c r="C495" s="6">
        <f>IF(G495=1,1.0,0)</f>
        <v/>
      </c>
      <c r="D495" s="6">
        <f>IF(G495=1,0.8,0)</f>
        <v/>
      </c>
      <c r="E495" s="6">
        <f>IF(G495=1,0.9,0)</f>
        <v/>
      </c>
      <c r="F495" s="6">
        <f>IF(G495=1,0.7,0)</f>
        <v/>
      </c>
      <c r="G495" s="8">
        <f>IF(OR(LOOKUP(A495,characters!A:A,characters!B:B)=-1, LOOKUP(A495,characters!A:A,characters!B:B)+0.1&gt;=B495),1,0)</f>
        <v/>
      </c>
    </row>
    <row r="496" spans="1:7">
      <c r="A496" s="4" t="s">
        <v>84</v>
      </c>
      <c r="B496" s="7">
        <v>1</v>
      </c>
      <c r="C496" s="6">
        <f>IF(G496=1,1.0,0)</f>
        <v/>
      </c>
      <c r="D496" s="6">
        <f>IF(G496=1,0.9,0)</f>
        <v/>
      </c>
      <c r="E496" s="6">
        <f>IF(G496=1,0.7,0)</f>
        <v/>
      </c>
      <c r="F496" s="6">
        <f>IF(G496=1,0.8,0)</f>
        <v/>
      </c>
      <c r="G496" s="8">
        <f>IF(OR(LOOKUP(A496,characters!A:A,characters!B:B)=-1, LOOKUP(A496,characters!A:A,characters!B:B)+0.1&gt;=B496),1,0)</f>
        <v/>
      </c>
    </row>
    <row r="497" spans="1:7">
      <c r="A497" s="4" t="s">
        <v>59</v>
      </c>
      <c r="B497" s="7">
        <v>2</v>
      </c>
      <c r="C497" s="6">
        <f>IF(G497=1,1.0,0)</f>
        <v/>
      </c>
      <c r="D497" s="6">
        <f>IF(G497=1,1.0,0)</f>
        <v/>
      </c>
      <c r="E497" s="6">
        <f>IF(G497=1,1.0,0)</f>
        <v/>
      </c>
      <c r="F497" s="6">
        <f>IF(G497=1,0.9,0)</f>
        <v/>
      </c>
      <c r="G497" s="8">
        <f>IF(OR(LOOKUP(A497,characters!A:A,characters!B:B)=-1, LOOKUP(A497,characters!A:A,characters!B:B)+0.1&gt;=B497),1,0)</f>
        <v/>
      </c>
    </row>
    <row r="498" spans="1:7">
      <c r="A498" s="4" t="s">
        <v>87</v>
      </c>
      <c r="B498" s="7">
        <v>2</v>
      </c>
      <c r="C498" s="6">
        <f>IF(G498=1,1.0,0)</f>
        <v/>
      </c>
      <c r="D498" s="6">
        <f>IF(G498=1,0.9,0)</f>
        <v/>
      </c>
      <c r="E498" s="6">
        <f>IF(G498=1,0.9,0)</f>
        <v/>
      </c>
      <c r="F498" s="6">
        <f>IF(G498=1,0.8,0)</f>
        <v/>
      </c>
      <c r="G498" s="8">
        <f>IF(OR(LOOKUP(A498,characters!A:A,characters!B:B)=-1, LOOKUP(A498,characters!A:A,characters!B:B)+0.1&gt;=B498),1,0)</f>
        <v/>
      </c>
    </row>
    <row r="500" spans="1:7">
      <c r="A500" s="3" t="s">
        <v>23</v>
      </c>
      <c r="B500" s="3" t="s">
        <v>9</v>
      </c>
      <c r="C500" s="3" t="s">
        <v>12</v>
      </c>
      <c r="D500" s="3" t="s">
        <v>13</v>
      </c>
    </row>
    <row r="501" spans="1:7">
      <c r="A501" s="4" t="s">
        <v>16</v>
      </c>
      <c r="B501" s="5" t="s">
        <v>17</v>
      </c>
      <c r="C501" s="6">
        <f>IF(SUM(E502:E506)=0,0,SUM(C502:C506)/SUM(E502:E506))</f>
        <v/>
      </c>
      <c r="D501" s="6">
        <f>IF(SUM(E502:E506)=0,0,SUM(D502:D506)/SUM(E502:E506))</f>
        <v/>
      </c>
    </row>
    <row r="502" spans="1:7">
      <c r="A502" s="4" t="s">
        <v>59</v>
      </c>
      <c r="B502" s="7">
        <v>2</v>
      </c>
      <c r="C502" s="6">
        <f>IF(E502=1,1.0,0)</f>
        <v/>
      </c>
      <c r="D502" s="6">
        <f>IF(E502=1,0.99,0)</f>
        <v/>
      </c>
      <c r="E502" s="8">
        <f>IF(OR(LOOKUP(A502,characters!A:A,characters!B:B)=-1, LOOKUP(A502,characters!A:A,characters!B:B)+0.1&gt;=B502),1,0)</f>
        <v/>
      </c>
    </row>
    <row r="503" spans="1:7">
      <c r="A503" s="4" t="s">
        <v>87</v>
      </c>
      <c r="B503" s="7">
        <v>2</v>
      </c>
      <c r="C503" s="5" t="s">
        <v>17</v>
      </c>
      <c r="D503" s="6">
        <f>IF(E503=1,1.0,0)</f>
        <v/>
      </c>
      <c r="E503" s="8">
        <f>IF(OR(LOOKUP(A503,characters!A:A,characters!B:B)=-1, LOOKUP(A503,characters!A:A,characters!B:B)+0.1&gt;=B503),1,0)</f>
        <v/>
      </c>
    </row>
    <row r="504" spans="1:7">
      <c r="A504" s="4" t="s">
        <v>83</v>
      </c>
      <c r="B504" s="7">
        <v>1</v>
      </c>
      <c r="C504" s="6">
        <f>IF(E504=1,1.0,0)</f>
        <v/>
      </c>
      <c r="D504" s="6">
        <f>IF(E504=1,0.99,0)</f>
        <v/>
      </c>
      <c r="E504" s="8">
        <f>IF(OR(LOOKUP(A504,characters!A:A,characters!B:B)=-1, LOOKUP(A504,characters!A:A,characters!B:B)+0.1&gt;=B504),1,0)</f>
        <v/>
      </c>
    </row>
    <row r="505" spans="1:7">
      <c r="A505" s="4" t="s">
        <v>92</v>
      </c>
      <c r="B505" s="7">
        <v>1</v>
      </c>
      <c r="C505" s="6">
        <f>IF(E505=1,1.0,0)</f>
        <v/>
      </c>
      <c r="D505" s="6">
        <f>IF(E505=1,0.9,0)</f>
        <v/>
      </c>
      <c r="E505" s="8">
        <f>IF(OR(LOOKUP(A505,characters!A:A,characters!B:B)=-1, LOOKUP(A505,characters!A:A,characters!B:B)+0.1&gt;=B505),1,0)</f>
        <v/>
      </c>
    </row>
    <row r="506" spans="1:7">
      <c r="A506" s="4" t="s">
        <v>84</v>
      </c>
      <c r="B506" s="7">
        <v>1</v>
      </c>
      <c r="C506" s="5" t="s">
        <v>17</v>
      </c>
      <c r="D506" s="6">
        <f>IF(E506=1,1.0,0)</f>
        <v/>
      </c>
      <c r="E506" s="8">
        <f>IF(OR(LOOKUP(A506,characters!A:A,characters!B:B)=-1, LOOKUP(A506,characters!A:A,characters!B:B)+0.1&gt;=B506),1,0)</f>
        <v/>
      </c>
    </row>
    <row r="508" spans="1:7">
      <c r="A508" s="3" t="s">
        <v>24</v>
      </c>
      <c r="B508" s="3" t="s">
        <v>9</v>
      </c>
      <c r="C508" s="3" t="s">
        <v>11</v>
      </c>
      <c r="D508" s="3" t="s">
        <v>10</v>
      </c>
    </row>
    <row r="509" spans="1:7">
      <c r="A509" s="4" t="s">
        <v>16</v>
      </c>
      <c r="B509" s="5" t="s">
        <v>17</v>
      </c>
      <c r="C509" s="6">
        <f>IF(SUM(E510:E514)=0,0,SUM(C510:C514)/SUM(E510:E514))</f>
        <v/>
      </c>
      <c r="D509" s="6">
        <f>IF(SUM(E510:E514)=0,0,SUM(D510:D514)/SUM(E510:E514))</f>
        <v/>
      </c>
    </row>
    <row r="510" spans="1:7">
      <c r="A510" s="4" t="s">
        <v>59</v>
      </c>
      <c r="B510" s="7">
        <v>2</v>
      </c>
      <c r="C510" s="6">
        <f>IF(E510=1,1.0,0)</f>
        <v/>
      </c>
      <c r="D510" s="6">
        <f>IF(E510=1,0.9,0)</f>
        <v/>
      </c>
      <c r="E510" s="8">
        <f>IF(OR(LOOKUP(A510,characters!A:A,characters!B:B)=-1, LOOKUP(A510,characters!A:A,characters!B:B)+0.1&gt;=B510),1,0)</f>
        <v/>
      </c>
    </row>
    <row r="511" spans="1:7">
      <c r="A511" s="4" t="s">
        <v>87</v>
      </c>
      <c r="B511" s="7">
        <v>2</v>
      </c>
      <c r="C511" s="6">
        <f>IF(E511=1,0.99,0)</f>
        <v/>
      </c>
      <c r="D511" s="6">
        <f>IF(E511=1,1.0,0)</f>
        <v/>
      </c>
      <c r="E511" s="8">
        <f>IF(OR(LOOKUP(A511,characters!A:A,characters!B:B)=-1, LOOKUP(A511,characters!A:A,characters!B:B)+0.1&gt;=B511),1,0)</f>
        <v/>
      </c>
    </row>
    <row r="512" spans="1:7">
      <c r="A512" s="4" t="s">
        <v>83</v>
      </c>
      <c r="B512" s="7">
        <v>1</v>
      </c>
      <c r="C512" s="6">
        <f>IF(E512=1,0.99,0)</f>
        <v/>
      </c>
      <c r="D512" s="6">
        <f>IF(E512=1,1.0,0)</f>
        <v/>
      </c>
      <c r="E512" s="8">
        <f>IF(OR(LOOKUP(A512,characters!A:A,characters!B:B)=-1, LOOKUP(A512,characters!A:A,characters!B:B)+0.1&gt;=B512),1,0)</f>
        <v/>
      </c>
    </row>
    <row r="513" spans="1:14">
      <c r="A513" s="4" t="s">
        <v>92</v>
      </c>
      <c r="B513" s="7">
        <v>1</v>
      </c>
      <c r="C513" s="6">
        <f>IF(E513=1,1.0,0)</f>
        <v/>
      </c>
      <c r="D513" s="6">
        <f>IF(E513=1,1.0,0)</f>
        <v/>
      </c>
      <c r="E513" s="8">
        <f>IF(OR(LOOKUP(A513,characters!A:A,characters!B:B)=-1, LOOKUP(A513,characters!A:A,characters!B:B)+0.1&gt;=B513),1,0)</f>
        <v/>
      </c>
    </row>
    <row r="514" spans="1:14">
      <c r="A514" s="4" t="s">
        <v>84</v>
      </c>
      <c r="B514" s="7">
        <v>1</v>
      </c>
      <c r="C514" s="6">
        <f>IF(E514=1,0.99,0)</f>
        <v/>
      </c>
      <c r="D514" s="6">
        <f>IF(E514=1,1.0,0)</f>
        <v/>
      </c>
      <c r="E514" s="8">
        <f>IF(OR(LOOKUP(A514,characters!A:A,characters!B:B)=-1, LOOKUP(A514,characters!A:A,characters!B:B)+0.1&gt;=B514),1,0)</f>
        <v/>
      </c>
    </row>
    <row r="521" spans="1:14">
      <c r="A521" s="3" t="s">
        <v>106</v>
      </c>
    </row>
    <row r="522" spans="1:14">
      <c r="A522" s="3" t="s">
        <v>8</v>
      </c>
      <c r="B522" s="3" t="s">
        <v>9</v>
      </c>
      <c r="C522" s="3" t="s">
        <v>10</v>
      </c>
      <c r="D522" s="3" t="s">
        <v>13</v>
      </c>
      <c r="E522" s="3" t="s">
        <v>12</v>
      </c>
      <c r="F522" s="3" t="s">
        <v>11</v>
      </c>
      <c r="G522" s="3" t="s">
        <v>15</v>
      </c>
      <c r="H522" s="3" t="s">
        <v>28</v>
      </c>
      <c r="I522" s="3" t="s">
        <v>26</v>
      </c>
      <c r="J522" s="3" t="s">
        <v>14</v>
      </c>
      <c r="K522" s="3" t="s">
        <v>34</v>
      </c>
      <c r="L522" s="3" t="s">
        <v>35</v>
      </c>
      <c r="M522" s="3" t="s">
        <v>27</v>
      </c>
    </row>
    <row r="523" spans="1:14">
      <c r="A523" s="4" t="s">
        <v>16</v>
      </c>
      <c r="B523" s="5" t="s">
        <v>17</v>
      </c>
      <c r="C523" s="6">
        <f>IF(SUM(N524:N548)=0,0,SUM(C524:C548)/SUM(N524:N548))</f>
        <v/>
      </c>
      <c r="D523" s="6">
        <f>IF(SUM(N524:N548)=0,0,SUM(D524:D548)/SUM(N524:N548))</f>
        <v/>
      </c>
      <c r="E523" s="6">
        <f>IF(SUM(N524:N548)=0,0,SUM(E524:E548)/SUM(N524:N548))</f>
        <v/>
      </c>
      <c r="F523" s="6">
        <f>IF(SUM(N524:N548)=0,0,SUM(F524:F548)/SUM(N524:N548))</f>
        <v/>
      </c>
      <c r="G523" s="6">
        <f>IF(SUM(N524:N548)=0,0,SUM(G524:G548)/SUM(N524:N548))</f>
        <v/>
      </c>
      <c r="H523" s="6">
        <f>IF(SUM(N524:N548)=0,0,SUM(H524:H548)/SUM(N524:N548))</f>
        <v/>
      </c>
      <c r="I523" s="6">
        <f>IF(SUM(N524:N548)=0,0,SUM(I524:I548)/SUM(N524:N548))</f>
        <v/>
      </c>
      <c r="J523" s="6">
        <f>IF(SUM(N524:N548)=0,0,SUM(J524:J548)/SUM(N524:N548))</f>
        <v/>
      </c>
      <c r="K523" s="6">
        <f>IF(SUM(N524:N548)=0,0,SUM(K524:K548)/SUM(N524:N548))</f>
        <v/>
      </c>
      <c r="L523" s="6">
        <f>IF(SUM(N524:N548)=0,0,SUM(L524:L548)/SUM(N524:N548))</f>
        <v/>
      </c>
      <c r="M523" s="6">
        <f>IF(SUM(N524:N548)=0,0,SUM(M524:M548)/SUM(N524:N548))</f>
        <v/>
      </c>
    </row>
    <row r="524" spans="1:14">
      <c r="A524" s="4" t="s">
        <v>50</v>
      </c>
      <c r="B524" s="7">
        <v>0</v>
      </c>
      <c r="C524" s="6">
        <f>IF(N524=1,1.0,0)</f>
        <v/>
      </c>
      <c r="D524" s="6">
        <f>IF(N524=1,0.9,0)</f>
        <v/>
      </c>
      <c r="E524" s="6">
        <f>IF(N524=1,0.9,0)</f>
        <v/>
      </c>
      <c r="F524" s="6">
        <f>IF(N524=1,0.8,0)</f>
        <v/>
      </c>
      <c r="G524" s="5" t="s">
        <v>17</v>
      </c>
      <c r="H524" s="5" t="s">
        <v>17</v>
      </c>
      <c r="I524" s="5" t="s">
        <v>17</v>
      </c>
      <c r="J524" s="5" t="s">
        <v>17</v>
      </c>
      <c r="K524" s="5" t="s">
        <v>17</v>
      </c>
      <c r="L524" s="5" t="s">
        <v>17</v>
      </c>
      <c r="M524" s="5" t="s">
        <v>17</v>
      </c>
      <c r="N524" s="8">
        <f>IF(OR(LOOKUP(A524,characters!A:A,characters!B:B)=-1, LOOKUP(A524,characters!A:A,characters!B:B)+0.1&gt;=B524),1,0)</f>
        <v/>
      </c>
    </row>
    <row r="525" spans="1:14">
      <c r="A525" s="4" t="s">
        <v>36</v>
      </c>
      <c r="B525" s="7">
        <v>0</v>
      </c>
      <c r="C525" s="6">
        <f>IF(N525=1,0.99,0)</f>
        <v/>
      </c>
      <c r="D525" s="6">
        <f>IF(N525=1,0.89,0)</f>
        <v/>
      </c>
      <c r="E525" s="6">
        <f>IF(N525=1,0.79,0)</f>
        <v/>
      </c>
      <c r="F525" s="5" t="s">
        <v>17</v>
      </c>
      <c r="G525" s="5" t="s">
        <v>17</v>
      </c>
      <c r="H525" s="6">
        <f>IF(N525=1,0.69,0)</f>
        <v/>
      </c>
      <c r="I525" s="6">
        <f>IF(N525=1,1.0,0)</f>
        <v/>
      </c>
      <c r="J525" s="5" t="s">
        <v>17</v>
      </c>
      <c r="K525" s="5" t="s">
        <v>17</v>
      </c>
      <c r="L525" s="5" t="s">
        <v>17</v>
      </c>
      <c r="M525" s="5" t="s">
        <v>17</v>
      </c>
      <c r="N525" s="8">
        <f>IF(OR(LOOKUP(A525,characters!A:A,characters!B:B)=-1, LOOKUP(A525,characters!A:A,characters!B:B)+0.1&gt;=B525),1,0)</f>
        <v/>
      </c>
    </row>
    <row r="526" spans="1:14">
      <c r="A526" s="4" t="s">
        <v>44</v>
      </c>
      <c r="B526" s="7">
        <v>0</v>
      </c>
      <c r="C526" s="6">
        <f>IF(N526=1,1.0,0)</f>
        <v/>
      </c>
      <c r="D526" s="5" t="s">
        <v>17</v>
      </c>
      <c r="E526" s="5" t="s">
        <v>17</v>
      </c>
      <c r="F526" s="5" t="s">
        <v>17</v>
      </c>
      <c r="G526" s="5" t="s">
        <v>17</v>
      </c>
      <c r="H526" s="6">
        <f>IF(N526=1,0.8,0)</f>
        <v/>
      </c>
      <c r="I526" s="5" t="s">
        <v>17</v>
      </c>
      <c r="J526" s="5" t="s">
        <v>17</v>
      </c>
      <c r="K526" s="6">
        <f>IF(N526=1,0.9,0)</f>
        <v/>
      </c>
      <c r="L526" s="6">
        <f>IF(N526=1,0.9,0)</f>
        <v/>
      </c>
      <c r="M526" s="5" t="s">
        <v>17</v>
      </c>
      <c r="N526" s="8">
        <f>IF(OR(LOOKUP(A526,characters!A:A,characters!B:B)=-1, LOOKUP(A526,characters!A:A,characters!B:B)+0.1&gt;=B526),1,0)</f>
        <v/>
      </c>
    </row>
    <row r="527" spans="1:14">
      <c r="A527" s="4" t="s">
        <v>61</v>
      </c>
      <c r="B527" s="7">
        <v>0</v>
      </c>
      <c r="C527" s="5" t="s">
        <v>17</v>
      </c>
      <c r="D527" s="6">
        <f>IF(N527=1,1.0,0)</f>
        <v/>
      </c>
      <c r="E527" s="6">
        <f>IF(N527=1,1.0,0)</f>
        <v/>
      </c>
      <c r="F527" s="6">
        <f>IF(N527=1,0.9,0)</f>
        <v/>
      </c>
      <c r="G527" s="5" t="s">
        <v>17</v>
      </c>
      <c r="H527" s="5" t="s">
        <v>17</v>
      </c>
      <c r="I527" s="5" t="s">
        <v>17</v>
      </c>
      <c r="J527" s="5" t="s">
        <v>17</v>
      </c>
      <c r="K527" s="5" t="s">
        <v>17</v>
      </c>
      <c r="L527" s="5" t="s">
        <v>17</v>
      </c>
      <c r="M527" s="5" t="s">
        <v>17</v>
      </c>
      <c r="N527" s="8">
        <f>IF(OR(LOOKUP(A527,characters!A:A,characters!B:B)=-1, LOOKUP(A527,characters!A:A,characters!B:B)+0.1&gt;=B527),1,0)</f>
        <v/>
      </c>
    </row>
    <row r="528" spans="1:14">
      <c r="A528" s="4" t="s">
        <v>22</v>
      </c>
      <c r="B528" s="7">
        <v>1</v>
      </c>
      <c r="C528" s="6">
        <f>IF(N528=1,1.0,0)</f>
        <v/>
      </c>
      <c r="D528" s="6">
        <f>IF(N528=1,0.9,0)</f>
        <v/>
      </c>
      <c r="E528" s="6">
        <f>IF(N528=1,0.9,0)</f>
        <v/>
      </c>
      <c r="F528" s="6">
        <f>IF(N528=1,0.8,0)</f>
        <v/>
      </c>
      <c r="G528" s="5" t="s">
        <v>17</v>
      </c>
      <c r="H528" s="5" t="s">
        <v>17</v>
      </c>
      <c r="I528" s="5" t="s">
        <v>17</v>
      </c>
      <c r="J528" s="5" t="s">
        <v>17</v>
      </c>
      <c r="K528" s="5" t="s">
        <v>17</v>
      </c>
      <c r="L528" s="5" t="s">
        <v>17</v>
      </c>
      <c r="M528" s="5" t="s">
        <v>17</v>
      </c>
      <c r="N528" s="8">
        <f>IF(OR(LOOKUP(A528,characters!A:A,characters!B:B)=-1, LOOKUP(A528,characters!A:A,characters!B:B)+0.1&gt;=B528),1,0)</f>
        <v/>
      </c>
    </row>
    <row r="529" spans="1:14">
      <c r="A529" s="4" t="s">
        <v>107</v>
      </c>
      <c r="B529" s="7">
        <v>1</v>
      </c>
      <c r="C529" s="6">
        <f>IF(N529=1,1.0,0)</f>
        <v/>
      </c>
      <c r="D529" s="6">
        <f>IF(N529=1,0.9,0)</f>
        <v/>
      </c>
      <c r="E529" s="6">
        <f>IF(N529=1,0.9,0)</f>
        <v/>
      </c>
      <c r="F529" s="5" t="s">
        <v>17</v>
      </c>
      <c r="G529" s="5" t="s">
        <v>17</v>
      </c>
      <c r="H529" s="5" t="s">
        <v>17</v>
      </c>
      <c r="I529" s="5" t="s">
        <v>17</v>
      </c>
      <c r="J529" s="5" t="s">
        <v>17</v>
      </c>
      <c r="K529" s="5" t="s">
        <v>17</v>
      </c>
      <c r="L529" s="5" t="s">
        <v>17</v>
      </c>
      <c r="M529" s="6">
        <f>IF(N529=1,0.8,0)</f>
        <v/>
      </c>
      <c r="N529" s="8">
        <f>IF(OR(LOOKUP(A529,characters!A:A,characters!B:B)=-1, LOOKUP(A529,characters!A:A,characters!B:B)+0.1&gt;=B529),1,0)</f>
        <v/>
      </c>
    </row>
    <row r="530" spans="1:14">
      <c r="A530" s="4" t="s">
        <v>51</v>
      </c>
      <c r="B530" s="7">
        <v>1</v>
      </c>
      <c r="C530" s="6">
        <f>IF(N530=1,1.0,0)</f>
        <v/>
      </c>
      <c r="D530" s="6">
        <f>IF(N530=1,1.0,0)</f>
        <v/>
      </c>
      <c r="E530" s="6">
        <f>IF(N530=1,1.0,0)</f>
        <v/>
      </c>
      <c r="F530" s="6">
        <f>IF(N530=1,0.9,0)</f>
        <v/>
      </c>
      <c r="G530" s="5" t="s">
        <v>17</v>
      </c>
      <c r="H530" s="5" t="s">
        <v>17</v>
      </c>
      <c r="I530" s="5" t="s">
        <v>17</v>
      </c>
      <c r="J530" s="5" t="s">
        <v>17</v>
      </c>
      <c r="K530" s="5" t="s">
        <v>17</v>
      </c>
      <c r="L530" s="5" t="s">
        <v>17</v>
      </c>
      <c r="M530" s="5" t="s">
        <v>17</v>
      </c>
      <c r="N530" s="8">
        <f>IF(OR(LOOKUP(A530,characters!A:A,characters!B:B)=-1, LOOKUP(A530,characters!A:A,characters!B:B)+0.1&gt;=B530),1,0)</f>
        <v/>
      </c>
    </row>
    <row r="531" spans="1:14">
      <c r="A531" s="4" t="s">
        <v>19</v>
      </c>
      <c r="B531" s="7">
        <v>1</v>
      </c>
      <c r="C531" s="6">
        <f>IF(N531=1,1.0,0)</f>
        <v/>
      </c>
      <c r="D531" s="6">
        <f>IF(N531=1,0.9,0)</f>
        <v/>
      </c>
      <c r="E531" s="6">
        <f>IF(N531=1,0.9,0)</f>
        <v/>
      </c>
      <c r="F531" s="6">
        <f>IF(N531=1,0.8,0)</f>
        <v/>
      </c>
      <c r="G531" s="5" t="s">
        <v>17</v>
      </c>
      <c r="H531" s="5" t="s">
        <v>17</v>
      </c>
      <c r="I531" s="5" t="s">
        <v>17</v>
      </c>
      <c r="J531" s="5" t="s">
        <v>17</v>
      </c>
      <c r="K531" s="5" t="s">
        <v>17</v>
      </c>
      <c r="L531" s="5" t="s">
        <v>17</v>
      </c>
      <c r="M531" s="5" t="s">
        <v>17</v>
      </c>
      <c r="N531" s="8">
        <f>IF(OR(LOOKUP(A531,characters!A:A,characters!B:B)=-1, LOOKUP(A531,characters!A:A,characters!B:B)+0.1&gt;=B531),1,0)</f>
        <v/>
      </c>
    </row>
    <row r="532" spans="1:14">
      <c r="A532" s="4" t="s">
        <v>56</v>
      </c>
      <c r="B532" s="7">
        <v>2</v>
      </c>
      <c r="C532" s="6">
        <f>IF(N532=1,1.0,0)</f>
        <v/>
      </c>
      <c r="D532" s="6">
        <f>IF(N532=1,1.0,0)</f>
        <v/>
      </c>
      <c r="E532" s="6">
        <f>IF(N532=1,1.0,0)</f>
        <v/>
      </c>
      <c r="F532" s="6">
        <f>IF(N532=1,0.9,0)</f>
        <v/>
      </c>
      <c r="G532" s="5" t="s">
        <v>17</v>
      </c>
      <c r="H532" s="5" t="s">
        <v>17</v>
      </c>
      <c r="I532" s="5" t="s">
        <v>17</v>
      </c>
      <c r="J532" s="5" t="s">
        <v>17</v>
      </c>
      <c r="K532" s="5" t="s">
        <v>17</v>
      </c>
      <c r="L532" s="5" t="s">
        <v>17</v>
      </c>
      <c r="M532" s="5" t="s">
        <v>17</v>
      </c>
      <c r="N532" s="8">
        <f>IF(OR(LOOKUP(A532,characters!A:A,characters!B:B)=-1, LOOKUP(A532,characters!A:A,characters!B:B)+0.1&gt;=B532),1,0)</f>
        <v/>
      </c>
    </row>
    <row r="533" spans="1:14">
      <c r="A533" s="4" t="s">
        <v>59</v>
      </c>
      <c r="B533" s="7">
        <v>2</v>
      </c>
      <c r="C533" s="6">
        <f>IF(N533=1,1.0,0)</f>
        <v/>
      </c>
      <c r="D533" s="6">
        <f>IF(N533=1,1.0,0)</f>
        <v/>
      </c>
      <c r="E533" s="6">
        <f>IF(N533=1,1.0,0)</f>
        <v/>
      </c>
      <c r="F533" s="6">
        <f>IF(N533=1,0.9,0)</f>
        <v/>
      </c>
      <c r="G533" s="5" t="s">
        <v>17</v>
      </c>
      <c r="H533" s="5" t="s">
        <v>17</v>
      </c>
      <c r="I533" s="5" t="s">
        <v>17</v>
      </c>
      <c r="J533" s="5" t="s">
        <v>17</v>
      </c>
      <c r="K533" s="5" t="s">
        <v>17</v>
      </c>
      <c r="L533" s="5" t="s">
        <v>17</v>
      </c>
      <c r="M533" s="5" t="s">
        <v>17</v>
      </c>
      <c r="N533" s="8">
        <f>IF(OR(LOOKUP(A533,characters!A:A,characters!B:B)=-1, LOOKUP(A533,characters!A:A,characters!B:B)+0.1&gt;=B533),1,0)</f>
        <v/>
      </c>
    </row>
    <row r="534" spans="1:14">
      <c r="A534" s="4" t="s">
        <v>60</v>
      </c>
      <c r="B534" s="7">
        <v>2</v>
      </c>
      <c r="C534" s="6">
        <f>IF(N534=1,1.0,0)</f>
        <v/>
      </c>
      <c r="D534" s="6">
        <f>IF(N534=1,1.0,0)</f>
        <v/>
      </c>
      <c r="E534" s="6">
        <f>IF(N534=1,1.0,0)</f>
        <v/>
      </c>
      <c r="F534" s="6">
        <f>IF(N534=1,0.9,0)</f>
        <v/>
      </c>
      <c r="G534" s="5" t="s">
        <v>17</v>
      </c>
      <c r="H534" s="5" t="s">
        <v>17</v>
      </c>
      <c r="I534" s="5" t="s">
        <v>17</v>
      </c>
      <c r="J534" s="5" t="s">
        <v>17</v>
      </c>
      <c r="K534" s="5" t="s">
        <v>17</v>
      </c>
      <c r="L534" s="5" t="s">
        <v>17</v>
      </c>
      <c r="M534" s="5" t="s">
        <v>17</v>
      </c>
      <c r="N534" s="8">
        <f>IF(OR(LOOKUP(A534,characters!A:A,characters!B:B)=-1, LOOKUP(A534,characters!A:A,characters!B:B)+0.1&gt;=B534),1,0)</f>
        <v/>
      </c>
    </row>
    <row r="535" spans="1:14">
      <c r="A535" s="4" t="s">
        <v>83</v>
      </c>
      <c r="B535" s="7">
        <v>2</v>
      </c>
      <c r="C535" s="6">
        <f>IF(N535=1,1.0,0)</f>
        <v/>
      </c>
      <c r="D535" s="6">
        <f>IF(N535=1,0.9,0)</f>
        <v/>
      </c>
      <c r="E535" s="6">
        <f>IF(N535=1,0.9,0)</f>
        <v/>
      </c>
      <c r="F535" s="6">
        <f>IF(N535=1,0.8,0)</f>
        <v/>
      </c>
      <c r="G535" s="5" t="s">
        <v>17</v>
      </c>
      <c r="H535" s="5" t="s">
        <v>17</v>
      </c>
      <c r="I535" s="5" t="s">
        <v>17</v>
      </c>
      <c r="J535" s="5" t="s">
        <v>17</v>
      </c>
      <c r="K535" s="5" t="s">
        <v>17</v>
      </c>
      <c r="L535" s="5" t="s">
        <v>17</v>
      </c>
      <c r="M535" s="5" t="s">
        <v>17</v>
      </c>
      <c r="N535" s="8">
        <f>IF(OR(LOOKUP(A535,characters!A:A,characters!B:B)=-1, LOOKUP(A535,characters!A:A,characters!B:B)+0.1&gt;=B535),1,0)</f>
        <v/>
      </c>
    </row>
    <row r="536" spans="1:14">
      <c r="A536" s="4" t="s">
        <v>57</v>
      </c>
      <c r="B536" s="7">
        <v>2</v>
      </c>
      <c r="C536" s="6">
        <f>IF(N536=1,1.0,0)</f>
        <v/>
      </c>
      <c r="D536" s="6">
        <f>IF(N536=1,0.99,0)</f>
        <v/>
      </c>
      <c r="E536" s="6">
        <f>IF(N536=1,1.0,0)</f>
        <v/>
      </c>
      <c r="F536" s="6">
        <f>IF(N536=1,0.89,0)</f>
        <v/>
      </c>
      <c r="G536" s="5" t="s">
        <v>17</v>
      </c>
      <c r="H536" s="5" t="s">
        <v>17</v>
      </c>
      <c r="I536" s="5" t="s">
        <v>17</v>
      </c>
      <c r="J536" s="5" t="s">
        <v>17</v>
      </c>
      <c r="K536" s="5" t="s">
        <v>17</v>
      </c>
      <c r="L536" s="5" t="s">
        <v>17</v>
      </c>
      <c r="M536" s="5" t="s">
        <v>17</v>
      </c>
      <c r="N536" s="8">
        <f>IF(OR(LOOKUP(A536,characters!A:A,characters!B:B)=-1, LOOKUP(A536,characters!A:A,characters!B:B)+0.1&gt;=B536),1,0)</f>
        <v/>
      </c>
    </row>
    <row r="537" spans="1:14">
      <c r="A537" s="4" t="s">
        <v>88</v>
      </c>
      <c r="B537" s="7">
        <v>2</v>
      </c>
      <c r="C537" s="6">
        <f>IF(N537=1,1.0,0)</f>
        <v/>
      </c>
      <c r="D537" s="6">
        <f>IF(N537=1,0.9,0)</f>
        <v/>
      </c>
      <c r="E537" s="6">
        <f>IF(N537=1,0.9,0)</f>
        <v/>
      </c>
      <c r="F537" s="6">
        <f>IF(N537=1,0.8,0)</f>
        <v/>
      </c>
      <c r="G537" s="5" t="s">
        <v>17</v>
      </c>
      <c r="H537" s="5" t="s">
        <v>17</v>
      </c>
      <c r="I537" s="5" t="s">
        <v>17</v>
      </c>
      <c r="J537" s="5" t="s">
        <v>17</v>
      </c>
      <c r="K537" s="5" t="s">
        <v>17</v>
      </c>
      <c r="L537" s="5" t="s">
        <v>17</v>
      </c>
      <c r="M537" s="5" t="s">
        <v>17</v>
      </c>
      <c r="N537" s="8">
        <f>IF(OR(LOOKUP(A537,characters!A:A,characters!B:B)=-1, LOOKUP(A537,characters!A:A,characters!B:B)+0.1&gt;=B537),1,0)</f>
        <v/>
      </c>
    </row>
    <row r="538" spans="1:14">
      <c r="A538" s="4" t="s">
        <v>89</v>
      </c>
      <c r="B538" s="7">
        <v>2</v>
      </c>
      <c r="C538" s="5" t="s">
        <v>17</v>
      </c>
      <c r="D538" s="6">
        <f>IF(N538=1,1.0,0)</f>
        <v/>
      </c>
      <c r="E538" s="6">
        <f>IF(N538=1,1.0,0)</f>
        <v/>
      </c>
      <c r="F538" s="6">
        <f>IF(N538=1,0.9,0)</f>
        <v/>
      </c>
      <c r="G538" s="5" t="s">
        <v>17</v>
      </c>
      <c r="H538" s="5" t="s">
        <v>17</v>
      </c>
      <c r="I538" s="5" t="s">
        <v>17</v>
      </c>
      <c r="J538" s="5" t="s">
        <v>17</v>
      </c>
      <c r="K538" s="5" t="s">
        <v>17</v>
      </c>
      <c r="L538" s="5" t="s">
        <v>17</v>
      </c>
      <c r="M538" s="5" t="s">
        <v>17</v>
      </c>
      <c r="N538" s="8">
        <f>IF(OR(LOOKUP(A538,characters!A:A,characters!B:B)=-1, LOOKUP(A538,characters!A:A,characters!B:B)+0.1&gt;=B538),1,0)</f>
        <v/>
      </c>
    </row>
    <row r="539" spans="1:14">
      <c r="A539" s="4" t="s">
        <v>52</v>
      </c>
      <c r="B539" s="7">
        <v>2</v>
      </c>
      <c r="C539" s="6">
        <f>IF(N539=1,1.0,0)</f>
        <v/>
      </c>
      <c r="D539" s="6">
        <f>IF(N539=1,0.89,0)</f>
        <v/>
      </c>
      <c r="E539" s="6">
        <f>IF(N539=1,0.89,0)</f>
        <v/>
      </c>
      <c r="F539" s="6">
        <f>IF(N539=1,0.79,0)</f>
        <v/>
      </c>
      <c r="G539" s="6">
        <f>IF(N539=1,0.9,0)</f>
        <v/>
      </c>
      <c r="H539" s="5" t="s">
        <v>17</v>
      </c>
      <c r="I539" s="5" t="s">
        <v>17</v>
      </c>
      <c r="J539" s="5" t="s">
        <v>17</v>
      </c>
      <c r="K539" s="5" t="s">
        <v>17</v>
      </c>
      <c r="L539" s="5" t="s">
        <v>17</v>
      </c>
      <c r="M539" s="5" t="s">
        <v>17</v>
      </c>
      <c r="N539" s="8">
        <f>IF(OR(LOOKUP(A539,characters!A:A,characters!B:B)=-1, LOOKUP(A539,characters!A:A,characters!B:B)+0.1&gt;=B539),1,0)</f>
        <v/>
      </c>
    </row>
    <row r="540" spans="1:14">
      <c r="A540" s="4" t="s">
        <v>93</v>
      </c>
      <c r="B540" s="7">
        <v>2</v>
      </c>
      <c r="C540" s="6">
        <f>IF(N540=1,1.0,0)</f>
        <v/>
      </c>
      <c r="D540" s="6">
        <f>IF(N540=1,0.89,0)</f>
        <v/>
      </c>
      <c r="E540" s="6">
        <f>IF(N540=1,0.89,0)</f>
        <v/>
      </c>
      <c r="F540" s="6">
        <f>IF(N540=1,0.79,0)</f>
        <v/>
      </c>
      <c r="G540" s="6">
        <f>IF(N540=1,0.9,0)</f>
        <v/>
      </c>
      <c r="H540" s="5" t="s">
        <v>17</v>
      </c>
      <c r="I540" s="5" t="s">
        <v>17</v>
      </c>
      <c r="J540" s="5" t="s">
        <v>17</v>
      </c>
      <c r="K540" s="5" t="s">
        <v>17</v>
      </c>
      <c r="L540" s="5" t="s">
        <v>17</v>
      </c>
      <c r="M540" s="5" t="s">
        <v>17</v>
      </c>
      <c r="N540" s="8">
        <f>IF(OR(LOOKUP(A540,characters!A:A,characters!B:B)=-1, LOOKUP(A540,characters!A:A,characters!B:B)+0.1&gt;=B540),1,0)</f>
        <v/>
      </c>
    </row>
    <row r="541" spans="1:14">
      <c r="A541" s="4" t="s">
        <v>18</v>
      </c>
      <c r="B541" s="7">
        <v>3</v>
      </c>
      <c r="C541" s="6">
        <f>IF(N541=1,1.0,0)</f>
        <v/>
      </c>
      <c r="D541" s="6">
        <f>IF(N541=1,0.9,0)</f>
        <v/>
      </c>
      <c r="E541" s="6">
        <f>IF(N541=1,0.9,0)</f>
        <v/>
      </c>
      <c r="F541" s="6">
        <f>IF(N541=1,0.8,0)</f>
        <v/>
      </c>
      <c r="G541" s="5" t="s">
        <v>17</v>
      </c>
      <c r="H541" s="5" t="s">
        <v>17</v>
      </c>
      <c r="I541" s="5" t="s">
        <v>17</v>
      </c>
      <c r="J541" s="5" t="s">
        <v>17</v>
      </c>
      <c r="K541" s="5" t="s">
        <v>17</v>
      </c>
      <c r="L541" s="5" t="s">
        <v>17</v>
      </c>
      <c r="M541" s="5" t="s">
        <v>17</v>
      </c>
      <c r="N541" s="8">
        <f>IF(OR(LOOKUP(A541,characters!A:A,characters!B:B)=-1, LOOKUP(A541,characters!A:A,characters!B:B)+0.1&gt;=B541),1,0)</f>
        <v/>
      </c>
    </row>
    <row r="542" spans="1:14">
      <c r="A542" s="4" t="s">
        <v>85</v>
      </c>
      <c r="B542" s="7">
        <v>3</v>
      </c>
      <c r="C542" s="6">
        <f>IF(N542=1,1.0,0)</f>
        <v/>
      </c>
      <c r="D542" s="6">
        <f>IF(N542=1,1.0,0)</f>
        <v/>
      </c>
      <c r="E542" s="6">
        <f>IF(N542=1,1.0,0)</f>
        <v/>
      </c>
      <c r="F542" s="6">
        <f>IF(N542=1,0.9,0)</f>
        <v/>
      </c>
      <c r="G542" s="5" t="s">
        <v>17</v>
      </c>
      <c r="H542" s="5" t="s">
        <v>17</v>
      </c>
      <c r="I542" s="5" t="s">
        <v>17</v>
      </c>
      <c r="J542" s="5" t="s">
        <v>17</v>
      </c>
      <c r="K542" s="5" t="s">
        <v>17</v>
      </c>
      <c r="L542" s="5" t="s">
        <v>17</v>
      </c>
      <c r="M542" s="5" t="s">
        <v>17</v>
      </c>
      <c r="N542" s="8">
        <f>IF(OR(LOOKUP(A542,characters!A:A,characters!B:B)=-1, LOOKUP(A542,characters!A:A,characters!B:B)+0.1&gt;=B542),1,0)</f>
        <v/>
      </c>
    </row>
    <row r="543" spans="1:14">
      <c r="A543" s="4" t="s">
        <v>55</v>
      </c>
      <c r="B543" s="7">
        <v>3</v>
      </c>
      <c r="C543" s="6">
        <f>IF(N543=1,1.0,0)</f>
        <v/>
      </c>
      <c r="D543" s="6">
        <f>IF(N543=1,0.9,0)</f>
        <v/>
      </c>
      <c r="E543" s="6">
        <f>IF(N543=1,0.9,0)</f>
        <v/>
      </c>
      <c r="F543" s="6">
        <f>IF(N543=1,0.8,0)</f>
        <v/>
      </c>
      <c r="G543" s="5" t="s">
        <v>17</v>
      </c>
      <c r="H543" s="5" t="s">
        <v>17</v>
      </c>
      <c r="I543" s="5" t="s">
        <v>17</v>
      </c>
      <c r="J543" s="5" t="s">
        <v>17</v>
      </c>
      <c r="K543" s="5" t="s">
        <v>17</v>
      </c>
      <c r="L543" s="5" t="s">
        <v>17</v>
      </c>
      <c r="M543" s="5" t="s">
        <v>17</v>
      </c>
      <c r="N543" s="8">
        <f>IF(OR(LOOKUP(A543,characters!A:A,characters!B:B)=-1, LOOKUP(A543,characters!A:A,characters!B:B)+0.1&gt;=B543),1,0)</f>
        <v/>
      </c>
    </row>
    <row r="544" spans="1:14">
      <c r="A544" s="4" t="s">
        <v>62</v>
      </c>
      <c r="B544" s="7">
        <v>3</v>
      </c>
      <c r="C544" s="6">
        <f>IF(N544=1,0.79,0)</f>
        <v/>
      </c>
      <c r="D544" s="6">
        <f>IF(N544=1,0.99,0)</f>
        <v/>
      </c>
      <c r="E544" s="6">
        <f>IF(N544=1,1.0,0)</f>
        <v/>
      </c>
      <c r="F544" s="6">
        <f>IF(N544=1,0.89,0)</f>
        <v/>
      </c>
      <c r="G544" s="5" t="s">
        <v>17</v>
      </c>
      <c r="H544" s="5" t="s">
        <v>17</v>
      </c>
      <c r="I544" s="5" t="s">
        <v>17</v>
      </c>
      <c r="J544" s="5" t="s">
        <v>17</v>
      </c>
      <c r="K544" s="5" t="s">
        <v>17</v>
      </c>
      <c r="L544" s="5" t="s">
        <v>17</v>
      </c>
      <c r="M544" s="5" t="s">
        <v>17</v>
      </c>
      <c r="N544" s="8">
        <f>IF(OR(LOOKUP(A544,characters!A:A,characters!B:B)=-1, LOOKUP(A544,characters!A:A,characters!B:B)+0.1&gt;=B544),1,0)</f>
        <v/>
      </c>
    </row>
    <row r="545" spans="1:14">
      <c r="A545" s="4" t="s">
        <v>87</v>
      </c>
      <c r="B545" s="7">
        <v>3</v>
      </c>
      <c r="C545" s="6">
        <f>IF(N545=1,1.0,0)</f>
        <v/>
      </c>
      <c r="D545" s="6">
        <f>IF(N545=1,0.9,0)</f>
        <v/>
      </c>
      <c r="E545" s="6">
        <f>IF(N545=1,0.9,0)</f>
        <v/>
      </c>
      <c r="F545" s="6">
        <f>IF(N545=1,0.8,0)</f>
        <v/>
      </c>
      <c r="G545" s="5" t="s">
        <v>17</v>
      </c>
      <c r="H545" s="5" t="s">
        <v>17</v>
      </c>
      <c r="I545" s="5" t="s">
        <v>17</v>
      </c>
      <c r="J545" s="5" t="s">
        <v>17</v>
      </c>
      <c r="K545" s="5" t="s">
        <v>17</v>
      </c>
      <c r="L545" s="5" t="s">
        <v>17</v>
      </c>
      <c r="M545" s="5" t="s">
        <v>17</v>
      </c>
      <c r="N545" s="8">
        <f>IF(OR(LOOKUP(A545,characters!A:A,characters!B:B)=-1, LOOKUP(A545,characters!A:A,characters!B:B)+0.1&gt;=B545),1,0)</f>
        <v/>
      </c>
    </row>
    <row r="546" spans="1:14">
      <c r="A546" s="4" t="s">
        <v>21</v>
      </c>
      <c r="B546" s="7">
        <v>3</v>
      </c>
      <c r="C546" s="6">
        <f>IF(N546=1,1.0,0)</f>
        <v/>
      </c>
      <c r="D546" s="6">
        <f>IF(N546=1,0.9,0)</f>
        <v/>
      </c>
      <c r="E546" s="6">
        <f>IF(N546=1,0.9,0)</f>
        <v/>
      </c>
      <c r="F546" s="6">
        <f>IF(N546=1,0.8,0)</f>
        <v/>
      </c>
      <c r="G546" s="5" t="s">
        <v>17</v>
      </c>
      <c r="H546" s="5" t="s">
        <v>17</v>
      </c>
      <c r="I546" s="5" t="s">
        <v>17</v>
      </c>
      <c r="J546" s="5" t="s">
        <v>17</v>
      </c>
      <c r="K546" s="5" t="s">
        <v>17</v>
      </c>
      <c r="L546" s="5" t="s">
        <v>17</v>
      </c>
      <c r="M546" s="5" t="s">
        <v>17</v>
      </c>
      <c r="N546" s="8">
        <f>IF(OR(LOOKUP(A546,characters!A:A,characters!B:B)=-1, LOOKUP(A546,characters!A:A,characters!B:B)+0.1&gt;=B546),1,0)</f>
        <v/>
      </c>
    </row>
    <row r="547" spans="1:14">
      <c r="A547" s="4" t="s">
        <v>58</v>
      </c>
      <c r="B547" s="7">
        <v>3</v>
      </c>
      <c r="C547" s="6">
        <f>IF(N547=1,1.0,0)</f>
        <v/>
      </c>
      <c r="D547" s="6">
        <f>IF(N547=1,0.9,0)</f>
        <v/>
      </c>
      <c r="E547" s="6">
        <f>IF(N547=1,0.9,0)</f>
        <v/>
      </c>
      <c r="F547" s="6">
        <f>IF(N547=1,0.8,0)</f>
        <v/>
      </c>
      <c r="G547" s="5" t="s">
        <v>17</v>
      </c>
      <c r="H547" s="5" t="s">
        <v>17</v>
      </c>
      <c r="I547" s="5" t="s">
        <v>17</v>
      </c>
      <c r="J547" s="5" t="s">
        <v>17</v>
      </c>
      <c r="K547" s="5" t="s">
        <v>17</v>
      </c>
      <c r="L547" s="5" t="s">
        <v>17</v>
      </c>
      <c r="M547" s="5" t="s">
        <v>17</v>
      </c>
      <c r="N547" s="8">
        <f>IF(OR(LOOKUP(A547,characters!A:A,characters!B:B)=-1, LOOKUP(A547,characters!A:A,characters!B:B)+0.1&gt;=B547),1,0)</f>
        <v/>
      </c>
    </row>
    <row r="548" spans="1:14">
      <c r="A548" s="4" t="s">
        <v>90</v>
      </c>
      <c r="B548" s="7">
        <v>4</v>
      </c>
      <c r="C548" s="6">
        <f>IF(N548=1,1.0,0)</f>
        <v/>
      </c>
      <c r="D548" s="6">
        <f>IF(N548=1,0.9,0)</f>
        <v/>
      </c>
      <c r="E548" s="6">
        <f>IF(N548=1,0.9,0)</f>
        <v/>
      </c>
      <c r="F548" s="6">
        <f>IF(N548=1,0.8,0)</f>
        <v/>
      </c>
      <c r="G548" s="5" t="s">
        <v>17</v>
      </c>
      <c r="H548" s="5" t="s">
        <v>17</v>
      </c>
      <c r="I548" s="5" t="s">
        <v>17</v>
      </c>
      <c r="J548" s="6">
        <f>IF(N548=1,1.0,0)</f>
        <v/>
      </c>
      <c r="K548" s="5" t="s">
        <v>17</v>
      </c>
      <c r="L548" s="5" t="s">
        <v>17</v>
      </c>
      <c r="M548" s="5" t="s">
        <v>17</v>
      </c>
      <c r="N548" s="8">
        <f>IF(OR(LOOKUP(A548,characters!A:A,characters!B:B)=-1, LOOKUP(A548,characters!A:A,characters!B:B)+0.1&gt;=B548),1,0)</f>
        <v/>
      </c>
    </row>
    <row r="550" spans="1:14">
      <c r="A550" s="3" t="s">
        <v>30</v>
      </c>
      <c r="B550" s="3" t="s">
        <v>9</v>
      </c>
      <c r="C550" s="3" t="s">
        <v>11</v>
      </c>
      <c r="D550" s="3" t="s">
        <v>66</v>
      </c>
      <c r="E550" s="3" t="s">
        <v>63</v>
      </c>
      <c r="F550" s="3" t="s">
        <v>26</v>
      </c>
      <c r="G550" s="3" t="s">
        <v>45</v>
      </c>
      <c r="H550" s="3" t="s">
        <v>64</v>
      </c>
      <c r="I550" s="3" t="s">
        <v>27</v>
      </c>
      <c r="J550" s="3" t="s">
        <v>47</v>
      </c>
      <c r="K550" s="3" t="s">
        <v>65</v>
      </c>
      <c r="L550" s="3" t="s">
        <v>46</v>
      </c>
    </row>
    <row r="551" spans="1:14">
      <c r="A551" s="4" t="s">
        <v>16</v>
      </c>
      <c r="B551" s="5" t="s">
        <v>17</v>
      </c>
      <c r="C551" s="6">
        <f>IF(SUM(M552:M576)=0,0,SUM(C552:C576)/SUM(M552:M576))</f>
        <v/>
      </c>
      <c r="D551" s="6">
        <f>IF(SUM(M552:M576)=0,0,SUM(D552:D576)/SUM(M552:M576))</f>
        <v/>
      </c>
      <c r="E551" s="6">
        <f>IF(SUM(M552:M576)=0,0,SUM(E552:E576)/SUM(M552:M576))</f>
        <v/>
      </c>
      <c r="F551" s="6">
        <f>IF(SUM(M552:M576)=0,0,SUM(F552:F576)/SUM(M552:M576))</f>
        <v/>
      </c>
      <c r="G551" s="6">
        <f>IF(SUM(M552:M576)=0,0,SUM(G552:G576)/SUM(M552:M576))</f>
        <v/>
      </c>
      <c r="H551" s="6">
        <f>IF(SUM(M552:M576)=0,0,SUM(H552:H576)/SUM(M552:M576))</f>
        <v/>
      </c>
      <c r="I551" s="6">
        <f>IF(SUM(M552:M576)=0,0,SUM(I552:I576)/SUM(M552:M576))</f>
        <v/>
      </c>
      <c r="J551" s="6">
        <f>IF(SUM(M552:M576)=0,0,SUM(J552:J576)/SUM(M552:M576))</f>
        <v/>
      </c>
      <c r="K551" s="6">
        <f>IF(SUM(M552:M576)=0,0,SUM(K552:K576)/SUM(M552:M576))</f>
        <v/>
      </c>
      <c r="L551" s="6">
        <f>IF(SUM(M552:M576)=0,0,SUM(L552:L576)/SUM(M552:M576))</f>
        <v/>
      </c>
    </row>
    <row r="552" spans="1:14">
      <c r="A552" s="4" t="s">
        <v>22</v>
      </c>
      <c r="B552" s="7">
        <v>1</v>
      </c>
      <c r="C552" s="6">
        <f>IF(M552=1,1.0,0)</f>
        <v/>
      </c>
      <c r="D552" s="6">
        <f>IF(M552=1,0.9,0)</f>
        <v/>
      </c>
      <c r="E552" s="5" t="s">
        <v>17</v>
      </c>
      <c r="F552" s="5" t="s">
        <v>17</v>
      </c>
      <c r="G552" s="5" t="s">
        <v>17</v>
      </c>
      <c r="H552" s="5" t="s">
        <v>17</v>
      </c>
      <c r="I552" s="5" t="s">
        <v>17</v>
      </c>
      <c r="J552" s="5" t="s">
        <v>17</v>
      </c>
      <c r="K552" s="5" t="s">
        <v>17</v>
      </c>
      <c r="L552" s="5" t="s">
        <v>17</v>
      </c>
      <c r="M552" s="8">
        <f>IF(OR(LOOKUP(A552,characters!A:A,characters!B:B)=-1, LOOKUP(A552,characters!A:A,characters!B:B)+0.1&gt;=B552),1,0)</f>
        <v/>
      </c>
    </row>
    <row r="553" spans="1:14">
      <c r="A553" s="4" t="s">
        <v>50</v>
      </c>
      <c r="B553" s="7">
        <v>0</v>
      </c>
      <c r="C553" s="6">
        <f>IF(M553=1,1.0,0)</f>
        <v/>
      </c>
      <c r="D553" s="5" t="s">
        <v>17</v>
      </c>
      <c r="E553" s="6">
        <f>IF(M553=1,1.0,0)</f>
        <v/>
      </c>
      <c r="F553" s="5" t="s">
        <v>17</v>
      </c>
      <c r="G553" s="5" t="s">
        <v>17</v>
      </c>
      <c r="H553" s="5" t="s">
        <v>17</v>
      </c>
      <c r="I553" s="5" t="s">
        <v>17</v>
      </c>
      <c r="J553" s="5" t="s">
        <v>17</v>
      </c>
      <c r="K553" s="5" t="s">
        <v>17</v>
      </c>
      <c r="L553" s="5" t="s">
        <v>17</v>
      </c>
      <c r="M553" s="8">
        <f>IF(OR(LOOKUP(A553,characters!A:A,characters!B:B)=-1, LOOKUP(A553,characters!A:A,characters!B:B)+0.1&gt;=B553),1,0)</f>
        <v/>
      </c>
    </row>
    <row r="554" spans="1:14">
      <c r="A554" s="4" t="s">
        <v>18</v>
      </c>
      <c r="B554" s="7">
        <v>3</v>
      </c>
      <c r="C554" s="6">
        <f>IF(M554=1,0.9,0)</f>
        <v/>
      </c>
      <c r="D554" s="6">
        <f>IF(M554=1,1.0,0)</f>
        <v/>
      </c>
      <c r="E554" s="5" t="s">
        <v>17</v>
      </c>
      <c r="F554" s="5" t="s">
        <v>17</v>
      </c>
      <c r="G554" s="5" t="s">
        <v>17</v>
      </c>
      <c r="H554" s="5" t="s">
        <v>17</v>
      </c>
      <c r="I554" s="5" t="s">
        <v>17</v>
      </c>
      <c r="J554" s="5" t="s">
        <v>17</v>
      </c>
      <c r="K554" s="5" t="s">
        <v>17</v>
      </c>
      <c r="L554" s="5" t="s">
        <v>17</v>
      </c>
      <c r="M554" s="8">
        <f>IF(OR(LOOKUP(A554,characters!A:A,characters!B:B)=-1, LOOKUP(A554,characters!A:A,characters!B:B)+0.1&gt;=B554),1,0)</f>
        <v/>
      </c>
    </row>
    <row r="555" spans="1:14">
      <c r="A555" s="4" t="s">
        <v>36</v>
      </c>
      <c r="B555" s="7">
        <v>0</v>
      </c>
      <c r="C555" s="5" t="s">
        <v>17</v>
      </c>
      <c r="D555" s="5" t="s">
        <v>17</v>
      </c>
      <c r="E555" s="5" t="s">
        <v>17</v>
      </c>
      <c r="F555" s="6">
        <f>IF(M555=1,1.0,0)</f>
        <v/>
      </c>
      <c r="G555" s="6">
        <f>IF(M555=1,1.0,0)</f>
        <v/>
      </c>
      <c r="H555" s="5" t="s">
        <v>17</v>
      </c>
      <c r="I555" s="5" t="s">
        <v>17</v>
      </c>
      <c r="J555" s="5" t="s">
        <v>17</v>
      </c>
      <c r="K555" s="5" t="s">
        <v>17</v>
      </c>
      <c r="L555" s="5" t="s">
        <v>17</v>
      </c>
      <c r="M555" s="8">
        <f>IF(OR(LOOKUP(A555,characters!A:A,characters!B:B)=-1, LOOKUP(A555,characters!A:A,characters!B:B)+0.1&gt;=B555),1,0)</f>
        <v/>
      </c>
    </row>
    <row r="556" spans="1:14">
      <c r="A556" s="4" t="s">
        <v>107</v>
      </c>
      <c r="B556" s="7">
        <v>1</v>
      </c>
      <c r="C556" s="5" t="s">
        <v>17</v>
      </c>
      <c r="D556" s="5" t="s">
        <v>17</v>
      </c>
      <c r="E556" s="5" t="s">
        <v>17</v>
      </c>
      <c r="F556" s="5" t="s">
        <v>17</v>
      </c>
      <c r="G556" s="5" t="s">
        <v>17</v>
      </c>
      <c r="H556" s="6">
        <f>IF(M556=1,1.0,0)</f>
        <v/>
      </c>
      <c r="I556" s="6">
        <f>IF(M556=1,0.99,0)</f>
        <v/>
      </c>
      <c r="J556" s="5" t="s">
        <v>17</v>
      </c>
      <c r="K556" s="5" t="s">
        <v>17</v>
      </c>
      <c r="L556" s="5" t="s">
        <v>17</v>
      </c>
      <c r="M556" s="8">
        <f>IF(OR(LOOKUP(A556,characters!A:A,characters!B:B)=-1, LOOKUP(A556,characters!A:A,characters!B:B)+0.1&gt;=B556),1,0)</f>
        <v/>
      </c>
    </row>
    <row r="557" spans="1:14">
      <c r="A557" s="4" t="s">
        <v>51</v>
      </c>
      <c r="B557" s="7">
        <v>1</v>
      </c>
      <c r="C557" s="6">
        <f>IF(M557=1,0.9,0)</f>
        <v/>
      </c>
      <c r="D557" s="5" t="s">
        <v>17</v>
      </c>
      <c r="E557" s="6">
        <f>IF(M557=1,1.0,0)</f>
        <v/>
      </c>
      <c r="F557" s="5" t="s">
        <v>17</v>
      </c>
      <c r="G557" s="5" t="s">
        <v>17</v>
      </c>
      <c r="H557" s="5" t="s">
        <v>17</v>
      </c>
      <c r="I557" s="5" t="s">
        <v>17</v>
      </c>
      <c r="J557" s="5" t="s">
        <v>17</v>
      </c>
      <c r="K557" s="5" t="s">
        <v>17</v>
      </c>
      <c r="L557" s="5" t="s">
        <v>17</v>
      </c>
      <c r="M557" s="8">
        <f>IF(OR(LOOKUP(A557,characters!A:A,characters!B:B)=-1, LOOKUP(A557,characters!A:A,characters!B:B)+0.1&gt;=B557),1,0)</f>
        <v/>
      </c>
    </row>
    <row r="558" spans="1:14">
      <c r="A558" s="4" t="s">
        <v>85</v>
      </c>
      <c r="B558" s="7">
        <v>3</v>
      </c>
      <c r="C558" s="6">
        <f>IF(M558=1,0.99,0)</f>
        <v/>
      </c>
      <c r="D558" s="5" t="s">
        <v>17</v>
      </c>
      <c r="E558" s="5" t="s">
        <v>17</v>
      </c>
      <c r="F558" s="5" t="s">
        <v>17</v>
      </c>
      <c r="G558" s="5" t="s">
        <v>17</v>
      </c>
      <c r="H558" s="6">
        <f>IF(M558=1,1.0,0)</f>
        <v/>
      </c>
      <c r="I558" s="5" t="s">
        <v>17</v>
      </c>
      <c r="J558" s="5" t="s">
        <v>17</v>
      </c>
      <c r="K558" s="5" t="s">
        <v>17</v>
      </c>
      <c r="L558" s="5" t="s">
        <v>17</v>
      </c>
      <c r="M558" s="8">
        <f>IF(OR(LOOKUP(A558,characters!A:A,characters!B:B)=-1, LOOKUP(A558,characters!A:A,characters!B:B)+0.1&gt;=B558),1,0)</f>
        <v/>
      </c>
    </row>
    <row r="559" spans="1:14">
      <c r="A559" s="4" t="s">
        <v>55</v>
      </c>
      <c r="B559" s="7">
        <v>3</v>
      </c>
      <c r="C559" s="6">
        <f>IF(M559=1,0.99,0)</f>
        <v/>
      </c>
      <c r="D559" s="5" t="s">
        <v>17</v>
      </c>
      <c r="E559" s="5" t="s">
        <v>17</v>
      </c>
      <c r="F559" s="5" t="s">
        <v>17</v>
      </c>
      <c r="G559" s="6">
        <f>IF(M559=1,1.0,0)</f>
        <v/>
      </c>
      <c r="H559" s="5" t="s">
        <v>17</v>
      </c>
      <c r="I559" s="5" t="s">
        <v>17</v>
      </c>
      <c r="J559" s="5" t="s">
        <v>17</v>
      </c>
      <c r="K559" s="5" t="s">
        <v>17</v>
      </c>
      <c r="L559" s="5" t="s">
        <v>17</v>
      </c>
      <c r="M559" s="8">
        <f>IF(OR(LOOKUP(A559,characters!A:A,characters!B:B)=-1, LOOKUP(A559,characters!A:A,characters!B:B)+0.1&gt;=B559),1,0)</f>
        <v/>
      </c>
    </row>
    <row r="560" spans="1:14">
      <c r="A560" s="4" t="s">
        <v>56</v>
      </c>
      <c r="B560" s="7">
        <v>2</v>
      </c>
      <c r="C560" s="6">
        <f>IF(M560=1,0.9,0)</f>
        <v/>
      </c>
      <c r="D560" s="5" t="s">
        <v>17</v>
      </c>
      <c r="E560" s="5" t="s">
        <v>17</v>
      </c>
      <c r="F560" s="5" t="s">
        <v>17</v>
      </c>
      <c r="G560" s="5" t="s">
        <v>17</v>
      </c>
      <c r="H560" s="6">
        <f>IF(M560=1,1.0,0)</f>
        <v/>
      </c>
      <c r="I560" s="5" t="s">
        <v>17</v>
      </c>
      <c r="J560" s="5" t="s">
        <v>17</v>
      </c>
      <c r="K560" s="5" t="s">
        <v>17</v>
      </c>
      <c r="L560" s="5" t="s">
        <v>17</v>
      </c>
      <c r="M560" s="8">
        <f>IF(OR(LOOKUP(A560,characters!A:A,characters!B:B)=-1, LOOKUP(A560,characters!A:A,characters!B:B)+0.1&gt;=B560),1,0)</f>
        <v/>
      </c>
    </row>
    <row r="561" spans="1:13">
      <c r="A561" s="4" t="s">
        <v>59</v>
      </c>
      <c r="B561" s="7">
        <v>2</v>
      </c>
      <c r="C561" s="6">
        <f>IF(M561=1,0.9,0)</f>
        <v/>
      </c>
      <c r="D561" s="5" t="s">
        <v>17</v>
      </c>
      <c r="E561" s="5" t="s">
        <v>17</v>
      </c>
      <c r="F561" s="5" t="s">
        <v>17</v>
      </c>
      <c r="G561" s="5" t="s">
        <v>17</v>
      </c>
      <c r="H561" s="5" t="s">
        <v>17</v>
      </c>
      <c r="I561" s="5" t="s">
        <v>17</v>
      </c>
      <c r="J561" s="6">
        <f>IF(M561=1,1.0,0)</f>
        <v/>
      </c>
      <c r="K561" s="5" t="s">
        <v>17</v>
      </c>
      <c r="L561" s="5" t="s">
        <v>17</v>
      </c>
      <c r="M561" s="8">
        <f>IF(OR(LOOKUP(A561,characters!A:A,characters!B:B)=-1, LOOKUP(A561,characters!A:A,characters!B:B)+0.1&gt;=B561),1,0)</f>
        <v/>
      </c>
    </row>
    <row r="562" spans="1:13">
      <c r="A562" s="4" t="s">
        <v>60</v>
      </c>
      <c r="B562" s="7">
        <v>2</v>
      </c>
      <c r="C562" s="6">
        <f>IF(M562=1,0.9,0)</f>
        <v/>
      </c>
      <c r="D562" s="5" t="s">
        <v>17</v>
      </c>
      <c r="E562" s="5" t="s">
        <v>17</v>
      </c>
      <c r="F562" s="5" t="s">
        <v>17</v>
      </c>
      <c r="G562" s="5" t="s">
        <v>17</v>
      </c>
      <c r="H562" s="5" t="s">
        <v>17</v>
      </c>
      <c r="I562" s="5" t="s">
        <v>17</v>
      </c>
      <c r="J562" s="5" t="s">
        <v>17</v>
      </c>
      <c r="K562" s="6">
        <f>IF(M562=1,1.0,0)</f>
        <v/>
      </c>
      <c r="L562" s="5" t="s">
        <v>17</v>
      </c>
      <c r="M562" s="8">
        <f>IF(OR(LOOKUP(A562,characters!A:A,characters!B:B)=-1, LOOKUP(A562,characters!A:A,characters!B:B)+0.1&gt;=B562),1,0)</f>
        <v/>
      </c>
    </row>
    <row r="563" spans="1:13">
      <c r="A563" s="4" t="s">
        <v>62</v>
      </c>
      <c r="B563" s="7">
        <v>3</v>
      </c>
      <c r="C563" s="5" t="s">
        <v>17</v>
      </c>
      <c r="D563" s="5" t="s">
        <v>17</v>
      </c>
      <c r="E563" s="5" t="s">
        <v>17</v>
      </c>
      <c r="F563" s="5" t="s">
        <v>17</v>
      </c>
      <c r="G563" s="5" t="s">
        <v>17</v>
      </c>
      <c r="H563" s="5" t="s">
        <v>17</v>
      </c>
      <c r="I563" s="5" t="s">
        <v>17</v>
      </c>
      <c r="J563" s="5" t="s">
        <v>17</v>
      </c>
      <c r="K563" s="5" t="s">
        <v>17</v>
      </c>
      <c r="L563" s="6">
        <f>IF(M563=1,1.0,0)</f>
        <v/>
      </c>
      <c r="M563" s="8">
        <f>IF(OR(LOOKUP(A563,characters!A:A,characters!B:B)=-1, LOOKUP(A563,characters!A:A,characters!B:B)+0.1&gt;=B563),1,0)</f>
        <v/>
      </c>
    </row>
    <row r="564" spans="1:13">
      <c r="A564" s="4" t="s">
        <v>19</v>
      </c>
      <c r="B564" s="7">
        <v>1</v>
      </c>
      <c r="C564" s="6">
        <f>IF(M564=1,0.9,0)</f>
        <v/>
      </c>
      <c r="D564" s="6">
        <f>IF(M564=1,1.0,0)</f>
        <v/>
      </c>
      <c r="E564" s="5" t="s">
        <v>17</v>
      </c>
      <c r="F564" s="5" t="s">
        <v>17</v>
      </c>
      <c r="G564" s="5" t="s">
        <v>17</v>
      </c>
      <c r="H564" s="5" t="s">
        <v>17</v>
      </c>
      <c r="I564" s="5" t="s">
        <v>17</v>
      </c>
      <c r="J564" s="5" t="s">
        <v>17</v>
      </c>
      <c r="K564" s="5" t="s">
        <v>17</v>
      </c>
      <c r="L564" s="5" t="s">
        <v>17</v>
      </c>
      <c r="M564" s="8">
        <f>IF(OR(LOOKUP(A564,characters!A:A,characters!B:B)=-1, LOOKUP(A564,characters!A:A,characters!B:B)+0.1&gt;=B564),1,0)</f>
        <v/>
      </c>
    </row>
    <row r="565" spans="1:13">
      <c r="A565" s="4" t="s">
        <v>87</v>
      </c>
      <c r="B565" s="7">
        <v>3</v>
      </c>
      <c r="C565" s="6">
        <f>IF(M565=1,0.9,0)</f>
        <v/>
      </c>
      <c r="D565" s="5" t="s">
        <v>17</v>
      </c>
      <c r="E565" s="5" t="s">
        <v>17</v>
      </c>
      <c r="F565" s="5" t="s">
        <v>17</v>
      </c>
      <c r="G565" s="5" t="s">
        <v>17</v>
      </c>
      <c r="H565" s="5" t="s">
        <v>17</v>
      </c>
      <c r="I565" s="5" t="s">
        <v>17</v>
      </c>
      <c r="J565" s="6">
        <f>IF(M565=1,1.0,0)</f>
        <v/>
      </c>
      <c r="K565" s="5" t="s">
        <v>17</v>
      </c>
      <c r="L565" s="5" t="s">
        <v>17</v>
      </c>
      <c r="M565" s="8">
        <f>IF(OR(LOOKUP(A565,characters!A:A,characters!B:B)=-1, LOOKUP(A565,characters!A:A,characters!B:B)+0.1&gt;=B565),1,0)</f>
        <v/>
      </c>
    </row>
    <row r="566" spans="1:13">
      <c r="A566" s="4" t="s">
        <v>83</v>
      </c>
      <c r="B566" s="7">
        <v>2</v>
      </c>
      <c r="C566" s="6">
        <f>IF(M566=1,0.99,0)</f>
        <v/>
      </c>
      <c r="D566" s="5" t="s">
        <v>17</v>
      </c>
      <c r="E566" s="5" t="s">
        <v>17</v>
      </c>
      <c r="F566" s="5" t="s">
        <v>17</v>
      </c>
      <c r="G566" s="5" t="s">
        <v>17</v>
      </c>
      <c r="H566" s="5" t="s">
        <v>17</v>
      </c>
      <c r="I566" s="5" t="s">
        <v>17</v>
      </c>
      <c r="J566" s="6">
        <f>IF(M566=1,1.0,0)</f>
        <v/>
      </c>
      <c r="K566" s="5" t="s">
        <v>17</v>
      </c>
      <c r="L566" s="5" t="s">
        <v>17</v>
      </c>
      <c r="M566" s="8">
        <f>IF(OR(LOOKUP(A566,characters!A:A,characters!B:B)=-1, LOOKUP(A566,characters!A:A,characters!B:B)+0.1&gt;=B566),1,0)</f>
        <v/>
      </c>
    </row>
    <row r="567" spans="1:13">
      <c r="A567" s="4" t="s">
        <v>57</v>
      </c>
      <c r="B567" s="7">
        <v>2</v>
      </c>
      <c r="C567" s="5" t="s">
        <v>17</v>
      </c>
      <c r="D567" s="6">
        <f>IF(M567=1,1.0,0)</f>
        <v/>
      </c>
      <c r="E567" s="5" t="s">
        <v>17</v>
      </c>
      <c r="F567" s="5" t="s">
        <v>17</v>
      </c>
      <c r="G567" s="5" t="s">
        <v>17</v>
      </c>
      <c r="H567" s="5" t="s">
        <v>17</v>
      </c>
      <c r="I567" s="5" t="s">
        <v>17</v>
      </c>
      <c r="J567" s="5" t="s">
        <v>17</v>
      </c>
      <c r="K567" s="5" t="s">
        <v>17</v>
      </c>
      <c r="L567" s="5" t="s">
        <v>17</v>
      </c>
      <c r="M567" s="8">
        <f>IF(OR(LOOKUP(A567,characters!A:A,characters!B:B)=-1, LOOKUP(A567,characters!A:A,characters!B:B)+0.1&gt;=B567),1,0)</f>
        <v/>
      </c>
    </row>
    <row r="568" spans="1:13">
      <c r="A568" s="4" t="s">
        <v>88</v>
      </c>
      <c r="B568" s="7">
        <v>2</v>
      </c>
      <c r="C568" s="5" t="s">
        <v>17</v>
      </c>
      <c r="D568" s="5" t="s">
        <v>17</v>
      </c>
      <c r="E568" s="5" t="s">
        <v>17</v>
      </c>
      <c r="F568" s="5" t="s">
        <v>17</v>
      </c>
      <c r="G568" s="5" t="s">
        <v>17</v>
      </c>
      <c r="H568" s="5" t="s">
        <v>17</v>
      </c>
      <c r="I568" s="5" t="s">
        <v>17</v>
      </c>
      <c r="J568" s="5" t="s">
        <v>17</v>
      </c>
      <c r="K568" s="5" t="s">
        <v>17</v>
      </c>
      <c r="L568" s="6">
        <f>IF(M568=1,1.0,0)</f>
        <v/>
      </c>
      <c r="M568" s="8">
        <f>IF(OR(LOOKUP(A568,characters!A:A,characters!B:B)=-1, LOOKUP(A568,characters!A:A,characters!B:B)+0.1&gt;=B568),1,0)</f>
        <v/>
      </c>
    </row>
    <row r="569" spans="1:13">
      <c r="A569" s="4" t="s">
        <v>89</v>
      </c>
      <c r="B569" s="7">
        <v>2</v>
      </c>
      <c r="C569" s="6">
        <f>IF(M569=1,0.99,0)</f>
        <v/>
      </c>
      <c r="D569" s="5" t="s">
        <v>17</v>
      </c>
      <c r="E569" s="5" t="s">
        <v>17</v>
      </c>
      <c r="F569" s="5" t="s">
        <v>17</v>
      </c>
      <c r="G569" s="5" t="s">
        <v>17</v>
      </c>
      <c r="H569" s="5" t="s">
        <v>17</v>
      </c>
      <c r="I569" s="5" t="s">
        <v>17</v>
      </c>
      <c r="J569" s="5" t="s">
        <v>17</v>
      </c>
      <c r="K569" s="5" t="s">
        <v>17</v>
      </c>
      <c r="L569" s="6">
        <f>IF(M569=1,1.0,0)</f>
        <v/>
      </c>
      <c r="M569" s="8">
        <f>IF(OR(LOOKUP(A569,characters!A:A,characters!B:B)=-1, LOOKUP(A569,characters!A:A,characters!B:B)+0.1&gt;=B569),1,0)</f>
        <v/>
      </c>
    </row>
    <row r="570" spans="1:13">
      <c r="A570" s="4" t="s">
        <v>21</v>
      </c>
      <c r="B570" s="7">
        <v>3</v>
      </c>
      <c r="C570" s="6">
        <f>IF(M570=1,0.99,0)</f>
        <v/>
      </c>
      <c r="D570" s="6">
        <f>IF(M570=1,1.0,0)</f>
        <v/>
      </c>
      <c r="E570" s="5" t="s">
        <v>17</v>
      </c>
      <c r="F570" s="5" t="s">
        <v>17</v>
      </c>
      <c r="G570" s="5" t="s">
        <v>17</v>
      </c>
      <c r="H570" s="5" t="s">
        <v>17</v>
      </c>
      <c r="I570" s="5" t="s">
        <v>17</v>
      </c>
      <c r="J570" s="5" t="s">
        <v>17</v>
      </c>
      <c r="K570" s="5" t="s">
        <v>17</v>
      </c>
      <c r="L570" s="5" t="s">
        <v>17</v>
      </c>
      <c r="M570" s="8">
        <f>IF(OR(LOOKUP(A570,characters!A:A,characters!B:B)=-1, LOOKUP(A570,characters!A:A,characters!B:B)+0.1&gt;=B570),1,0)</f>
        <v/>
      </c>
    </row>
    <row r="571" spans="1:13">
      <c r="A571" s="4" t="s">
        <v>58</v>
      </c>
      <c r="B571" s="7">
        <v>3</v>
      </c>
      <c r="C571" s="6">
        <f>IF(M571=1,0.9,0)</f>
        <v/>
      </c>
      <c r="D571" s="5" t="s">
        <v>17</v>
      </c>
      <c r="E571" s="5" t="s">
        <v>17</v>
      </c>
      <c r="F571" s="5" t="s">
        <v>17</v>
      </c>
      <c r="G571" s="5" t="s">
        <v>17</v>
      </c>
      <c r="H571" s="5" t="s">
        <v>17</v>
      </c>
      <c r="I571" s="5" t="s">
        <v>17</v>
      </c>
      <c r="J571" s="5" t="s">
        <v>17</v>
      </c>
      <c r="K571" s="6">
        <f>IF(M571=1,1.0,0)</f>
        <v/>
      </c>
      <c r="L571" s="5" t="s">
        <v>17</v>
      </c>
      <c r="M571" s="8">
        <f>IF(OR(LOOKUP(A571,characters!A:A,characters!B:B)=-1, LOOKUP(A571,characters!A:A,characters!B:B)+0.1&gt;=B571),1,0)</f>
        <v/>
      </c>
    </row>
    <row r="572" spans="1:13">
      <c r="A572" s="4" t="s">
        <v>52</v>
      </c>
      <c r="B572" s="7">
        <v>2</v>
      </c>
      <c r="C572" s="6">
        <f>IF(M572=1,0.9,0)</f>
        <v/>
      </c>
      <c r="D572" s="5" t="s">
        <v>17</v>
      </c>
      <c r="E572" s="6">
        <f>IF(M572=1,1.0,0)</f>
        <v/>
      </c>
      <c r="F572" s="5" t="s">
        <v>17</v>
      </c>
      <c r="G572" s="5" t="s">
        <v>17</v>
      </c>
      <c r="H572" s="5" t="s">
        <v>17</v>
      </c>
      <c r="I572" s="5" t="s">
        <v>17</v>
      </c>
      <c r="J572" s="5" t="s">
        <v>17</v>
      </c>
      <c r="K572" s="5" t="s">
        <v>17</v>
      </c>
      <c r="L572" s="5" t="s">
        <v>17</v>
      </c>
      <c r="M572" s="8">
        <f>IF(OR(LOOKUP(A572,characters!A:A,characters!B:B)=-1, LOOKUP(A572,characters!A:A,characters!B:B)+0.1&gt;=B572),1,0)</f>
        <v/>
      </c>
    </row>
    <row r="573" spans="1:13">
      <c r="A573" s="4" t="s">
        <v>90</v>
      </c>
      <c r="B573" s="7">
        <v>4</v>
      </c>
      <c r="C573" s="6">
        <f>IF(M573=1,0.9,0)</f>
        <v/>
      </c>
      <c r="D573" s="5" t="s">
        <v>17</v>
      </c>
      <c r="E573" s="5" t="s">
        <v>17</v>
      </c>
      <c r="F573" s="5" t="s">
        <v>17</v>
      </c>
      <c r="G573" s="6">
        <f>IF(M573=1,1.0,0)</f>
        <v/>
      </c>
      <c r="H573" s="5" t="s">
        <v>17</v>
      </c>
      <c r="I573" s="5" t="s">
        <v>17</v>
      </c>
      <c r="J573" s="5" t="s">
        <v>17</v>
      </c>
      <c r="K573" s="5" t="s">
        <v>17</v>
      </c>
      <c r="L573" s="5" t="s">
        <v>17</v>
      </c>
      <c r="M573" s="8">
        <f>IF(OR(LOOKUP(A573,characters!A:A,characters!B:B)=-1, LOOKUP(A573,characters!A:A,characters!B:B)+0.1&gt;=B573),1,0)</f>
        <v/>
      </c>
    </row>
    <row r="574" spans="1:13">
      <c r="A574" s="4" t="s">
        <v>93</v>
      </c>
      <c r="B574" s="7">
        <v>2</v>
      </c>
      <c r="C574" s="6">
        <f>IF(M574=1,1.0,0)</f>
        <v/>
      </c>
      <c r="D574" s="5" t="s">
        <v>17</v>
      </c>
      <c r="E574" s="5" t="s">
        <v>17</v>
      </c>
      <c r="F574" s="5" t="s">
        <v>17</v>
      </c>
      <c r="G574" s="5" t="s">
        <v>17</v>
      </c>
      <c r="H574" s="5" t="s">
        <v>17</v>
      </c>
      <c r="I574" s="5" t="s">
        <v>17</v>
      </c>
      <c r="J574" s="5" t="s">
        <v>17</v>
      </c>
      <c r="K574" s="5" t="s">
        <v>17</v>
      </c>
      <c r="L574" s="6">
        <f>IF(M574=1,0.9,0)</f>
        <v/>
      </c>
      <c r="M574" s="8">
        <f>IF(OR(LOOKUP(A574,characters!A:A,characters!B:B)=-1, LOOKUP(A574,characters!A:A,characters!B:B)+0.1&gt;=B574),1,0)</f>
        <v/>
      </c>
    </row>
    <row r="575" spans="1:13">
      <c r="A575" s="4" t="s">
        <v>44</v>
      </c>
      <c r="B575" s="7">
        <v>0</v>
      </c>
      <c r="C575" s="6">
        <f>IF(M575=1,0.9,0)</f>
        <v/>
      </c>
      <c r="D575" s="5" t="s">
        <v>17</v>
      </c>
      <c r="E575" s="5" t="s">
        <v>17</v>
      </c>
      <c r="F575" s="5" t="s">
        <v>17</v>
      </c>
      <c r="G575" s="6">
        <f>IF(M575=1,1.0,0)</f>
        <v/>
      </c>
      <c r="H575" s="5" t="s">
        <v>17</v>
      </c>
      <c r="I575" s="5" t="s">
        <v>17</v>
      </c>
      <c r="J575" s="5" t="s">
        <v>17</v>
      </c>
      <c r="K575" s="5" t="s">
        <v>17</v>
      </c>
      <c r="L575" s="5" t="s">
        <v>17</v>
      </c>
      <c r="M575" s="8">
        <f>IF(OR(LOOKUP(A575,characters!A:A,characters!B:B)=-1, LOOKUP(A575,characters!A:A,characters!B:B)+0.1&gt;=B575),1,0)</f>
        <v/>
      </c>
    </row>
    <row r="576" spans="1:13">
      <c r="A576" s="4" t="s">
        <v>61</v>
      </c>
      <c r="B576" s="7">
        <v>0</v>
      </c>
      <c r="C576" s="6">
        <f>IF(M576=1,0.9,0)</f>
        <v/>
      </c>
      <c r="D576" s="5" t="s">
        <v>17</v>
      </c>
      <c r="E576" s="6">
        <f>IF(M576=1,1.0,0)</f>
        <v/>
      </c>
      <c r="F576" s="5" t="s">
        <v>17</v>
      </c>
      <c r="G576" s="5" t="s">
        <v>17</v>
      </c>
      <c r="H576" s="5" t="s">
        <v>17</v>
      </c>
      <c r="I576" s="5" t="s">
        <v>17</v>
      </c>
      <c r="J576" s="5" t="s">
        <v>17</v>
      </c>
      <c r="K576" s="5" t="s">
        <v>17</v>
      </c>
      <c r="L576" s="5" t="s">
        <v>17</v>
      </c>
      <c r="M576" s="8">
        <f>IF(OR(LOOKUP(A576,characters!A:A,characters!B:B)=-1, LOOKUP(A576,characters!A:A,characters!B:B)+0.1&gt;=B576),1,0)</f>
        <v/>
      </c>
    </row>
    <row r="578" spans="1:9">
      <c r="A578" s="3" t="s">
        <v>31</v>
      </c>
      <c r="B578" s="3" t="s">
        <v>9</v>
      </c>
      <c r="C578" s="3" t="s">
        <v>11</v>
      </c>
      <c r="D578" s="3" t="s">
        <v>26</v>
      </c>
      <c r="E578" s="3" t="s">
        <v>27</v>
      </c>
      <c r="F578" s="3" t="s">
        <v>67</v>
      </c>
      <c r="G578" s="3" t="s">
        <v>15</v>
      </c>
      <c r="H578" s="3" t="s">
        <v>32</v>
      </c>
    </row>
    <row r="579" spans="1:9">
      <c r="A579" s="4" t="s">
        <v>16</v>
      </c>
      <c r="B579" s="5" t="s">
        <v>17</v>
      </c>
      <c r="C579" s="6">
        <f>IF(SUM(I580:I604)=0,0,SUM(C580:C604)/SUM(I580:I604))</f>
        <v/>
      </c>
      <c r="D579" s="6">
        <f>IF(SUM(I580:I604)=0,0,SUM(D580:D604)/SUM(I580:I604))</f>
        <v/>
      </c>
      <c r="E579" s="6">
        <f>IF(SUM(I580:I604)=0,0,SUM(E580:E604)/SUM(I580:I604))</f>
        <v/>
      </c>
      <c r="F579" s="6">
        <f>IF(SUM(I580:I604)=0,0,SUM(F580:F604)/SUM(I580:I604))</f>
        <v/>
      </c>
      <c r="G579" s="6">
        <f>IF(SUM(I580:I604)=0,0,SUM(G580:G604)/SUM(I580:I604))</f>
        <v/>
      </c>
      <c r="H579" s="6">
        <f>IF(SUM(I580:I604)=0,0,SUM(H580:H604)/SUM(I580:I604))</f>
        <v/>
      </c>
    </row>
    <row r="580" spans="1:9">
      <c r="A580" s="4" t="s">
        <v>22</v>
      </c>
      <c r="B580" s="7">
        <v>1</v>
      </c>
      <c r="C580" s="6">
        <f>IF(I580=1,1.0,0)</f>
        <v/>
      </c>
      <c r="D580" s="5" t="s">
        <v>17</v>
      </c>
      <c r="E580" s="5" t="s">
        <v>17</v>
      </c>
      <c r="F580" s="5" t="s">
        <v>17</v>
      </c>
      <c r="G580" s="5" t="s">
        <v>17</v>
      </c>
      <c r="H580" s="5" t="s">
        <v>17</v>
      </c>
      <c r="I580" s="8">
        <f>IF(OR(LOOKUP(A580,characters!A:A,characters!B:B)=-1, LOOKUP(A580,characters!A:A,characters!B:B)+0.1&gt;=B580),1,0)</f>
        <v/>
      </c>
    </row>
    <row r="581" spans="1:9">
      <c r="A581" s="4" t="s">
        <v>50</v>
      </c>
      <c r="B581" s="7">
        <v>0</v>
      </c>
      <c r="C581" s="6">
        <f>IF(I581=1,1.0,0)</f>
        <v/>
      </c>
      <c r="D581" s="5" t="s">
        <v>17</v>
      </c>
      <c r="E581" s="5" t="s">
        <v>17</v>
      </c>
      <c r="F581" s="5" t="s">
        <v>17</v>
      </c>
      <c r="G581" s="5" t="s">
        <v>17</v>
      </c>
      <c r="H581" s="5" t="s">
        <v>17</v>
      </c>
      <c r="I581" s="8">
        <f>IF(OR(LOOKUP(A581,characters!A:A,characters!B:B)=-1, LOOKUP(A581,characters!A:A,characters!B:B)+0.1&gt;=B581),1,0)</f>
        <v/>
      </c>
    </row>
    <row r="582" spans="1:9">
      <c r="A582" s="4" t="s">
        <v>18</v>
      </c>
      <c r="B582" s="7">
        <v>3</v>
      </c>
      <c r="C582" s="6">
        <f>IF(I582=1,1.0,0)</f>
        <v/>
      </c>
      <c r="D582" s="5" t="s">
        <v>17</v>
      </c>
      <c r="E582" s="5" t="s">
        <v>17</v>
      </c>
      <c r="F582" s="5" t="s">
        <v>17</v>
      </c>
      <c r="G582" s="5" t="s">
        <v>17</v>
      </c>
      <c r="H582" s="5" t="s">
        <v>17</v>
      </c>
      <c r="I582" s="8">
        <f>IF(OR(LOOKUP(A582,characters!A:A,characters!B:B)=-1, LOOKUP(A582,characters!A:A,characters!B:B)+0.1&gt;=B582),1,0)</f>
        <v/>
      </c>
    </row>
    <row r="583" spans="1:9">
      <c r="A583" s="4" t="s">
        <v>36</v>
      </c>
      <c r="B583" s="7">
        <v>0</v>
      </c>
      <c r="C583" s="5" t="s">
        <v>17</v>
      </c>
      <c r="D583" s="6">
        <f>IF(I583=1,1.0,0)</f>
        <v/>
      </c>
      <c r="E583" s="5" t="s">
        <v>17</v>
      </c>
      <c r="F583" s="5" t="s">
        <v>17</v>
      </c>
      <c r="G583" s="5" t="s">
        <v>17</v>
      </c>
      <c r="H583" s="5" t="s">
        <v>17</v>
      </c>
      <c r="I583" s="8">
        <f>IF(OR(LOOKUP(A583,characters!A:A,characters!B:B)=-1, LOOKUP(A583,characters!A:A,characters!B:B)+0.1&gt;=B583),1,0)</f>
        <v/>
      </c>
    </row>
    <row r="584" spans="1:9">
      <c r="A584" s="4" t="s">
        <v>107</v>
      </c>
      <c r="B584" s="7">
        <v>1</v>
      </c>
      <c r="C584" s="5" t="s">
        <v>17</v>
      </c>
      <c r="D584" s="5" t="s">
        <v>17</v>
      </c>
      <c r="E584" s="6">
        <f>IF(I584=1,1.0,0)</f>
        <v/>
      </c>
      <c r="F584" s="5" t="s">
        <v>17</v>
      </c>
      <c r="G584" s="5" t="s">
        <v>17</v>
      </c>
      <c r="H584" s="5" t="s">
        <v>17</v>
      </c>
      <c r="I584" s="8">
        <f>IF(OR(LOOKUP(A584,characters!A:A,characters!B:B)=-1, LOOKUP(A584,characters!A:A,characters!B:B)+0.1&gt;=B584),1,0)</f>
        <v/>
      </c>
    </row>
    <row r="585" spans="1:9">
      <c r="A585" s="4" t="s">
        <v>51</v>
      </c>
      <c r="B585" s="7">
        <v>1</v>
      </c>
      <c r="C585" s="6">
        <f>IF(I585=1,1.0,0)</f>
        <v/>
      </c>
      <c r="D585" s="5" t="s">
        <v>17</v>
      </c>
      <c r="E585" s="5" t="s">
        <v>17</v>
      </c>
      <c r="F585" s="5" t="s">
        <v>17</v>
      </c>
      <c r="G585" s="5" t="s">
        <v>17</v>
      </c>
      <c r="H585" s="5" t="s">
        <v>17</v>
      </c>
      <c r="I585" s="8">
        <f>IF(OR(LOOKUP(A585,characters!A:A,characters!B:B)=-1, LOOKUP(A585,characters!A:A,characters!B:B)+0.1&gt;=B585),1,0)</f>
        <v/>
      </c>
    </row>
    <row r="586" spans="1:9">
      <c r="A586" s="4" t="s">
        <v>85</v>
      </c>
      <c r="B586" s="7">
        <v>3</v>
      </c>
      <c r="C586" s="6">
        <f>IF(I586=1,1.0,0)</f>
        <v/>
      </c>
      <c r="D586" s="5" t="s">
        <v>17</v>
      </c>
      <c r="E586" s="5" t="s">
        <v>17</v>
      </c>
      <c r="F586" s="5" t="s">
        <v>17</v>
      </c>
      <c r="G586" s="5" t="s">
        <v>17</v>
      </c>
      <c r="H586" s="5" t="s">
        <v>17</v>
      </c>
      <c r="I586" s="8">
        <f>IF(OR(LOOKUP(A586,characters!A:A,characters!B:B)=-1, LOOKUP(A586,characters!A:A,characters!B:B)+0.1&gt;=B586),1,0)</f>
        <v/>
      </c>
    </row>
    <row r="587" spans="1:9">
      <c r="A587" s="4" t="s">
        <v>55</v>
      </c>
      <c r="B587" s="7">
        <v>3</v>
      </c>
      <c r="C587" s="6">
        <f>IF(I587=1,1.0,0)</f>
        <v/>
      </c>
      <c r="D587" s="5" t="s">
        <v>17</v>
      </c>
      <c r="E587" s="5" t="s">
        <v>17</v>
      </c>
      <c r="F587" s="5" t="s">
        <v>17</v>
      </c>
      <c r="G587" s="5" t="s">
        <v>17</v>
      </c>
      <c r="H587" s="5" t="s">
        <v>17</v>
      </c>
      <c r="I587" s="8">
        <f>IF(OR(LOOKUP(A587,characters!A:A,characters!B:B)=-1, LOOKUP(A587,characters!A:A,characters!B:B)+0.1&gt;=B587),1,0)</f>
        <v/>
      </c>
    </row>
    <row r="588" spans="1:9">
      <c r="A588" s="4" t="s">
        <v>56</v>
      </c>
      <c r="B588" s="7">
        <v>2</v>
      </c>
      <c r="C588" s="6">
        <f>IF(I588=1,1.0,0)</f>
        <v/>
      </c>
      <c r="D588" s="5" t="s">
        <v>17</v>
      </c>
      <c r="E588" s="5" t="s">
        <v>17</v>
      </c>
      <c r="F588" s="5" t="s">
        <v>17</v>
      </c>
      <c r="G588" s="5" t="s">
        <v>17</v>
      </c>
      <c r="H588" s="5" t="s">
        <v>17</v>
      </c>
      <c r="I588" s="8">
        <f>IF(OR(LOOKUP(A588,characters!A:A,characters!B:B)=-1, LOOKUP(A588,characters!A:A,characters!B:B)+0.1&gt;=B588),1,0)</f>
        <v/>
      </c>
    </row>
    <row r="589" spans="1:9">
      <c r="A589" s="4" t="s">
        <v>59</v>
      </c>
      <c r="B589" s="7">
        <v>2</v>
      </c>
      <c r="C589" s="6">
        <f>IF(I589=1,1.0,0)</f>
        <v/>
      </c>
      <c r="D589" s="5" t="s">
        <v>17</v>
      </c>
      <c r="E589" s="5" t="s">
        <v>17</v>
      </c>
      <c r="F589" s="5" t="s">
        <v>17</v>
      </c>
      <c r="G589" s="5" t="s">
        <v>17</v>
      </c>
      <c r="H589" s="5" t="s">
        <v>17</v>
      </c>
      <c r="I589" s="8">
        <f>IF(OR(LOOKUP(A589,characters!A:A,characters!B:B)=-1, LOOKUP(A589,characters!A:A,characters!B:B)+0.1&gt;=B589),1,0)</f>
        <v/>
      </c>
    </row>
    <row r="590" spans="1:9">
      <c r="A590" s="4" t="s">
        <v>60</v>
      </c>
      <c r="B590" s="7">
        <v>2</v>
      </c>
      <c r="C590" s="6">
        <f>IF(I590=1,1.0,0)</f>
        <v/>
      </c>
      <c r="D590" s="5" t="s">
        <v>17</v>
      </c>
      <c r="E590" s="5" t="s">
        <v>17</v>
      </c>
      <c r="F590" s="5" t="s">
        <v>17</v>
      </c>
      <c r="G590" s="5" t="s">
        <v>17</v>
      </c>
      <c r="H590" s="5" t="s">
        <v>17</v>
      </c>
      <c r="I590" s="8">
        <f>IF(OR(LOOKUP(A590,characters!A:A,characters!B:B)=-1, LOOKUP(A590,characters!A:A,characters!B:B)+0.1&gt;=B590),1,0)</f>
        <v/>
      </c>
    </row>
    <row r="591" spans="1:9">
      <c r="A591" s="4" t="s">
        <v>62</v>
      </c>
      <c r="B591" s="7">
        <v>3</v>
      </c>
      <c r="C591" s="6">
        <f>IF(I591=1,1.0,0)</f>
        <v/>
      </c>
      <c r="D591" s="5" t="s">
        <v>17</v>
      </c>
      <c r="E591" s="5" t="s">
        <v>17</v>
      </c>
      <c r="F591" s="5" t="s">
        <v>17</v>
      </c>
      <c r="G591" s="5" t="s">
        <v>17</v>
      </c>
      <c r="H591" s="5" t="s">
        <v>17</v>
      </c>
      <c r="I591" s="8">
        <f>IF(OR(LOOKUP(A591,characters!A:A,characters!B:B)=-1, LOOKUP(A591,characters!A:A,characters!B:B)+0.1&gt;=B591),1,0)</f>
        <v/>
      </c>
    </row>
    <row r="592" spans="1:9">
      <c r="A592" s="4" t="s">
        <v>19</v>
      </c>
      <c r="B592" s="7">
        <v>1</v>
      </c>
      <c r="C592" s="6">
        <f>IF(I592=1,1.0,0)</f>
        <v/>
      </c>
      <c r="D592" s="5" t="s">
        <v>17</v>
      </c>
      <c r="E592" s="5" t="s">
        <v>17</v>
      </c>
      <c r="F592" s="5" t="s">
        <v>17</v>
      </c>
      <c r="G592" s="5" t="s">
        <v>17</v>
      </c>
      <c r="H592" s="5" t="s">
        <v>17</v>
      </c>
      <c r="I592" s="8">
        <f>IF(OR(LOOKUP(A592,characters!A:A,characters!B:B)=-1, LOOKUP(A592,characters!A:A,characters!B:B)+0.1&gt;=B592),1,0)</f>
        <v/>
      </c>
    </row>
    <row r="593" spans="1:9">
      <c r="A593" s="4" t="s">
        <v>87</v>
      </c>
      <c r="B593" s="7">
        <v>3</v>
      </c>
      <c r="C593" s="6">
        <f>IF(I593=1,1.0,0)</f>
        <v/>
      </c>
      <c r="D593" s="5" t="s">
        <v>17</v>
      </c>
      <c r="E593" s="5" t="s">
        <v>17</v>
      </c>
      <c r="F593" s="5" t="s">
        <v>17</v>
      </c>
      <c r="G593" s="5" t="s">
        <v>17</v>
      </c>
      <c r="H593" s="5" t="s">
        <v>17</v>
      </c>
      <c r="I593" s="8">
        <f>IF(OR(LOOKUP(A593,characters!A:A,characters!B:B)=-1, LOOKUP(A593,characters!A:A,characters!B:B)+0.1&gt;=B593),1,0)</f>
        <v/>
      </c>
    </row>
    <row r="594" spans="1:9">
      <c r="A594" s="4" t="s">
        <v>83</v>
      </c>
      <c r="B594" s="7">
        <v>2</v>
      </c>
      <c r="C594" s="6">
        <f>IF(I594=1,1.0,0)</f>
        <v/>
      </c>
      <c r="D594" s="5" t="s">
        <v>17</v>
      </c>
      <c r="E594" s="5" t="s">
        <v>17</v>
      </c>
      <c r="F594" s="5" t="s">
        <v>17</v>
      </c>
      <c r="G594" s="5" t="s">
        <v>17</v>
      </c>
      <c r="H594" s="5" t="s">
        <v>17</v>
      </c>
      <c r="I594" s="8">
        <f>IF(OR(LOOKUP(A594,characters!A:A,characters!B:B)=-1, LOOKUP(A594,characters!A:A,characters!B:B)+0.1&gt;=B594),1,0)</f>
        <v/>
      </c>
    </row>
    <row r="595" spans="1:9">
      <c r="A595" s="4" t="s">
        <v>57</v>
      </c>
      <c r="B595" s="7">
        <v>2</v>
      </c>
      <c r="C595" s="5" t="s">
        <v>17</v>
      </c>
      <c r="D595" s="5" t="s">
        <v>17</v>
      </c>
      <c r="E595" s="5" t="s">
        <v>17</v>
      </c>
      <c r="F595" s="6">
        <f>IF(I595=1,1.0,0)</f>
        <v/>
      </c>
      <c r="G595" s="5" t="s">
        <v>17</v>
      </c>
      <c r="H595" s="5" t="s">
        <v>17</v>
      </c>
      <c r="I595" s="8">
        <f>IF(OR(LOOKUP(A595,characters!A:A,characters!B:B)=-1, LOOKUP(A595,characters!A:A,characters!B:B)+0.1&gt;=B595),1,0)</f>
        <v/>
      </c>
    </row>
    <row r="596" spans="1:9">
      <c r="A596" s="4" t="s">
        <v>88</v>
      </c>
      <c r="B596" s="7">
        <v>2</v>
      </c>
      <c r="C596" s="6">
        <f>IF(I596=1,1.0,0)</f>
        <v/>
      </c>
      <c r="D596" s="5" t="s">
        <v>17</v>
      </c>
      <c r="E596" s="5" t="s">
        <v>17</v>
      </c>
      <c r="F596" s="5" t="s">
        <v>17</v>
      </c>
      <c r="G596" s="5" t="s">
        <v>17</v>
      </c>
      <c r="H596" s="5" t="s">
        <v>17</v>
      </c>
      <c r="I596" s="8">
        <f>IF(OR(LOOKUP(A596,characters!A:A,characters!B:B)=-1, LOOKUP(A596,characters!A:A,characters!B:B)+0.1&gt;=B596),1,0)</f>
        <v/>
      </c>
    </row>
    <row r="597" spans="1:9">
      <c r="A597" s="4" t="s">
        <v>89</v>
      </c>
      <c r="B597" s="7">
        <v>2</v>
      </c>
      <c r="C597" s="6">
        <f>IF(I597=1,1.0,0)</f>
        <v/>
      </c>
      <c r="D597" s="5" t="s">
        <v>17</v>
      </c>
      <c r="E597" s="5" t="s">
        <v>17</v>
      </c>
      <c r="F597" s="5" t="s">
        <v>17</v>
      </c>
      <c r="G597" s="5" t="s">
        <v>17</v>
      </c>
      <c r="H597" s="5" t="s">
        <v>17</v>
      </c>
      <c r="I597" s="8">
        <f>IF(OR(LOOKUP(A597,characters!A:A,characters!B:B)=-1, LOOKUP(A597,characters!A:A,characters!B:B)+0.1&gt;=B597),1,0)</f>
        <v/>
      </c>
    </row>
    <row r="598" spans="1:9">
      <c r="A598" s="4" t="s">
        <v>21</v>
      </c>
      <c r="B598" s="7">
        <v>3</v>
      </c>
      <c r="C598" s="6">
        <f>IF(I598=1,1.0,0)</f>
        <v/>
      </c>
      <c r="D598" s="5" t="s">
        <v>17</v>
      </c>
      <c r="E598" s="5" t="s">
        <v>17</v>
      </c>
      <c r="F598" s="5" t="s">
        <v>17</v>
      </c>
      <c r="G598" s="5" t="s">
        <v>17</v>
      </c>
      <c r="H598" s="5" t="s">
        <v>17</v>
      </c>
      <c r="I598" s="8">
        <f>IF(OR(LOOKUP(A598,characters!A:A,characters!B:B)=-1, LOOKUP(A598,characters!A:A,characters!B:B)+0.1&gt;=B598),1,0)</f>
        <v/>
      </c>
    </row>
    <row r="599" spans="1:9">
      <c r="A599" s="4" t="s">
        <v>58</v>
      </c>
      <c r="B599" s="7">
        <v>3</v>
      </c>
      <c r="C599" s="6">
        <f>IF(I599=1,1.0,0)</f>
        <v/>
      </c>
      <c r="D599" s="5" t="s">
        <v>17</v>
      </c>
      <c r="E599" s="5" t="s">
        <v>17</v>
      </c>
      <c r="F599" s="5" t="s">
        <v>17</v>
      </c>
      <c r="G599" s="5" t="s">
        <v>17</v>
      </c>
      <c r="H599" s="5" t="s">
        <v>17</v>
      </c>
      <c r="I599" s="8">
        <f>IF(OR(LOOKUP(A599,characters!A:A,characters!B:B)=-1, LOOKUP(A599,characters!A:A,characters!B:B)+0.1&gt;=B599),1,0)</f>
        <v/>
      </c>
    </row>
    <row r="600" spans="1:9">
      <c r="A600" s="4" t="s">
        <v>52</v>
      </c>
      <c r="B600" s="7">
        <v>2</v>
      </c>
      <c r="C600" s="6">
        <f>IF(I600=1,1.0,0)</f>
        <v/>
      </c>
      <c r="D600" s="5" t="s">
        <v>17</v>
      </c>
      <c r="E600" s="5" t="s">
        <v>17</v>
      </c>
      <c r="F600" s="5" t="s">
        <v>17</v>
      </c>
      <c r="G600" s="5" t="s">
        <v>17</v>
      </c>
      <c r="H600" s="5" t="s">
        <v>17</v>
      </c>
      <c r="I600" s="8">
        <f>IF(OR(LOOKUP(A600,characters!A:A,characters!B:B)=-1, LOOKUP(A600,characters!A:A,characters!B:B)+0.1&gt;=B600),1,0)</f>
        <v/>
      </c>
    </row>
    <row r="601" spans="1:9">
      <c r="A601" s="4" t="s">
        <v>90</v>
      </c>
      <c r="B601" s="7">
        <v>4</v>
      </c>
      <c r="C601" s="6">
        <f>IF(I601=1,1.0,0)</f>
        <v/>
      </c>
      <c r="D601" s="5" t="s">
        <v>17</v>
      </c>
      <c r="E601" s="5" t="s">
        <v>17</v>
      </c>
      <c r="F601" s="5" t="s">
        <v>17</v>
      </c>
      <c r="G601" s="5" t="s">
        <v>17</v>
      </c>
      <c r="H601" s="5" t="s">
        <v>17</v>
      </c>
      <c r="I601" s="8">
        <f>IF(OR(LOOKUP(A601,characters!A:A,characters!B:B)=-1, LOOKUP(A601,characters!A:A,characters!B:B)+0.1&gt;=B601),1,0)</f>
        <v/>
      </c>
    </row>
    <row r="602" spans="1:9">
      <c r="A602" s="4" t="s">
        <v>93</v>
      </c>
      <c r="B602" s="7">
        <v>2</v>
      </c>
      <c r="C602" s="5" t="s">
        <v>17</v>
      </c>
      <c r="D602" s="5" t="s">
        <v>17</v>
      </c>
      <c r="E602" s="5" t="s">
        <v>17</v>
      </c>
      <c r="F602" s="5" t="s">
        <v>17</v>
      </c>
      <c r="G602" s="6">
        <f>IF(I602=1,1.0,0)</f>
        <v/>
      </c>
      <c r="H602" s="5" t="s">
        <v>17</v>
      </c>
      <c r="I602" s="8">
        <f>IF(OR(LOOKUP(A602,characters!A:A,characters!B:B)=-1, LOOKUP(A602,characters!A:A,characters!B:B)+0.1&gt;=B602),1,0)</f>
        <v/>
      </c>
    </row>
    <row r="603" spans="1:9">
      <c r="A603" s="4" t="s">
        <v>44</v>
      </c>
      <c r="B603" s="7">
        <v>0</v>
      </c>
      <c r="C603" s="6">
        <f>IF(I603=1,0.99,0)</f>
        <v/>
      </c>
      <c r="D603" s="5" t="s">
        <v>17</v>
      </c>
      <c r="E603" s="5" t="s">
        <v>17</v>
      </c>
      <c r="F603" s="5" t="s">
        <v>17</v>
      </c>
      <c r="G603" s="5" t="s">
        <v>17</v>
      </c>
      <c r="H603" s="6">
        <f>IF(I603=1,1.0,0)</f>
        <v/>
      </c>
      <c r="I603" s="8">
        <f>IF(OR(LOOKUP(A603,characters!A:A,characters!B:B)=-1, LOOKUP(A603,characters!A:A,characters!B:B)+0.1&gt;=B603),1,0)</f>
        <v/>
      </c>
    </row>
    <row r="604" spans="1:9">
      <c r="A604" s="4" t="s">
        <v>61</v>
      </c>
      <c r="B604" s="7">
        <v>0</v>
      </c>
      <c r="C604" s="6">
        <f>IF(I604=1,1.0,0)</f>
        <v/>
      </c>
      <c r="D604" s="5" t="s">
        <v>17</v>
      </c>
      <c r="E604" s="5" t="s">
        <v>17</v>
      </c>
      <c r="F604" s="5" t="s">
        <v>17</v>
      </c>
      <c r="G604" s="5" t="s">
        <v>17</v>
      </c>
      <c r="H604" s="6">
        <f>IF(I604=1,0.9,0)</f>
        <v/>
      </c>
      <c r="I604" s="8">
        <f>IF(OR(LOOKUP(A604,characters!A:A,characters!B:B)=-1, LOOKUP(A604,characters!A:A,characters!B:B)+0.1&gt;=B604),1,0)</f>
        <v/>
      </c>
    </row>
    <row r="611" spans="1:12">
      <c r="A611" s="3" t="s">
        <v>108</v>
      </c>
    </row>
    <row r="612" spans="1:12">
      <c r="A612" s="3" t="s">
        <v>8</v>
      </c>
      <c r="B612" s="3" t="s">
        <v>9</v>
      </c>
      <c r="C612" s="3" t="s">
        <v>10</v>
      </c>
      <c r="D612" s="3" t="s">
        <v>15</v>
      </c>
      <c r="E612" s="3" t="s">
        <v>11</v>
      </c>
      <c r="F612" s="3" t="s">
        <v>27</v>
      </c>
      <c r="G612" s="3" t="s">
        <v>26</v>
      </c>
      <c r="H612" s="3" t="s">
        <v>14</v>
      </c>
      <c r="I612" s="3" t="s">
        <v>12</v>
      </c>
      <c r="J612" s="3" t="s">
        <v>13</v>
      </c>
      <c r="K612" s="3" t="s">
        <v>28</v>
      </c>
    </row>
    <row r="613" spans="1:12">
      <c r="A613" s="4" t="s">
        <v>16</v>
      </c>
      <c r="B613" s="5" t="s">
        <v>17</v>
      </c>
      <c r="C613" s="6">
        <f>IF(SUM(L614:L621)=0,0,SUM(C614:C621)/SUM(L614:L621))</f>
        <v/>
      </c>
      <c r="D613" s="6">
        <f>IF(SUM(L614:L621)=0,0,SUM(D614:D621)/SUM(L614:L621))</f>
        <v/>
      </c>
      <c r="E613" s="6">
        <f>IF(SUM(L614:L621)=0,0,SUM(E614:E621)/SUM(L614:L621))</f>
        <v/>
      </c>
      <c r="F613" s="6">
        <f>IF(SUM(L614:L621)=0,0,SUM(F614:F621)/SUM(L614:L621))</f>
        <v/>
      </c>
      <c r="G613" s="6">
        <f>IF(SUM(L614:L621)=0,0,SUM(G614:G621)/SUM(L614:L621))</f>
        <v/>
      </c>
      <c r="H613" s="6">
        <f>IF(SUM(L614:L621)=0,0,SUM(H614:H621)/SUM(L614:L621))</f>
        <v/>
      </c>
      <c r="I613" s="6">
        <f>IF(SUM(L614:L621)=0,0,SUM(I614:I621)/SUM(L614:L621))</f>
        <v/>
      </c>
      <c r="J613" s="6">
        <f>IF(SUM(L614:L621)=0,0,SUM(J614:J621)/SUM(L614:L621))</f>
        <v/>
      </c>
      <c r="K613" s="6">
        <f>IF(SUM(L614:L621)=0,0,SUM(K614:K621)/SUM(L614:L621))</f>
        <v/>
      </c>
    </row>
    <row r="614" spans="1:12">
      <c r="A614" s="4" t="s">
        <v>77</v>
      </c>
      <c r="B614" s="7">
        <v>0</v>
      </c>
      <c r="C614" s="6">
        <f>IF(L614=1,1.0,0)</f>
        <v/>
      </c>
      <c r="D614" s="6">
        <f>IF(L614=1,0.99,0)</f>
        <v/>
      </c>
      <c r="E614" s="5" t="s">
        <v>17</v>
      </c>
      <c r="F614" s="5" t="s">
        <v>17</v>
      </c>
      <c r="G614" s="5" t="s">
        <v>17</v>
      </c>
      <c r="H614" s="5" t="s">
        <v>17</v>
      </c>
      <c r="I614" s="5" t="s">
        <v>17</v>
      </c>
      <c r="J614" s="5" t="s">
        <v>17</v>
      </c>
      <c r="K614" s="5" t="s">
        <v>17</v>
      </c>
      <c r="L614" s="8">
        <f>IF(OR(LOOKUP(A614,characters!A:A,characters!B:B)=-1, LOOKUP(A614,characters!A:A,characters!B:B)+0.1&gt;=B614),1,0)</f>
        <v/>
      </c>
    </row>
    <row r="615" spans="1:12">
      <c r="A615" s="4" t="s">
        <v>100</v>
      </c>
      <c r="B615" s="7">
        <v>0</v>
      </c>
      <c r="C615" s="6">
        <f>IF(L615=1,1.0,0)</f>
        <v/>
      </c>
      <c r="D615" s="6">
        <f>IF(L615=1,0.9,0)</f>
        <v/>
      </c>
      <c r="E615" s="6">
        <f>IF(L615=1,0.8,0)</f>
        <v/>
      </c>
      <c r="F615" s="5" t="s">
        <v>17</v>
      </c>
      <c r="G615" s="5" t="s">
        <v>17</v>
      </c>
      <c r="H615" s="5" t="s">
        <v>17</v>
      </c>
      <c r="I615" s="5" t="s">
        <v>17</v>
      </c>
      <c r="J615" s="5" t="s">
        <v>17</v>
      </c>
      <c r="K615" s="5" t="s">
        <v>17</v>
      </c>
      <c r="L615" s="8">
        <f>IF(OR(LOOKUP(A615,characters!A:A,characters!B:B)=-1, LOOKUP(A615,characters!A:A,characters!B:B)+0.1&gt;=B615),1,0)</f>
        <v/>
      </c>
    </row>
    <row r="616" spans="1:12">
      <c r="A616" s="4" t="s">
        <v>101</v>
      </c>
      <c r="B616" s="7">
        <v>0</v>
      </c>
      <c r="C616" s="6">
        <f>IF(L616=1,1.0,0)</f>
        <v/>
      </c>
      <c r="D616" s="6">
        <f>IF(L616=1,0.9,0)</f>
        <v/>
      </c>
      <c r="E616" s="5" t="s">
        <v>17</v>
      </c>
      <c r="F616" s="6">
        <f>IF(L616=1,0.7,0)</f>
        <v/>
      </c>
      <c r="G616" s="6">
        <f>IF(L616=1,0.7,0)</f>
        <v/>
      </c>
      <c r="H616" s="5" t="s">
        <v>17</v>
      </c>
      <c r="I616" s="5" t="s">
        <v>17</v>
      </c>
      <c r="J616" s="5" t="s">
        <v>17</v>
      </c>
      <c r="K616" s="6">
        <f>IF(L616=1,0.8,0)</f>
        <v/>
      </c>
      <c r="L616" s="8">
        <f>IF(OR(LOOKUP(A616,characters!A:A,characters!B:B)=-1, LOOKUP(A616,characters!A:A,characters!B:B)+0.1&gt;=B616),1,0)</f>
        <v/>
      </c>
    </row>
    <row r="617" spans="1:12">
      <c r="A617" s="4" t="s">
        <v>102</v>
      </c>
      <c r="B617" s="7">
        <v>0</v>
      </c>
      <c r="C617" s="6">
        <f>IF(L617=1,1.0,0)</f>
        <v/>
      </c>
      <c r="D617" s="6">
        <f>IF(L617=1,0.9,0)</f>
        <v/>
      </c>
      <c r="E617" s="6">
        <f>IF(L617=1,0.89,0)</f>
        <v/>
      </c>
      <c r="F617" s="5" t="s">
        <v>17</v>
      </c>
      <c r="G617" s="5" t="s">
        <v>17</v>
      </c>
      <c r="H617" s="5" t="s">
        <v>17</v>
      </c>
      <c r="I617" s="5" t="s">
        <v>17</v>
      </c>
      <c r="J617" s="5" t="s">
        <v>17</v>
      </c>
      <c r="K617" s="5" t="s">
        <v>17</v>
      </c>
      <c r="L617" s="8">
        <f>IF(OR(LOOKUP(A617,characters!A:A,characters!B:B)=-1, LOOKUP(A617,characters!A:A,characters!B:B)+0.1&gt;=B617),1,0)</f>
        <v/>
      </c>
    </row>
    <row r="618" spans="1:12">
      <c r="A618" s="4" t="s">
        <v>91</v>
      </c>
      <c r="B618" s="7">
        <v>0</v>
      </c>
      <c r="C618" s="6">
        <f>IF(L618=1,1.0,0)</f>
        <v/>
      </c>
      <c r="D618" s="5" t="s">
        <v>17</v>
      </c>
      <c r="E618" s="6">
        <f>IF(L618=1,0.8,0)</f>
        <v/>
      </c>
      <c r="F618" s="5" t="s">
        <v>17</v>
      </c>
      <c r="G618" s="5" t="s">
        <v>17</v>
      </c>
      <c r="H618" s="5" t="s">
        <v>17</v>
      </c>
      <c r="I618" s="6">
        <f>IF(L618=1,0.9,0)</f>
        <v/>
      </c>
      <c r="J618" s="6">
        <f>IF(L618=1,0.9,0)</f>
        <v/>
      </c>
      <c r="K618" s="5" t="s">
        <v>17</v>
      </c>
      <c r="L618" s="8">
        <f>IF(OR(LOOKUP(A618,characters!A:A,characters!B:B)=-1, LOOKUP(A618,characters!A:A,characters!B:B)+0.1&gt;=B618),1,0)</f>
        <v/>
      </c>
    </row>
    <row r="619" spans="1:12">
      <c r="A619" s="4" t="s">
        <v>78</v>
      </c>
      <c r="B619" s="7">
        <v>0</v>
      </c>
      <c r="C619" s="6">
        <f>IF(L619=1,1.0,0)</f>
        <v/>
      </c>
      <c r="D619" s="6">
        <f>IF(L619=1,0.9,0)</f>
        <v/>
      </c>
      <c r="E619" s="6">
        <f>IF(L619=1,0.8,0)</f>
        <v/>
      </c>
      <c r="F619" s="5" t="s">
        <v>17</v>
      </c>
      <c r="G619" s="5" t="s">
        <v>17</v>
      </c>
      <c r="H619" s="5" t="s">
        <v>17</v>
      </c>
      <c r="I619" s="5" t="s">
        <v>17</v>
      </c>
      <c r="J619" s="5" t="s">
        <v>17</v>
      </c>
      <c r="K619" s="5" t="s">
        <v>17</v>
      </c>
      <c r="L619" s="8">
        <f>IF(OR(LOOKUP(A619,characters!A:A,characters!B:B)=-1, LOOKUP(A619,characters!A:A,characters!B:B)+0.1&gt;=B619),1,0)</f>
        <v/>
      </c>
    </row>
    <row r="620" spans="1:12">
      <c r="A620" s="4" t="s">
        <v>73</v>
      </c>
      <c r="B620" s="7">
        <v>0</v>
      </c>
      <c r="C620" s="6">
        <f>IF(L620=1,0.8,0)</f>
        <v/>
      </c>
      <c r="D620" s="6">
        <f>IF(L620=1,0.9,0)</f>
        <v/>
      </c>
      <c r="E620" s="5" t="s">
        <v>17</v>
      </c>
      <c r="F620" s="6">
        <f>IF(L620=1,0.7,0)</f>
        <v/>
      </c>
      <c r="G620" s="6">
        <f>IF(L620=1,0.7,0)</f>
        <v/>
      </c>
      <c r="H620" s="6">
        <f>IF(L620=1,1.0,0)</f>
        <v/>
      </c>
      <c r="I620" s="5" t="s">
        <v>17</v>
      </c>
      <c r="J620" s="5" t="s">
        <v>17</v>
      </c>
      <c r="K620" s="5" t="s">
        <v>17</v>
      </c>
      <c r="L620" s="8">
        <f>IF(OR(LOOKUP(A620,characters!A:A,characters!B:B)=-1, LOOKUP(A620,characters!A:A,characters!B:B)+0.1&gt;=B620),1,0)</f>
        <v/>
      </c>
    </row>
    <row r="621" spans="1:12">
      <c r="A621" s="4" t="s">
        <v>82</v>
      </c>
      <c r="B621" s="7">
        <v>1</v>
      </c>
      <c r="C621" s="6">
        <f>IF(L621=1,0.9,0)</f>
        <v/>
      </c>
      <c r="D621" s="6">
        <f>IF(L621=1,0.7,0)</f>
        <v/>
      </c>
      <c r="E621" s="6">
        <f>IF(L621=1,0.8,0)</f>
        <v/>
      </c>
      <c r="F621" s="6">
        <f>IF(L621=1,0.7,0)</f>
        <v/>
      </c>
      <c r="G621" s="6">
        <f>IF(L621=1,0.7,0)</f>
        <v/>
      </c>
      <c r="H621" s="6">
        <f>IF(L621=1,1.0,0)</f>
        <v/>
      </c>
      <c r="I621" s="5" t="s">
        <v>17</v>
      </c>
      <c r="J621" s="5" t="s">
        <v>17</v>
      </c>
      <c r="K621" s="5" t="s">
        <v>17</v>
      </c>
      <c r="L621" s="8">
        <f>IF(OR(LOOKUP(A621,characters!A:A,characters!B:B)=-1, LOOKUP(A621,characters!A:A,characters!B:B)+0.1&gt;=B621),1,0)</f>
        <v/>
      </c>
    </row>
    <row r="623" spans="1:12">
      <c r="A623" s="3" t="s">
        <v>23</v>
      </c>
      <c r="B623" s="3" t="s">
        <v>9</v>
      </c>
      <c r="C623" s="3" t="s">
        <v>11</v>
      </c>
      <c r="D623" s="3" t="s">
        <v>109</v>
      </c>
      <c r="E623" s="3" t="s">
        <v>14</v>
      </c>
      <c r="F623" s="3" t="s">
        <v>12</v>
      </c>
      <c r="G623" s="3" t="s">
        <v>13</v>
      </c>
    </row>
    <row r="624" spans="1:12">
      <c r="A624" s="4" t="s">
        <v>16</v>
      </c>
      <c r="B624" s="5" t="s">
        <v>17</v>
      </c>
      <c r="C624" s="6">
        <f>IF(SUM(H625:H632)=0,0,SUM(C625:C632)/SUM(H625:H632))</f>
        <v/>
      </c>
      <c r="D624" s="6">
        <f>IF(SUM(H625:H632)=0,0,SUM(D625:D632)/SUM(H625:H632))</f>
        <v/>
      </c>
      <c r="E624" s="6">
        <f>IF(SUM(H625:H632)=0,0,SUM(E625:E632)/SUM(H625:H632))</f>
        <v/>
      </c>
      <c r="F624" s="6">
        <f>IF(SUM(H625:H632)=0,0,SUM(F625:F632)/SUM(H625:H632))</f>
        <v/>
      </c>
      <c r="G624" s="6">
        <f>IF(SUM(H625:H632)=0,0,SUM(G625:G632)/SUM(H625:H632))</f>
        <v/>
      </c>
    </row>
    <row r="625" spans="1:8">
      <c r="A625" s="4" t="s">
        <v>77</v>
      </c>
      <c r="B625" s="7">
        <v>0</v>
      </c>
      <c r="C625" s="5" t="s">
        <v>17</v>
      </c>
      <c r="D625" s="5" t="s">
        <v>17</v>
      </c>
      <c r="E625" s="5" t="s">
        <v>17</v>
      </c>
      <c r="F625" s="5" t="s">
        <v>17</v>
      </c>
      <c r="G625" s="5" t="s">
        <v>17</v>
      </c>
      <c r="H625" s="8">
        <f>IF(OR(LOOKUP(A625,characters!A:A,characters!B:B)=-1, LOOKUP(A625,characters!A:A,characters!B:B)+0.1&gt;=B625),1,0)</f>
        <v/>
      </c>
    </row>
    <row r="626" spans="1:8">
      <c r="A626" s="4" t="s">
        <v>100</v>
      </c>
      <c r="B626" s="7">
        <v>0</v>
      </c>
      <c r="C626" s="6">
        <f>IF(H626=1,1.0,0)</f>
        <v/>
      </c>
      <c r="D626" s="5" t="s">
        <v>17</v>
      </c>
      <c r="E626" s="5" t="s">
        <v>17</v>
      </c>
      <c r="F626" s="5" t="s">
        <v>17</v>
      </c>
      <c r="G626" s="5" t="s">
        <v>17</v>
      </c>
      <c r="H626" s="8">
        <f>IF(OR(LOOKUP(A626,characters!A:A,characters!B:B)=-1, LOOKUP(A626,characters!A:A,characters!B:B)+0.1&gt;=B626),1,0)</f>
        <v/>
      </c>
    </row>
    <row r="627" spans="1:8">
      <c r="A627" s="4" t="s">
        <v>101</v>
      </c>
      <c r="B627" s="7">
        <v>0</v>
      </c>
      <c r="C627" s="5" t="s">
        <v>17</v>
      </c>
      <c r="D627" s="6">
        <f>IF(H627=1,1.0,0)</f>
        <v/>
      </c>
      <c r="E627" s="5" t="s">
        <v>17</v>
      </c>
      <c r="F627" s="5" t="s">
        <v>17</v>
      </c>
      <c r="G627" s="5" t="s">
        <v>17</v>
      </c>
      <c r="H627" s="8">
        <f>IF(OR(LOOKUP(A627,characters!A:A,characters!B:B)=-1, LOOKUP(A627,characters!A:A,characters!B:B)+0.1&gt;=B627),1,0)</f>
        <v/>
      </c>
    </row>
    <row r="628" spans="1:8">
      <c r="A628" s="4" t="s">
        <v>82</v>
      </c>
      <c r="B628" s="7">
        <v>1</v>
      </c>
      <c r="C628" s="6">
        <f>IF(H628=1,1.0,0)</f>
        <v/>
      </c>
      <c r="D628" s="5" t="s">
        <v>17</v>
      </c>
      <c r="E628" s="6">
        <f>IF(H628=1,0.9,0)</f>
        <v/>
      </c>
      <c r="F628" s="5" t="s">
        <v>17</v>
      </c>
      <c r="G628" s="5" t="s">
        <v>17</v>
      </c>
      <c r="H628" s="8">
        <f>IF(OR(LOOKUP(A628,characters!A:A,characters!B:B)=-1, LOOKUP(A628,characters!A:A,characters!B:B)+0.1&gt;=B628),1,0)</f>
        <v/>
      </c>
    </row>
    <row r="629" spans="1:8">
      <c r="A629" s="4" t="s">
        <v>102</v>
      </c>
      <c r="B629" s="7">
        <v>0</v>
      </c>
      <c r="C629" s="5" t="s">
        <v>17</v>
      </c>
      <c r="D629" s="6">
        <f>IF(H629=1,1.0,0)</f>
        <v/>
      </c>
      <c r="E629" s="5" t="s">
        <v>17</v>
      </c>
      <c r="F629" s="5" t="s">
        <v>17</v>
      </c>
      <c r="G629" s="5" t="s">
        <v>17</v>
      </c>
      <c r="H629" s="8">
        <f>IF(OR(LOOKUP(A629,characters!A:A,characters!B:B)=-1, LOOKUP(A629,characters!A:A,characters!B:B)+0.1&gt;=B629),1,0)</f>
        <v/>
      </c>
    </row>
    <row r="630" spans="1:8">
      <c r="A630" s="4" t="s">
        <v>91</v>
      </c>
      <c r="B630" s="7">
        <v>0</v>
      </c>
      <c r="C630" s="5" t="s">
        <v>17</v>
      </c>
      <c r="D630" s="5" t="s">
        <v>17</v>
      </c>
      <c r="E630" s="5" t="s">
        <v>17</v>
      </c>
      <c r="F630" s="6">
        <f>IF(H630=1,1.0,0)</f>
        <v/>
      </c>
      <c r="G630" s="6">
        <f>IF(H630=1,0.99,0)</f>
        <v/>
      </c>
      <c r="H630" s="8">
        <f>IF(OR(LOOKUP(A630,characters!A:A,characters!B:B)=-1, LOOKUP(A630,characters!A:A,characters!B:B)+0.1&gt;=B630),1,0)</f>
        <v/>
      </c>
    </row>
    <row r="631" spans="1:8">
      <c r="A631" s="4" t="s">
        <v>78</v>
      </c>
      <c r="B631" s="7">
        <v>0</v>
      </c>
      <c r="C631" s="6">
        <f>IF(H631=1,1.0,0)</f>
        <v/>
      </c>
      <c r="D631" s="5" t="s">
        <v>17</v>
      </c>
      <c r="E631" s="5" t="s">
        <v>17</v>
      </c>
      <c r="F631" s="5" t="s">
        <v>17</v>
      </c>
      <c r="G631" s="5" t="s">
        <v>17</v>
      </c>
      <c r="H631" s="8">
        <f>IF(OR(LOOKUP(A631,characters!A:A,characters!B:B)=-1, LOOKUP(A631,characters!A:A,characters!B:B)+0.1&gt;=B631),1,0)</f>
        <v/>
      </c>
    </row>
    <row r="632" spans="1:8">
      <c r="A632" s="4" t="s">
        <v>73</v>
      </c>
      <c r="B632" s="7">
        <v>0</v>
      </c>
      <c r="C632" s="5" t="s">
        <v>17</v>
      </c>
      <c r="D632" s="5" t="s">
        <v>17</v>
      </c>
      <c r="E632" s="6">
        <f>IF(H632=1,1.0,0)</f>
        <v/>
      </c>
      <c r="F632" s="5" t="s">
        <v>17</v>
      </c>
      <c r="G632" s="5" t="s">
        <v>17</v>
      </c>
      <c r="H632" s="8">
        <f>IF(OR(LOOKUP(A632,characters!A:A,characters!B:B)=-1, LOOKUP(A632,characters!A:A,characters!B:B)+0.1&gt;=B632),1,0)</f>
        <v/>
      </c>
    </row>
    <row r="634" spans="1:8">
      <c r="A634" s="3" t="s">
        <v>24</v>
      </c>
      <c r="B634" s="3" t="s">
        <v>9</v>
      </c>
      <c r="C634" s="3" t="s">
        <v>10</v>
      </c>
      <c r="D634" s="3" t="s">
        <v>11</v>
      </c>
    </row>
    <row r="635" spans="1:8">
      <c r="A635" s="4" t="s">
        <v>16</v>
      </c>
      <c r="B635" s="5" t="s">
        <v>17</v>
      </c>
      <c r="C635" s="6">
        <f>IF(SUM(E636:E643)=0,0,SUM(C636:C643)/SUM(E636:E643))</f>
        <v/>
      </c>
      <c r="D635" s="6">
        <f>IF(SUM(E636:E643)=0,0,SUM(D636:D643)/SUM(E636:E643))</f>
        <v/>
      </c>
    </row>
    <row r="636" spans="1:8">
      <c r="A636" s="4" t="s">
        <v>77</v>
      </c>
      <c r="B636" s="7">
        <v>0</v>
      </c>
      <c r="C636" s="6">
        <f>IF(E636=1,1.0,0)</f>
        <v/>
      </c>
      <c r="D636" s="5" t="s">
        <v>17</v>
      </c>
      <c r="E636" s="8">
        <f>IF(OR(LOOKUP(A636,characters!A:A,characters!B:B)=-1, LOOKUP(A636,characters!A:A,characters!B:B)+0.1&gt;=B636),1,0)</f>
        <v/>
      </c>
    </row>
    <row r="637" spans="1:8">
      <c r="A637" s="4" t="s">
        <v>100</v>
      </c>
      <c r="B637" s="7">
        <v>0</v>
      </c>
      <c r="C637" s="6">
        <f>IF(E637=1,1.0,0)</f>
        <v/>
      </c>
      <c r="D637" s="5" t="s">
        <v>17</v>
      </c>
      <c r="E637" s="8">
        <f>IF(OR(LOOKUP(A637,characters!A:A,characters!B:B)=-1, LOOKUP(A637,characters!A:A,characters!B:B)+0.1&gt;=B637),1,0)</f>
        <v/>
      </c>
    </row>
    <row r="638" spans="1:8">
      <c r="A638" s="4" t="s">
        <v>101</v>
      </c>
      <c r="B638" s="7">
        <v>0</v>
      </c>
      <c r="C638" s="6">
        <f>IF(E638=1,1.0,0)</f>
        <v/>
      </c>
      <c r="D638" s="5" t="s">
        <v>17</v>
      </c>
      <c r="E638" s="8">
        <f>IF(OR(LOOKUP(A638,characters!A:A,characters!B:B)=-1, LOOKUP(A638,characters!A:A,characters!B:B)+0.1&gt;=B638),1,0)</f>
        <v/>
      </c>
    </row>
    <row r="639" spans="1:8">
      <c r="A639" s="4" t="s">
        <v>82</v>
      </c>
      <c r="B639" s="7">
        <v>1</v>
      </c>
      <c r="C639" s="6">
        <f>IF(E639=1,1.0,0)</f>
        <v/>
      </c>
      <c r="D639" s="5" t="s">
        <v>17</v>
      </c>
      <c r="E639" s="8">
        <f>IF(OR(LOOKUP(A639,characters!A:A,characters!B:B)=-1, LOOKUP(A639,characters!A:A,characters!B:B)+0.1&gt;=B639),1,0)</f>
        <v/>
      </c>
    </row>
    <row r="640" spans="1:8">
      <c r="A640" s="4" t="s">
        <v>102</v>
      </c>
      <c r="B640" s="7">
        <v>0</v>
      </c>
      <c r="C640" s="6">
        <f>IF(E640=1,1.0,0)</f>
        <v/>
      </c>
      <c r="D640" s="5" t="s">
        <v>17</v>
      </c>
      <c r="E640" s="8">
        <f>IF(OR(LOOKUP(A640,characters!A:A,characters!B:B)=-1, LOOKUP(A640,characters!A:A,characters!B:B)+0.1&gt;=B640),1,0)</f>
        <v/>
      </c>
    </row>
    <row r="641" spans="1:9">
      <c r="A641" s="4" t="s">
        <v>91</v>
      </c>
      <c r="B641" s="7">
        <v>0</v>
      </c>
      <c r="C641" s="6">
        <f>IF(E641=1,1.0,0)</f>
        <v/>
      </c>
      <c r="D641" s="6">
        <f>IF(E641=1,0.99,0)</f>
        <v/>
      </c>
      <c r="E641" s="8">
        <f>IF(OR(LOOKUP(A641,characters!A:A,characters!B:B)=-1, LOOKUP(A641,characters!A:A,characters!B:B)+0.1&gt;=B641),1,0)</f>
        <v/>
      </c>
    </row>
    <row r="642" spans="1:9">
      <c r="A642" s="4" t="s">
        <v>78</v>
      </c>
      <c r="B642" s="7">
        <v>0</v>
      </c>
      <c r="C642" s="6">
        <f>IF(E642=1,1.0,0)</f>
        <v/>
      </c>
      <c r="D642" s="5" t="s">
        <v>17</v>
      </c>
      <c r="E642" s="8">
        <f>IF(OR(LOOKUP(A642,characters!A:A,characters!B:B)=-1, LOOKUP(A642,characters!A:A,characters!B:B)+0.1&gt;=B642),1,0)</f>
        <v/>
      </c>
    </row>
    <row r="643" spans="1:9">
      <c r="A643" s="4" t="s">
        <v>73</v>
      </c>
      <c r="B643" s="7">
        <v>0</v>
      </c>
      <c r="C643" s="6">
        <f>IF(E643=1,1.0,0)</f>
        <v/>
      </c>
      <c r="D643" s="5" t="s">
        <v>17</v>
      </c>
      <c r="E643" s="8">
        <f>IF(OR(LOOKUP(A643,characters!A:A,characters!B:B)=-1, LOOKUP(A643,characters!A:A,characters!B:B)+0.1&gt;=B643),1,0)</f>
        <v/>
      </c>
    </row>
    <row r="650" spans="1:9">
      <c r="A650" s="3" t="s">
        <v>110</v>
      </c>
    </row>
    <row r="651" spans="1:9">
      <c r="A651" s="3" t="s">
        <v>8</v>
      </c>
      <c r="B651" s="3" t="s">
        <v>9</v>
      </c>
      <c r="C651" s="3" t="s">
        <v>10</v>
      </c>
      <c r="D651" s="3" t="s">
        <v>12</v>
      </c>
      <c r="E651" s="3" t="s">
        <v>13</v>
      </c>
      <c r="F651" s="3" t="s">
        <v>11</v>
      </c>
      <c r="G651" s="3" t="s">
        <v>14</v>
      </c>
      <c r="H651" s="3" t="s">
        <v>27</v>
      </c>
    </row>
    <row r="652" spans="1:9">
      <c r="A652" s="4" t="s">
        <v>16</v>
      </c>
      <c r="B652" s="5" t="s">
        <v>17</v>
      </c>
      <c r="C652" s="6">
        <f>IF(SUM(I653:I662)=0,0,SUM(C653:C662)/SUM(I653:I662))</f>
        <v/>
      </c>
      <c r="D652" s="6">
        <f>IF(SUM(I653:I662)=0,0,SUM(D653:D662)/SUM(I653:I662))</f>
        <v/>
      </c>
      <c r="E652" s="6">
        <f>IF(SUM(I653:I662)=0,0,SUM(E653:E662)/SUM(I653:I662))</f>
        <v/>
      </c>
      <c r="F652" s="6">
        <f>IF(SUM(I653:I662)=0,0,SUM(F653:F662)/SUM(I653:I662))</f>
        <v/>
      </c>
      <c r="G652" s="6">
        <f>IF(SUM(I653:I662)=0,0,SUM(G653:G662)/SUM(I653:I662))</f>
        <v/>
      </c>
      <c r="H652" s="6">
        <f>IF(SUM(I653:I662)=0,0,SUM(H653:H662)/SUM(I653:I662))</f>
        <v/>
      </c>
    </row>
    <row r="653" spans="1:9">
      <c r="A653" s="4" t="s">
        <v>22</v>
      </c>
      <c r="B653" s="7">
        <v>0</v>
      </c>
      <c r="C653" s="6">
        <f>IF(I653=1,1.0,0)</f>
        <v/>
      </c>
      <c r="D653" s="6">
        <f>IF(I653=1,0.9,0)</f>
        <v/>
      </c>
      <c r="E653" s="6">
        <f>IF(I653=1,0.9,0)</f>
        <v/>
      </c>
      <c r="F653" s="6">
        <f>IF(I653=1,0.8,0)</f>
        <v/>
      </c>
      <c r="G653" s="5" t="s">
        <v>17</v>
      </c>
      <c r="H653" s="5" t="s">
        <v>17</v>
      </c>
      <c r="I653" s="8">
        <f>IF(OR(LOOKUP(A653,characters!A:A,characters!B:B)=-1, LOOKUP(A653,characters!A:A,characters!B:B)+0.1&gt;=B653),1,0)</f>
        <v/>
      </c>
    </row>
    <row r="654" spans="1:9">
      <c r="A654" s="4" t="s">
        <v>62</v>
      </c>
      <c r="B654" s="7">
        <v>0</v>
      </c>
      <c r="C654" s="6">
        <f>IF(I654=1,0.79,0)</f>
        <v/>
      </c>
      <c r="D654" s="6">
        <f>IF(I654=1,1.0,0)</f>
        <v/>
      </c>
      <c r="E654" s="6">
        <f>IF(I654=1,0.99,0)</f>
        <v/>
      </c>
      <c r="F654" s="6">
        <f>IF(I654=1,0.89,0)</f>
        <v/>
      </c>
      <c r="G654" s="5" t="s">
        <v>17</v>
      </c>
      <c r="H654" s="5" t="s">
        <v>17</v>
      </c>
      <c r="I654" s="8">
        <f>IF(OR(LOOKUP(A654,characters!A:A,characters!B:B)=-1, LOOKUP(A654,characters!A:A,characters!B:B)+0.1&gt;=B654),1,0)</f>
        <v/>
      </c>
    </row>
    <row r="655" spans="1:9">
      <c r="A655" s="4" t="s">
        <v>92</v>
      </c>
      <c r="B655" s="7">
        <v>0</v>
      </c>
      <c r="C655" s="6">
        <f>IF(I655=1,1.0,0)</f>
        <v/>
      </c>
      <c r="D655" s="6">
        <f>IF(I655=1,0.9,0)</f>
        <v/>
      </c>
      <c r="E655" s="6">
        <f>IF(I655=1,0.8,0)</f>
        <v/>
      </c>
      <c r="F655" s="6">
        <f>IF(I655=1,0.7,0)</f>
        <v/>
      </c>
      <c r="G655" s="5" t="s">
        <v>17</v>
      </c>
      <c r="H655" s="5" t="s">
        <v>17</v>
      </c>
      <c r="I655" s="8">
        <f>IF(OR(LOOKUP(A655,characters!A:A,characters!B:B)=-1, LOOKUP(A655,characters!A:A,characters!B:B)+0.1&gt;=B655),1,0)</f>
        <v/>
      </c>
    </row>
    <row r="656" spans="1:9">
      <c r="A656" s="4" t="s">
        <v>90</v>
      </c>
      <c r="B656" s="7">
        <v>0</v>
      </c>
      <c r="C656" s="6">
        <f>IF(I656=1,1.0,0)</f>
        <v/>
      </c>
      <c r="D656" s="6">
        <f>IF(I656=1,0.9,0)</f>
        <v/>
      </c>
      <c r="E656" s="6">
        <f>IF(I656=1,0.9,0)</f>
        <v/>
      </c>
      <c r="F656" s="6">
        <f>IF(I656=1,0.8,0)</f>
        <v/>
      </c>
      <c r="G656" s="6">
        <f>IF(I656=1,1.0,0)</f>
        <v/>
      </c>
      <c r="H656" s="5" t="s">
        <v>17</v>
      </c>
      <c r="I656" s="8">
        <f>IF(OR(LOOKUP(A656,characters!A:A,characters!B:B)=-1, LOOKUP(A656,characters!A:A,characters!B:B)+0.1&gt;=B656),1,0)</f>
        <v/>
      </c>
    </row>
    <row r="657" spans="1:11">
      <c r="A657" s="4" t="s">
        <v>55</v>
      </c>
      <c r="B657" s="7">
        <v>1</v>
      </c>
      <c r="C657" s="6">
        <f>IF(I657=1,1.0,0)</f>
        <v/>
      </c>
      <c r="D657" s="6">
        <f>IF(I657=1,0.9,0)</f>
        <v/>
      </c>
      <c r="E657" s="6">
        <f>IF(I657=1,0.9,0)</f>
        <v/>
      </c>
      <c r="F657" s="6">
        <f>IF(I657=1,0.8,0)</f>
        <v/>
      </c>
      <c r="G657" s="5" t="s">
        <v>17</v>
      </c>
      <c r="H657" s="5" t="s">
        <v>17</v>
      </c>
      <c r="I657" s="8">
        <f>IF(OR(LOOKUP(A657,characters!A:A,characters!B:B)=-1, LOOKUP(A657,characters!A:A,characters!B:B)+0.1&gt;=B657),1,0)</f>
        <v/>
      </c>
    </row>
    <row r="658" spans="1:11">
      <c r="A658" s="4" t="s">
        <v>56</v>
      </c>
      <c r="B658" s="7">
        <v>1</v>
      </c>
      <c r="C658" s="6">
        <f>IF(I658=1,1.0,0)</f>
        <v/>
      </c>
      <c r="D658" s="6">
        <f>IF(I658=1,1.0,0)</f>
        <v/>
      </c>
      <c r="E658" s="6">
        <f>IF(I658=1,1.0,0)</f>
        <v/>
      </c>
      <c r="F658" s="6">
        <f>IF(I658=1,0.9,0)</f>
        <v/>
      </c>
      <c r="G658" s="5" t="s">
        <v>17</v>
      </c>
      <c r="H658" s="5" t="s">
        <v>17</v>
      </c>
      <c r="I658" s="8">
        <f>IF(OR(LOOKUP(A658,characters!A:A,characters!B:B)=-1, LOOKUP(A658,characters!A:A,characters!B:B)+0.1&gt;=B658),1,0)</f>
        <v/>
      </c>
    </row>
    <row r="659" spans="1:11">
      <c r="A659" s="4" t="s">
        <v>91</v>
      </c>
      <c r="B659" s="7">
        <v>1</v>
      </c>
      <c r="C659" s="6">
        <f>IF(I659=1,1.0,0)</f>
        <v/>
      </c>
      <c r="D659" s="6">
        <f>IF(I659=1,0.9,0)</f>
        <v/>
      </c>
      <c r="E659" s="6">
        <f>IF(I659=1,0.9,0)</f>
        <v/>
      </c>
      <c r="F659" s="6">
        <f>IF(I659=1,0.8,0)</f>
        <v/>
      </c>
      <c r="G659" s="5" t="s">
        <v>17</v>
      </c>
      <c r="H659" s="5" t="s">
        <v>17</v>
      </c>
      <c r="I659" s="8">
        <f>IF(OR(LOOKUP(A659,characters!A:A,characters!B:B)=-1, LOOKUP(A659,characters!A:A,characters!B:B)+0.1&gt;=B659),1,0)</f>
        <v/>
      </c>
    </row>
    <row r="660" spans="1:11">
      <c r="A660" s="4" t="s">
        <v>57</v>
      </c>
      <c r="B660" s="7">
        <v>1</v>
      </c>
      <c r="C660" s="6">
        <f>IF(I660=1,1.0,0)</f>
        <v/>
      </c>
      <c r="D660" s="6">
        <f>IF(I660=1,1.0,0)</f>
        <v/>
      </c>
      <c r="E660" s="6">
        <f>IF(I660=1,0.99,0)</f>
        <v/>
      </c>
      <c r="F660" s="6">
        <f>IF(I660=1,0.89,0)</f>
        <v/>
      </c>
      <c r="G660" s="5" t="s">
        <v>17</v>
      </c>
      <c r="H660" s="5" t="s">
        <v>17</v>
      </c>
      <c r="I660" s="8">
        <f>IF(OR(LOOKUP(A660,characters!A:A,characters!B:B)=-1, LOOKUP(A660,characters!A:A,characters!B:B)+0.1&gt;=B660),1,0)</f>
        <v/>
      </c>
    </row>
    <row r="661" spans="1:11">
      <c r="A661" s="4" t="s">
        <v>107</v>
      </c>
      <c r="B661" s="7">
        <v>2</v>
      </c>
      <c r="C661" s="6">
        <f>IF(I661=1,1.0,0)</f>
        <v/>
      </c>
      <c r="D661" s="6">
        <f>IF(I661=1,0.9,0)</f>
        <v/>
      </c>
      <c r="E661" s="6">
        <f>IF(I661=1,0.9,0)</f>
        <v/>
      </c>
      <c r="F661" s="5" t="s">
        <v>17</v>
      </c>
      <c r="G661" s="5" t="s">
        <v>17</v>
      </c>
      <c r="H661" s="6">
        <f>IF(I661=1,0.8,0)</f>
        <v/>
      </c>
      <c r="I661" s="8">
        <f>IF(OR(LOOKUP(A661,characters!A:A,characters!B:B)=-1, LOOKUP(A661,characters!A:A,characters!B:B)+0.1&gt;=B661),1,0)</f>
        <v/>
      </c>
    </row>
    <row r="662" spans="1:11">
      <c r="A662" s="4" t="s">
        <v>58</v>
      </c>
      <c r="B662" s="7">
        <v>2</v>
      </c>
      <c r="C662" s="6">
        <f>IF(I662=1,1.0,0)</f>
        <v/>
      </c>
      <c r="D662" s="6">
        <f>IF(I662=1,0.9,0)</f>
        <v/>
      </c>
      <c r="E662" s="6">
        <f>IF(I662=1,0.9,0)</f>
        <v/>
      </c>
      <c r="F662" s="6">
        <f>IF(I662=1,0.8,0)</f>
        <v/>
      </c>
      <c r="G662" s="5" t="s">
        <v>17</v>
      </c>
      <c r="H662" s="5" t="s">
        <v>17</v>
      </c>
      <c r="I662" s="8">
        <f>IF(OR(LOOKUP(A662,characters!A:A,characters!B:B)=-1, LOOKUP(A662,characters!A:A,characters!B:B)+0.1&gt;=B662),1,0)</f>
        <v/>
      </c>
    </row>
    <row r="664" spans="1:11">
      <c r="A664" s="3" t="s">
        <v>30</v>
      </c>
      <c r="B664" s="3" t="s">
        <v>9</v>
      </c>
      <c r="C664" s="3" t="s">
        <v>11</v>
      </c>
      <c r="D664" s="3" t="s">
        <v>66</v>
      </c>
      <c r="E664" s="3" t="s">
        <v>64</v>
      </c>
      <c r="F664" s="3" t="s">
        <v>27</v>
      </c>
      <c r="G664" s="3" t="s">
        <v>45</v>
      </c>
      <c r="H664" s="3" t="s">
        <v>46</v>
      </c>
      <c r="I664" s="3" t="s">
        <v>47</v>
      </c>
      <c r="J664" s="3" t="s">
        <v>65</v>
      </c>
    </row>
    <row r="665" spans="1:11">
      <c r="A665" s="4" t="s">
        <v>16</v>
      </c>
      <c r="B665" s="5" t="s">
        <v>17</v>
      </c>
      <c r="C665" s="6">
        <f>IF(SUM(K666:K675)=0,0,SUM(C666:C675)/SUM(K666:K675))</f>
        <v/>
      </c>
      <c r="D665" s="6">
        <f>IF(SUM(K666:K675)=0,0,SUM(D666:D675)/SUM(K666:K675))</f>
        <v/>
      </c>
      <c r="E665" s="6">
        <f>IF(SUM(K666:K675)=0,0,SUM(E666:E675)/SUM(K666:K675))</f>
        <v/>
      </c>
      <c r="F665" s="6">
        <f>IF(SUM(K666:K675)=0,0,SUM(F666:F675)/SUM(K666:K675))</f>
        <v/>
      </c>
      <c r="G665" s="6">
        <f>IF(SUM(K666:K675)=0,0,SUM(G666:G675)/SUM(K666:K675))</f>
        <v/>
      </c>
      <c r="H665" s="6">
        <f>IF(SUM(K666:K675)=0,0,SUM(H666:H675)/SUM(K666:K675))</f>
        <v/>
      </c>
      <c r="I665" s="6">
        <f>IF(SUM(K666:K675)=0,0,SUM(I666:I675)/SUM(K666:K675))</f>
        <v/>
      </c>
      <c r="J665" s="6">
        <f>IF(SUM(K666:K675)=0,0,SUM(J666:J675)/SUM(K666:K675))</f>
        <v/>
      </c>
    </row>
    <row r="666" spans="1:11">
      <c r="A666" s="4" t="s">
        <v>22</v>
      </c>
      <c r="B666" s="7">
        <v>0</v>
      </c>
      <c r="C666" s="6">
        <f>IF(K666=1,1.0,0)</f>
        <v/>
      </c>
      <c r="D666" s="6">
        <f>IF(K666=1,0.9,0)</f>
        <v/>
      </c>
      <c r="E666" s="5" t="s">
        <v>17</v>
      </c>
      <c r="F666" s="5" t="s">
        <v>17</v>
      </c>
      <c r="G666" s="5" t="s">
        <v>17</v>
      </c>
      <c r="H666" s="5" t="s">
        <v>17</v>
      </c>
      <c r="I666" s="5" t="s">
        <v>17</v>
      </c>
      <c r="J666" s="5" t="s">
        <v>17</v>
      </c>
      <c r="K666" s="8">
        <f>IF(OR(LOOKUP(A666,characters!A:A,characters!B:B)=-1, LOOKUP(A666,characters!A:A,characters!B:B)+0.1&gt;=B666),1,0)</f>
        <v/>
      </c>
    </row>
    <row r="667" spans="1:11">
      <c r="A667" s="4" t="s">
        <v>107</v>
      </c>
      <c r="B667" s="7">
        <v>2</v>
      </c>
      <c r="C667" s="5" t="s">
        <v>17</v>
      </c>
      <c r="D667" s="5" t="s">
        <v>17</v>
      </c>
      <c r="E667" s="6">
        <f>IF(K667=1,1.0,0)</f>
        <v/>
      </c>
      <c r="F667" s="6">
        <f>IF(K667=1,0.99,0)</f>
        <v/>
      </c>
      <c r="G667" s="5" t="s">
        <v>17</v>
      </c>
      <c r="H667" s="5" t="s">
        <v>17</v>
      </c>
      <c r="I667" s="5" t="s">
        <v>17</v>
      </c>
      <c r="J667" s="5" t="s">
        <v>17</v>
      </c>
      <c r="K667" s="8">
        <f>IF(OR(LOOKUP(A667,characters!A:A,characters!B:B)=-1, LOOKUP(A667,characters!A:A,characters!B:B)+0.1&gt;=B667),1,0)</f>
        <v/>
      </c>
    </row>
    <row r="668" spans="1:11">
      <c r="A668" s="4" t="s">
        <v>55</v>
      </c>
      <c r="B668" s="7">
        <v>1</v>
      </c>
      <c r="C668" s="6">
        <f>IF(K668=1,0.99,0)</f>
        <v/>
      </c>
      <c r="D668" s="5" t="s">
        <v>17</v>
      </c>
      <c r="E668" s="5" t="s">
        <v>17</v>
      </c>
      <c r="F668" s="5" t="s">
        <v>17</v>
      </c>
      <c r="G668" s="6">
        <f>IF(K668=1,1.0,0)</f>
        <v/>
      </c>
      <c r="H668" s="5" t="s">
        <v>17</v>
      </c>
      <c r="I668" s="5" t="s">
        <v>17</v>
      </c>
      <c r="J668" s="5" t="s">
        <v>17</v>
      </c>
      <c r="K668" s="8">
        <f>IF(OR(LOOKUP(A668,characters!A:A,characters!B:B)=-1, LOOKUP(A668,characters!A:A,characters!B:B)+0.1&gt;=B668),1,0)</f>
        <v/>
      </c>
    </row>
    <row r="669" spans="1:11">
      <c r="A669" s="4" t="s">
        <v>56</v>
      </c>
      <c r="B669" s="7">
        <v>1</v>
      </c>
      <c r="C669" s="6">
        <f>IF(K669=1,0.9,0)</f>
        <v/>
      </c>
      <c r="D669" s="5" t="s">
        <v>17</v>
      </c>
      <c r="E669" s="6">
        <f>IF(K669=1,1.0,0)</f>
        <v/>
      </c>
      <c r="F669" s="5" t="s">
        <v>17</v>
      </c>
      <c r="G669" s="5" t="s">
        <v>17</v>
      </c>
      <c r="H669" s="5" t="s">
        <v>17</v>
      </c>
      <c r="I669" s="5" t="s">
        <v>17</v>
      </c>
      <c r="J669" s="5" t="s">
        <v>17</v>
      </c>
      <c r="K669" s="8">
        <f>IF(OR(LOOKUP(A669,characters!A:A,characters!B:B)=-1, LOOKUP(A669,characters!A:A,characters!B:B)+0.1&gt;=B669),1,0)</f>
        <v/>
      </c>
    </row>
    <row r="670" spans="1:11">
      <c r="A670" s="4" t="s">
        <v>62</v>
      </c>
      <c r="B670" s="7">
        <v>0</v>
      </c>
      <c r="C670" s="5" t="s">
        <v>17</v>
      </c>
      <c r="D670" s="5" t="s">
        <v>17</v>
      </c>
      <c r="E670" s="5" t="s">
        <v>17</v>
      </c>
      <c r="F670" s="5" t="s">
        <v>17</v>
      </c>
      <c r="G670" s="5" t="s">
        <v>17</v>
      </c>
      <c r="H670" s="6">
        <f>IF(K670=1,1.0,0)</f>
        <v/>
      </c>
      <c r="I670" s="5" t="s">
        <v>17</v>
      </c>
      <c r="J670" s="5" t="s">
        <v>17</v>
      </c>
      <c r="K670" s="8">
        <f>IF(OR(LOOKUP(A670,characters!A:A,characters!B:B)=-1, LOOKUP(A670,characters!A:A,characters!B:B)+0.1&gt;=B670),1,0)</f>
        <v/>
      </c>
    </row>
    <row r="671" spans="1:11">
      <c r="A671" s="4" t="s">
        <v>91</v>
      </c>
      <c r="B671" s="7">
        <v>1</v>
      </c>
      <c r="C671" s="6">
        <f>IF(K671=1,0.99,0)</f>
        <v/>
      </c>
      <c r="D671" s="5" t="s">
        <v>17</v>
      </c>
      <c r="E671" s="5" t="s">
        <v>17</v>
      </c>
      <c r="F671" s="5" t="s">
        <v>17</v>
      </c>
      <c r="G671" s="6">
        <f>IF(K671=1,1.0,0)</f>
        <v/>
      </c>
      <c r="H671" s="5" t="s">
        <v>17</v>
      </c>
      <c r="I671" s="5" t="s">
        <v>17</v>
      </c>
      <c r="J671" s="5" t="s">
        <v>17</v>
      </c>
      <c r="K671" s="8">
        <f>IF(OR(LOOKUP(A671,characters!A:A,characters!B:B)=-1, LOOKUP(A671,characters!A:A,characters!B:B)+0.1&gt;=B671),1,0)</f>
        <v/>
      </c>
    </row>
    <row r="672" spans="1:11">
      <c r="A672" s="4" t="s">
        <v>57</v>
      </c>
      <c r="B672" s="7">
        <v>1</v>
      </c>
      <c r="C672" s="5" t="s">
        <v>17</v>
      </c>
      <c r="D672" s="6">
        <f>IF(K672=1,1.0,0)</f>
        <v/>
      </c>
      <c r="E672" s="5" t="s">
        <v>17</v>
      </c>
      <c r="F672" s="5" t="s">
        <v>17</v>
      </c>
      <c r="G672" s="5" t="s">
        <v>17</v>
      </c>
      <c r="H672" s="5" t="s">
        <v>17</v>
      </c>
      <c r="I672" s="5" t="s">
        <v>17</v>
      </c>
      <c r="J672" s="5" t="s">
        <v>17</v>
      </c>
      <c r="K672" s="8">
        <f>IF(OR(LOOKUP(A672,characters!A:A,characters!B:B)=-1, LOOKUP(A672,characters!A:A,characters!B:B)+0.1&gt;=B672),1,0)</f>
        <v/>
      </c>
    </row>
    <row r="673" spans="1:11">
      <c r="A673" s="4" t="s">
        <v>92</v>
      </c>
      <c r="B673" s="7">
        <v>0</v>
      </c>
      <c r="C673" s="6">
        <f>IF(K673=1,0.9,0)</f>
        <v/>
      </c>
      <c r="D673" s="5" t="s">
        <v>17</v>
      </c>
      <c r="E673" s="5" t="s">
        <v>17</v>
      </c>
      <c r="F673" s="5" t="s">
        <v>17</v>
      </c>
      <c r="G673" s="5" t="s">
        <v>17</v>
      </c>
      <c r="H673" s="5" t="s">
        <v>17</v>
      </c>
      <c r="I673" s="6">
        <f>IF(K673=1,1.0,0)</f>
        <v/>
      </c>
      <c r="J673" s="5" t="s">
        <v>17</v>
      </c>
      <c r="K673" s="8">
        <f>IF(OR(LOOKUP(A673,characters!A:A,characters!B:B)=-1, LOOKUP(A673,characters!A:A,characters!B:B)+0.1&gt;=B673),1,0)</f>
        <v/>
      </c>
    </row>
    <row r="674" spans="1:11">
      <c r="A674" s="4" t="s">
        <v>58</v>
      </c>
      <c r="B674" s="7">
        <v>2</v>
      </c>
      <c r="C674" s="6">
        <f>IF(K674=1,0.9,0)</f>
        <v/>
      </c>
      <c r="D674" s="5" t="s">
        <v>17</v>
      </c>
      <c r="E674" s="5" t="s">
        <v>17</v>
      </c>
      <c r="F674" s="5" t="s">
        <v>17</v>
      </c>
      <c r="G674" s="5" t="s">
        <v>17</v>
      </c>
      <c r="H674" s="5" t="s">
        <v>17</v>
      </c>
      <c r="I674" s="5" t="s">
        <v>17</v>
      </c>
      <c r="J674" s="6">
        <f>IF(K674=1,1.0,0)</f>
        <v/>
      </c>
      <c r="K674" s="8">
        <f>IF(OR(LOOKUP(A674,characters!A:A,characters!B:B)=-1, LOOKUP(A674,characters!A:A,characters!B:B)+0.1&gt;=B674),1,0)</f>
        <v/>
      </c>
    </row>
    <row r="675" spans="1:11">
      <c r="A675" s="4" t="s">
        <v>90</v>
      </c>
      <c r="B675" s="7">
        <v>0</v>
      </c>
      <c r="C675" s="6">
        <f>IF(K675=1,0.9,0)</f>
        <v/>
      </c>
      <c r="D675" s="5" t="s">
        <v>17</v>
      </c>
      <c r="E675" s="5" t="s">
        <v>17</v>
      </c>
      <c r="F675" s="5" t="s">
        <v>17</v>
      </c>
      <c r="G675" s="6">
        <f>IF(K675=1,1.0,0)</f>
        <v/>
      </c>
      <c r="H675" s="5" t="s">
        <v>17</v>
      </c>
      <c r="I675" s="5" t="s">
        <v>17</v>
      </c>
      <c r="J675" s="5" t="s">
        <v>17</v>
      </c>
      <c r="K675" s="8">
        <f>IF(OR(LOOKUP(A675,characters!A:A,characters!B:B)=-1, LOOKUP(A675,characters!A:A,characters!B:B)+0.1&gt;=B675),1,0)</f>
        <v/>
      </c>
    </row>
    <row r="677" spans="1:11">
      <c r="A677" s="3" t="s">
        <v>31</v>
      </c>
      <c r="B677" s="3" t="s">
        <v>9</v>
      </c>
      <c r="C677" s="3" t="s">
        <v>11</v>
      </c>
      <c r="D677" s="3" t="s">
        <v>27</v>
      </c>
      <c r="E677" s="3" t="s">
        <v>67</v>
      </c>
      <c r="F677" s="3" t="s">
        <v>32</v>
      </c>
    </row>
    <row r="678" spans="1:11">
      <c r="A678" s="4" t="s">
        <v>16</v>
      </c>
      <c r="B678" s="5" t="s">
        <v>17</v>
      </c>
      <c r="C678" s="6">
        <f>IF(SUM(G679:G688)=0,0,SUM(C679:C688)/SUM(G679:G688))</f>
        <v/>
      </c>
      <c r="D678" s="6">
        <f>IF(SUM(G679:G688)=0,0,SUM(D679:D688)/SUM(G679:G688))</f>
        <v/>
      </c>
      <c r="E678" s="6">
        <f>IF(SUM(G679:G688)=0,0,SUM(E679:E688)/SUM(G679:G688))</f>
        <v/>
      </c>
      <c r="F678" s="6">
        <f>IF(SUM(G679:G688)=0,0,SUM(F679:F688)/SUM(G679:G688))</f>
        <v/>
      </c>
    </row>
    <row r="679" spans="1:11">
      <c r="A679" s="4" t="s">
        <v>22</v>
      </c>
      <c r="B679" s="7">
        <v>0</v>
      </c>
      <c r="C679" s="6">
        <f>IF(G679=1,1.0,0)</f>
        <v/>
      </c>
      <c r="D679" s="5" t="s">
        <v>17</v>
      </c>
      <c r="E679" s="5" t="s">
        <v>17</v>
      </c>
      <c r="F679" s="5" t="s">
        <v>17</v>
      </c>
      <c r="G679" s="8">
        <f>IF(OR(LOOKUP(A679,characters!A:A,characters!B:B)=-1, LOOKUP(A679,characters!A:A,characters!B:B)+0.1&gt;=B679),1,0)</f>
        <v/>
      </c>
    </row>
    <row r="680" spans="1:11">
      <c r="A680" s="4" t="s">
        <v>107</v>
      </c>
      <c r="B680" s="7">
        <v>2</v>
      </c>
      <c r="C680" s="5" t="s">
        <v>17</v>
      </c>
      <c r="D680" s="6">
        <f>IF(G680=1,1.0,0)</f>
        <v/>
      </c>
      <c r="E680" s="5" t="s">
        <v>17</v>
      </c>
      <c r="F680" s="5" t="s">
        <v>17</v>
      </c>
      <c r="G680" s="8">
        <f>IF(OR(LOOKUP(A680,characters!A:A,characters!B:B)=-1, LOOKUP(A680,characters!A:A,characters!B:B)+0.1&gt;=B680),1,0)</f>
        <v/>
      </c>
    </row>
    <row r="681" spans="1:11">
      <c r="A681" s="4" t="s">
        <v>55</v>
      </c>
      <c r="B681" s="7">
        <v>1</v>
      </c>
      <c r="C681" s="6">
        <f>IF(G681=1,1.0,0)</f>
        <v/>
      </c>
      <c r="D681" s="5" t="s">
        <v>17</v>
      </c>
      <c r="E681" s="5" t="s">
        <v>17</v>
      </c>
      <c r="F681" s="5" t="s">
        <v>17</v>
      </c>
      <c r="G681" s="8">
        <f>IF(OR(LOOKUP(A681,characters!A:A,characters!B:B)=-1, LOOKUP(A681,characters!A:A,characters!B:B)+0.1&gt;=B681),1,0)</f>
        <v/>
      </c>
    </row>
    <row r="682" spans="1:11">
      <c r="A682" s="4" t="s">
        <v>56</v>
      </c>
      <c r="B682" s="7">
        <v>1</v>
      </c>
      <c r="C682" s="6">
        <f>IF(G682=1,1.0,0)</f>
        <v/>
      </c>
      <c r="D682" s="5" t="s">
        <v>17</v>
      </c>
      <c r="E682" s="5" t="s">
        <v>17</v>
      </c>
      <c r="F682" s="5" t="s">
        <v>17</v>
      </c>
      <c r="G682" s="8">
        <f>IF(OR(LOOKUP(A682,characters!A:A,characters!B:B)=-1, LOOKUP(A682,characters!A:A,characters!B:B)+0.1&gt;=B682),1,0)</f>
        <v/>
      </c>
    </row>
    <row r="683" spans="1:11">
      <c r="A683" s="4" t="s">
        <v>62</v>
      </c>
      <c r="B683" s="7">
        <v>0</v>
      </c>
      <c r="C683" s="6">
        <f>IF(G683=1,1.0,0)</f>
        <v/>
      </c>
      <c r="D683" s="5" t="s">
        <v>17</v>
      </c>
      <c r="E683" s="5" t="s">
        <v>17</v>
      </c>
      <c r="F683" s="5" t="s">
        <v>17</v>
      </c>
      <c r="G683" s="8">
        <f>IF(OR(LOOKUP(A683,characters!A:A,characters!B:B)=-1, LOOKUP(A683,characters!A:A,characters!B:B)+0.1&gt;=B683),1,0)</f>
        <v/>
      </c>
    </row>
    <row r="684" spans="1:11">
      <c r="A684" s="4" t="s">
        <v>91</v>
      </c>
      <c r="B684" s="7">
        <v>1</v>
      </c>
      <c r="C684" s="6">
        <f>IF(G684=1,1.0,0)</f>
        <v/>
      </c>
      <c r="D684" s="5" t="s">
        <v>17</v>
      </c>
      <c r="E684" s="5" t="s">
        <v>17</v>
      </c>
      <c r="F684" s="5" t="s">
        <v>17</v>
      </c>
      <c r="G684" s="8">
        <f>IF(OR(LOOKUP(A684,characters!A:A,characters!B:B)=-1, LOOKUP(A684,characters!A:A,characters!B:B)+0.1&gt;=B684),1,0)</f>
        <v/>
      </c>
    </row>
    <row r="685" spans="1:11">
      <c r="A685" s="4" t="s">
        <v>57</v>
      </c>
      <c r="B685" s="7">
        <v>1</v>
      </c>
      <c r="C685" s="5" t="s">
        <v>17</v>
      </c>
      <c r="D685" s="5" t="s">
        <v>17</v>
      </c>
      <c r="E685" s="6">
        <f>IF(G685=1,1.0,0)</f>
        <v/>
      </c>
      <c r="F685" s="5" t="s">
        <v>17</v>
      </c>
      <c r="G685" s="8">
        <f>IF(OR(LOOKUP(A685,characters!A:A,characters!B:B)=-1, LOOKUP(A685,characters!A:A,characters!B:B)+0.1&gt;=B685),1,0)</f>
        <v/>
      </c>
    </row>
    <row r="686" spans="1:11">
      <c r="A686" s="4" t="s">
        <v>92</v>
      </c>
      <c r="B686" s="7">
        <v>0</v>
      </c>
      <c r="C686" s="6">
        <f>IF(G686=1,1.0,0)</f>
        <v/>
      </c>
      <c r="D686" s="5" t="s">
        <v>17</v>
      </c>
      <c r="E686" s="5" t="s">
        <v>17</v>
      </c>
      <c r="F686" s="6">
        <f>IF(G686=1,0.99,0)</f>
        <v/>
      </c>
      <c r="G686" s="8">
        <f>IF(OR(LOOKUP(A686,characters!A:A,characters!B:B)=-1, LOOKUP(A686,characters!A:A,characters!B:B)+0.1&gt;=B686),1,0)</f>
        <v/>
      </c>
    </row>
    <row r="687" spans="1:11">
      <c r="A687" s="4" t="s">
        <v>58</v>
      </c>
      <c r="B687" s="7">
        <v>2</v>
      </c>
      <c r="C687" s="6">
        <f>IF(G687=1,1.0,0)</f>
        <v/>
      </c>
      <c r="D687" s="5" t="s">
        <v>17</v>
      </c>
      <c r="E687" s="5" t="s">
        <v>17</v>
      </c>
      <c r="F687" s="5" t="s">
        <v>17</v>
      </c>
      <c r="G687" s="8">
        <f>IF(OR(LOOKUP(A687,characters!A:A,characters!B:B)=-1, LOOKUP(A687,characters!A:A,characters!B:B)+0.1&gt;=B687),1,0)</f>
        <v/>
      </c>
    </row>
    <row r="688" spans="1:11">
      <c r="A688" s="4" t="s">
        <v>90</v>
      </c>
      <c r="B688" s="7">
        <v>0</v>
      </c>
      <c r="C688" s="6">
        <f>IF(G688=1,1.0,0)</f>
        <v/>
      </c>
      <c r="D688" s="5" t="s">
        <v>17</v>
      </c>
      <c r="E688" s="5" t="s">
        <v>17</v>
      </c>
      <c r="F688" s="5" t="s">
        <v>17</v>
      </c>
      <c r="G688" s="8">
        <f>IF(OR(LOOKUP(A688,characters!A:A,characters!B:B)=-1, LOOKUP(A688,characters!A:A,characters!B:B)+0.1&gt;=B688),1,0)</f>
        <v/>
      </c>
    </row>
    <row r="695" spans="1:10">
      <c r="A695" s="3" t="s">
        <v>111</v>
      </c>
    </row>
    <row r="696" spans="1:10">
      <c r="A696" s="3" t="s">
        <v>8</v>
      </c>
      <c r="B696" s="3" t="s">
        <v>9</v>
      </c>
      <c r="C696" s="3" t="s">
        <v>10</v>
      </c>
      <c r="D696" s="3" t="s">
        <v>26</v>
      </c>
      <c r="E696" s="3" t="s">
        <v>28</v>
      </c>
      <c r="F696" s="3" t="s">
        <v>27</v>
      </c>
      <c r="G696" s="3" t="s">
        <v>14</v>
      </c>
      <c r="H696" s="3" t="s">
        <v>13</v>
      </c>
      <c r="I696" s="3" t="s">
        <v>12</v>
      </c>
    </row>
    <row r="697" spans="1:10">
      <c r="A697" s="4" t="s">
        <v>16</v>
      </c>
      <c r="B697" s="5" t="s">
        <v>17</v>
      </c>
      <c r="C697" s="6">
        <f>IF(SUM(J698:J701)=0,0,SUM(C698:C701)/SUM(J698:J701))</f>
        <v/>
      </c>
      <c r="D697" s="6">
        <f>IF(SUM(J698:J701)=0,0,SUM(D698:D701)/SUM(J698:J701))</f>
        <v/>
      </c>
      <c r="E697" s="6">
        <f>IF(SUM(J698:J701)=0,0,SUM(E698:E701)/SUM(J698:J701))</f>
        <v/>
      </c>
      <c r="F697" s="6">
        <f>IF(SUM(J698:J701)=0,0,SUM(F698:F701)/SUM(J698:J701))</f>
        <v/>
      </c>
      <c r="G697" s="6">
        <f>IF(SUM(J698:J701)=0,0,SUM(G698:G701)/SUM(J698:J701))</f>
        <v/>
      </c>
      <c r="H697" s="6">
        <f>IF(SUM(J698:J701)=0,0,SUM(H698:H701)/SUM(J698:J701))</f>
        <v/>
      </c>
      <c r="I697" s="6">
        <f>IF(SUM(J698:J701)=0,0,SUM(I698:I701)/SUM(J698:J701))</f>
        <v/>
      </c>
    </row>
    <row r="698" spans="1:10">
      <c r="A698" s="4" t="s">
        <v>36</v>
      </c>
      <c r="B698" s="7">
        <v>0</v>
      </c>
      <c r="C698" s="6">
        <f>IF(J698=1,0.99,0)</f>
        <v/>
      </c>
      <c r="D698" s="6">
        <f>IF(J698=1,1.0,0)</f>
        <v/>
      </c>
      <c r="E698" s="6">
        <f>IF(J698=1,0.69,0)</f>
        <v/>
      </c>
      <c r="F698" s="5" t="s">
        <v>17</v>
      </c>
      <c r="G698" s="5" t="s">
        <v>17</v>
      </c>
      <c r="H698" s="6">
        <f>IF(J698=1,0.89,0)</f>
        <v/>
      </c>
      <c r="I698" s="6">
        <f>IF(J698=1,0.79,0)</f>
        <v/>
      </c>
      <c r="J698" s="8">
        <f>IF(OR(LOOKUP(A698,characters!A:A,characters!B:B)=-1, LOOKUP(A698,characters!A:A,characters!B:B)+0.1&gt;=B698),1,0)</f>
        <v/>
      </c>
    </row>
    <row r="699" spans="1:10">
      <c r="A699" s="4" t="s">
        <v>29</v>
      </c>
      <c r="B699" s="7">
        <v>0</v>
      </c>
      <c r="C699" s="6">
        <f>IF(J699=1,1.0,0)</f>
        <v/>
      </c>
      <c r="D699" s="6">
        <f>IF(J699=1,1.0,0)</f>
        <v/>
      </c>
      <c r="E699" s="6">
        <f>IF(J699=1,0.9,0)</f>
        <v/>
      </c>
      <c r="F699" s="6">
        <f>IF(J699=1,0.9,0)</f>
        <v/>
      </c>
      <c r="G699" s="5" t="s">
        <v>17</v>
      </c>
      <c r="H699" s="5" t="s">
        <v>17</v>
      </c>
      <c r="I699" s="5" t="s">
        <v>17</v>
      </c>
      <c r="J699" s="8">
        <f>IF(OR(LOOKUP(A699,characters!A:A,characters!B:B)=-1, LOOKUP(A699,characters!A:A,characters!B:B)+0.1&gt;=B699),1,0)</f>
        <v/>
      </c>
    </row>
    <row r="700" spans="1:10">
      <c r="A700" s="4" t="s">
        <v>112</v>
      </c>
      <c r="B700" s="7">
        <v>0</v>
      </c>
      <c r="C700" s="6">
        <f>IF(J700=1,1.0,0)</f>
        <v/>
      </c>
      <c r="D700" s="6">
        <f>IF(J700=1,0.9,0)</f>
        <v/>
      </c>
      <c r="E700" s="6">
        <f>IF(J700=1,0.8,0)</f>
        <v/>
      </c>
      <c r="F700" s="6">
        <f>IF(J700=1,0.8,0)</f>
        <v/>
      </c>
      <c r="G700" s="6">
        <f>IF(J700=1,1.0,0)</f>
        <v/>
      </c>
      <c r="H700" s="5" t="s">
        <v>17</v>
      </c>
      <c r="I700" s="5" t="s">
        <v>17</v>
      </c>
      <c r="J700" s="8">
        <f>IF(OR(LOOKUP(A700,characters!A:A,characters!B:B)=-1, LOOKUP(A700,characters!A:A,characters!B:B)+0.1&gt;=B700),1,0)</f>
        <v/>
      </c>
    </row>
    <row r="701" spans="1:10">
      <c r="A701" s="4" t="s">
        <v>113</v>
      </c>
      <c r="B701" s="7">
        <v>0</v>
      </c>
      <c r="C701" s="6">
        <f>IF(J701=1,0.9,0)</f>
        <v/>
      </c>
      <c r="D701" s="6">
        <f>IF(J701=1,0.8,0)</f>
        <v/>
      </c>
      <c r="E701" s="6">
        <f>IF(J701=1,1.0,0)</f>
        <v/>
      </c>
      <c r="F701" s="6">
        <f>IF(J701=1,0.7,0)</f>
        <v/>
      </c>
      <c r="G701" s="6">
        <f>IF(J701=1,0.6,0)</f>
        <v/>
      </c>
      <c r="H701" s="5" t="s">
        <v>17</v>
      </c>
      <c r="I701" s="5" t="s">
        <v>17</v>
      </c>
      <c r="J701" s="8">
        <f>IF(OR(LOOKUP(A701,characters!A:A,characters!B:B)=-1, LOOKUP(A701,characters!A:A,characters!B:B)+0.1&gt;=B701),1,0)</f>
        <v/>
      </c>
    </row>
    <row r="703" spans="1:10">
      <c r="A703" s="3" t="s">
        <v>23</v>
      </c>
      <c r="B703" s="3" t="s">
        <v>9</v>
      </c>
      <c r="C703" s="3" t="s">
        <v>26</v>
      </c>
      <c r="D703" s="3" t="s">
        <v>13</v>
      </c>
      <c r="E703" s="3" t="s">
        <v>14</v>
      </c>
    </row>
    <row r="704" spans="1:10">
      <c r="A704" s="4" t="s">
        <v>16</v>
      </c>
      <c r="B704" s="5" t="s">
        <v>17</v>
      </c>
      <c r="C704" s="6">
        <f>IF(SUM(F705:F708)=0,0,SUM(C705:C708)/SUM(F705:F708))</f>
        <v/>
      </c>
      <c r="D704" s="6">
        <f>IF(SUM(F705:F708)=0,0,SUM(D705:D708)/SUM(F705:F708))</f>
        <v/>
      </c>
      <c r="E704" s="6">
        <f>IF(SUM(F705:F708)=0,0,SUM(E705:E708)/SUM(F705:F708))</f>
        <v/>
      </c>
    </row>
    <row r="705" spans="1:6">
      <c r="A705" s="4" t="s">
        <v>36</v>
      </c>
      <c r="B705" s="7">
        <v>0</v>
      </c>
      <c r="C705" s="6">
        <f>IF(F705=1,1.0,0)</f>
        <v/>
      </c>
      <c r="D705" s="6">
        <f>IF(F705=1,1.0,0)</f>
        <v/>
      </c>
      <c r="E705" s="5" t="s">
        <v>17</v>
      </c>
      <c r="F705" s="8">
        <f>IF(OR(LOOKUP(A705,characters!A:A,characters!B:B)=-1, LOOKUP(A705,characters!A:A,characters!B:B)+0.1&gt;=B705),1,0)</f>
        <v/>
      </c>
    </row>
    <row r="706" spans="1:6">
      <c r="A706" s="4" t="s">
        <v>29</v>
      </c>
      <c r="B706" s="7">
        <v>0</v>
      </c>
      <c r="C706" s="6">
        <f>IF(F706=1,1.0,0)</f>
        <v/>
      </c>
      <c r="D706" s="5" t="s">
        <v>17</v>
      </c>
      <c r="E706" s="5" t="s">
        <v>17</v>
      </c>
      <c r="F706" s="8">
        <f>IF(OR(LOOKUP(A706,characters!A:A,characters!B:B)=-1, LOOKUP(A706,characters!A:A,characters!B:B)+0.1&gt;=B706),1,0)</f>
        <v/>
      </c>
    </row>
    <row r="707" spans="1:6">
      <c r="A707" s="4" t="s">
        <v>112</v>
      </c>
      <c r="B707" s="7">
        <v>0</v>
      </c>
      <c r="C707" s="6">
        <f>IF(F707=1,0.99,0)</f>
        <v/>
      </c>
      <c r="D707" s="5" t="s">
        <v>17</v>
      </c>
      <c r="E707" s="6">
        <f>IF(F707=1,1.0,0)</f>
        <v/>
      </c>
      <c r="F707" s="8">
        <f>IF(OR(LOOKUP(A707,characters!A:A,characters!B:B)=-1, LOOKUP(A707,characters!A:A,characters!B:B)+0.1&gt;=B707),1,0)</f>
        <v/>
      </c>
    </row>
    <row r="708" spans="1:6">
      <c r="A708" s="4" t="s">
        <v>113</v>
      </c>
      <c r="B708" s="7">
        <v>0</v>
      </c>
      <c r="C708" s="6">
        <f>IF(F708=1,1.0,0)</f>
        <v/>
      </c>
      <c r="D708" s="5" t="s">
        <v>17</v>
      </c>
      <c r="E708" s="5" t="s">
        <v>17</v>
      </c>
      <c r="F708" s="8">
        <f>IF(OR(LOOKUP(A708,characters!A:A,characters!B:B)=-1, LOOKUP(A708,characters!A:A,characters!B:B)+0.1&gt;=B708),1,0)</f>
        <v/>
      </c>
    </row>
    <row r="710" spans="1:6">
      <c r="A710" s="3" t="s">
        <v>24</v>
      </c>
      <c r="B710" s="3" t="s">
        <v>9</v>
      </c>
      <c r="C710" s="3" t="s">
        <v>10</v>
      </c>
      <c r="D710" s="3" t="s">
        <v>26</v>
      </c>
    </row>
    <row r="711" spans="1:6">
      <c r="A711" s="4" t="s">
        <v>16</v>
      </c>
      <c r="B711" s="5" t="s">
        <v>17</v>
      </c>
      <c r="C711" s="6">
        <f>IF(SUM(E712:E715)=0,0,SUM(C712:C715)/SUM(E712:E715))</f>
        <v/>
      </c>
      <c r="D711" s="6">
        <f>IF(SUM(E712:E715)=0,0,SUM(D712:D715)/SUM(E712:E715))</f>
        <v/>
      </c>
    </row>
    <row r="712" spans="1:6">
      <c r="A712" s="4" t="s">
        <v>36</v>
      </c>
      <c r="B712" s="7">
        <v>0</v>
      </c>
      <c r="C712" s="6">
        <f>IF(E712=1,1.0,0)</f>
        <v/>
      </c>
      <c r="D712" s="6">
        <f>IF(E712=1,0.99,0)</f>
        <v/>
      </c>
      <c r="E712" s="8">
        <f>IF(OR(LOOKUP(A712,characters!A:A,characters!B:B)=-1, LOOKUP(A712,characters!A:A,characters!B:B)+0.1&gt;=B712),1,0)</f>
        <v/>
      </c>
    </row>
    <row r="713" spans="1:6">
      <c r="A713" s="4" t="s">
        <v>29</v>
      </c>
      <c r="B713" s="7">
        <v>0</v>
      </c>
      <c r="C713" s="6">
        <f>IF(E713=1,1.0,0)</f>
        <v/>
      </c>
      <c r="D713" s="5" t="s">
        <v>17</v>
      </c>
      <c r="E713" s="8">
        <f>IF(OR(LOOKUP(A713,characters!A:A,characters!B:B)=-1, LOOKUP(A713,characters!A:A,characters!B:B)+0.1&gt;=B713),1,0)</f>
        <v/>
      </c>
    </row>
    <row r="714" spans="1:6">
      <c r="A714" s="4" t="s">
        <v>112</v>
      </c>
      <c r="B714" s="7">
        <v>0</v>
      </c>
      <c r="C714" s="6">
        <f>IF(E714=1,1.0,0)</f>
        <v/>
      </c>
      <c r="D714" s="5" t="s">
        <v>17</v>
      </c>
      <c r="E714" s="8">
        <f>IF(OR(LOOKUP(A714,characters!A:A,characters!B:B)=-1, LOOKUP(A714,characters!A:A,characters!B:B)+0.1&gt;=B714),1,0)</f>
        <v/>
      </c>
    </row>
    <row r="715" spans="1:6">
      <c r="A715" s="4" t="s">
        <v>113</v>
      </c>
      <c r="B715" s="7">
        <v>0</v>
      </c>
      <c r="C715" s="6">
        <f>IF(E715=1,1.0,0)</f>
        <v/>
      </c>
      <c r="D715" s="6">
        <f>IF(E715=1,0.99,0)</f>
        <v/>
      </c>
      <c r="E715" s="8">
        <f>IF(OR(LOOKUP(A715,characters!A:A,characters!B:B)=-1, LOOKUP(A715,characters!A:A,characters!B:B)+0.1&gt;=B715),1,0)</f>
        <v/>
      </c>
    </row>
    <row r="722" spans="1:10">
      <c r="A722" s="3" t="s">
        <v>114</v>
      </c>
    </row>
    <row r="723" spans="1:10">
      <c r="A723" s="3" t="s">
        <v>8</v>
      </c>
      <c r="B723" s="3" t="s">
        <v>9</v>
      </c>
      <c r="C723" s="3" t="s">
        <v>10</v>
      </c>
      <c r="D723" s="3" t="s">
        <v>12</v>
      </c>
      <c r="E723" s="3" t="s">
        <v>13</v>
      </c>
      <c r="F723" s="3" t="s">
        <v>27</v>
      </c>
      <c r="G723" s="3" t="s">
        <v>11</v>
      </c>
      <c r="H723" s="3" t="s">
        <v>26</v>
      </c>
      <c r="I723" s="3" t="s">
        <v>28</v>
      </c>
    </row>
    <row r="724" spans="1:10">
      <c r="A724" s="4" t="s">
        <v>16</v>
      </c>
      <c r="B724" s="5" t="s">
        <v>17</v>
      </c>
      <c r="C724" s="6">
        <f>IF(SUM(J725:J728)=0,0,SUM(C725:C728)/SUM(J725:J728))</f>
        <v/>
      </c>
      <c r="D724" s="6">
        <f>IF(SUM(J725:J728)=0,0,SUM(D725:D728)/SUM(J725:J728))</f>
        <v/>
      </c>
      <c r="E724" s="6">
        <f>IF(SUM(J725:J728)=0,0,SUM(E725:E728)/SUM(J725:J728))</f>
        <v/>
      </c>
      <c r="F724" s="6">
        <f>IF(SUM(J725:J728)=0,0,SUM(F725:F728)/SUM(J725:J728))</f>
        <v/>
      </c>
      <c r="G724" s="6">
        <f>IF(SUM(J725:J728)=0,0,SUM(G725:G728)/SUM(J725:J728))</f>
        <v/>
      </c>
      <c r="H724" s="6">
        <f>IF(SUM(J725:J728)=0,0,SUM(H725:H728)/SUM(J725:J728))</f>
        <v/>
      </c>
      <c r="I724" s="6">
        <f>IF(SUM(J725:J728)=0,0,SUM(I725:I728)/SUM(J725:J728))</f>
        <v/>
      </c>
    </row>
    <row r="725" spans="1:10">
      <c r="A725" s="4" t="s">
        <v>107</v>
      </c>
      <c r="B725" s="7">
        <v>0</v>
      </c>
      <c r="C725" s="6">
        <f>IF(J725=1,1.0,0)</f>
        <v/>
      </c>
      <c r="D725" s="6">
        <f>IF(J725=1,0.9,0)</f>
        <v/>
      </c>
      <c r="E725" s="6">
        <f>IF(J725=1,0.9,0)</f>
        <v/>
      </c>
      <c r="F725" s="6">
        <f>IF(J725=1,0.8,0)</f>
        <v/>
      </c>
      <c r="G725" s="5" t="s">
        <v>17</v>
      </c>
      <c r="H725" s="5" t="s">
        <v>17</v>
      </c>
      <c r="I725" s="5" t="s">
        <v>17</v>
      </c>
      <c r="J725" s="8">
        <f>IF(OR(LOOKUP(A725,characters!A:A,characters!B:B)=-1, LOOKUP(A725,characters!A:A,characters!B:B)+0.1&gt;=B725),1,0)</f>
        <v/>
      </c>
    </row>
    <row r="726" spans="1:10">
      <c r="A726" s="4" t="s">
        <v>38</v>
      </c>
      <c r="B726" s="7">
        <v>0</v>
      </c>
      <c r="C726" s="6">
        <f>IF(J726=1,1.0,0)</f>
        <v/>
      </c>
      <c r="D726" s="5" t="s">
        <v>17</v>
      </c>
      <c r="E726" s="5" t="s">
        <v>17</v>
      </c>
      <c r="F726" s="6">
        <f>IF(J726=1,1.0,0)</f>
        <v/>
      </c>
      <c r="G726" s="5" t="s">
        <v>17</v>
      </c>
      <c r="H726" s="6">
        <f>IF(J726=1,0.99,0)</f>
        <v/>
      </c>
      <c r="I726" s="6">
        <f>IF(J726=1,0.89,0)</f>
        <v/>
      </c>
      <c r="J726" s="8">
        <f>IF(OR(LOOKUP(A726,characters!A:A,characters!B:B)=-1, LOOKUP(A726,characters!A:A,characters!B:B)+0.1&gt;=B726),1,0)</f>
        <v/>
      </c>
    </row>
    <row r="727" spans="1:10">
      <c r="A727" s="4" t="s">
        <v>18</v>
      </c>
      <c r="B727" s="7">
        <v>2</v>
      </c>
      <c r="C727" s="6">
        <f>IF(J727=1,1.0,0)</f>
        <v/>
      </c>
      <c r="D727" s="6">
        <f>IF(J727=1,0.9,0)</f>
        <v/>
      </c>
      <c r="E727" s="6">
        <f>IF(J727=1,0.9,0)</f>
        <v/>
      </c>
      <c r="F727" s="5" t="s">
        <v>17</v>
      </c>
      <c r="G727" s="6">
        <f>IF(J727=1,0.8,0)</f>
        <v/>
      </c>
      <c r="H727" s="5" t="s">
        <v>17</v>
      </c>
      <c r="I727" s="5" t="s">
        <v>17</v>
      </c>
      <c r="J727" s="8">
        <f>IF(OR(LOOKUP(A727,characters!A:A,characters!B:B)=-1, LOOKUP(A727,characters!A:A,characters!B:B)+0.1&gt;=B727),1,0)</f>
        <v/>
      </c>
    </row>
    <row r="728" spans="1:10">
      <c r="A728" s="4" t="s">
        <v>51</v>
      </c>
      <c r="B728" s="7">
        <v>2</v>
      </c>
      <c r="C728" s="6">
        <f>IF(J728=1,1.0,0)</f>
        <v/>
      </c>
      <c r="D728" s="6">
        <f>IF(J728=1,1.0,0)</f>
        <v/>
      </c>
      <c r="E728" s="6">
        <f>IF(J728=1,1.0,0)</f>
        <v/>
      </c>
      <c r="F728" s="5" t="s">
        <v>17</v>
      </c>
      <c r="G728" s="6">
        <f>IF(J728=1,0.9,0)</f>
        <v/>
      </c>
      <c r="H728" s="5" t="s">
        <v>17</v>
      </c>
      <c r="I728" s="5" t="s">
        <v>17</v>
      </c>
      <c r="J728" s="8">
        <f>IF(OR(LOOKUP(A728,characters!A:A,characters!B:B)=-1, LOOKUP(A728,characters!A:A,characters!B:B)+0.1&gt;=B728),1,0)</f>
        <v/>
      </c>
    </row>
    <row r="730" spans="1:10">
      <c r="A730" s="3" t="s">
        <v>23</v>
      </c>
      <c r="B730" s="3" t="s">
        <v>9</v>
      </c>
      <c r="C730" s="3" t="s">
        <v>12</v>
      </c>
      <c r="D730" s="3" t="s">
        <v>13</v>
      </c>
      <c r="E730" s="3" t="s">
        <v>27</v>
      </c>
      <c r="F730" s="3" t="s">
        <v>26</v>
      </c>
    </row>
    <row r="731" spans="1:10">
      <c r="A731" s="4" t="s">
        <v>16</v>
      </c>
      <c r="B731" s="5" t="s">
        <v>17</v>
      </c>
      <c r="C731" s="6">
        <f>IF(SUM(G732:G735)=0,0,SUM(C732:C735)/SUM(G732:G735))</f>
        <v/>
      </c>
      <c r="D731" s="6">
        <f>IF(SUM(G732:G735)=0,0,SUM(D732:D735)/SUM(G732:G735))</f>
        <v/>
      </c>
      <c r="E731" s="6">
        <f>IF(SUM(G732:G735)=0,0,SUM(E732:E735)/SUM(G732:G735))</f>
        <v/>
      </c>
      <c r="F731" s="6">
        <f>IF(SUM(G732:G735)=0,0,SUM(F732:F735)/SUM(G732:G735))</f>
        <v/>
      </c>
    </row>
    <row r="732" spans="1:10">
      <c r="A732" s="4" t="s">
        <v>18</v>
      </c>
      <c r="B732" s="7">
        <v>2</v>
      </c>
      <c r="C732" s="6">
        <f>IF(G732=1,1.0,0)</f>
        <v/>
      </c>
      <c r="D732" s="6">
        <f>IF(G732=1,0.99,0)</f>
        <v/>
      </c>
      <c r="E732" s="5" t="s">
        <v>17</v>
      </c>
      <c r="F732" s="5" t="s">
        <v>17</v>
      </c>
      <c r="G732" s="8">
        <f>IF(OR(LOOKUP(A732,characters!A:A,characters!B:B)=-1, LOOKUP(A732,characters!A:A,characters!B:B)+0.1&gt;=B732),1,0)</f>
        <v/>
      </c>
    </row>
    <row r="733" spans="1:10">
      <c r="A733" s="4" t="s">
        <v>107</v>
      </c>
      <c r="B733" s="7">
        <v>0</v>
      </c>
      <c r="C733" s="6">
        <f>IF(G733=1,0.9,0)</f>
        <v/>
      </c>
      <c r="D733" s="6">
        <f>IF(G733=1,1.0,0)</f>
        <v/>
      </c>
      <c r="E733" s="5" t="s">
        <v>17</v>
      </c>
      <c r="F733" s="5" t="s">
        <v>17</v>
      </c>
      <c r="G733" s="8">
        <f>IF(OR(LOOKUP(A733,characters!A:A,characters!B:B)=-1, LOOKUP(A733,characters!A:A,characters!B:B)+0.1&gt;=B733),1,0)</f>
        <v/>
      </c>
    </row>
    <row r="734" spans="1:10">
      <c r="A734" s="4" t="s">
        <v>51</v>
      </c>
      <c r="B734" s="7">
        <v>2</v>
      </c>
      <c r="C734" s="6">
        <f>IF(G734=1,1.0,0)</f>
        <v/>
      </c>
      <c r="D734" s="6">
        <f>IF(G734=1,0.99,0)</f>
        <v/>
      </c>
      <c r="E734" s="5" t="s">
        <v>17</v>
      </c>
      <c r="F734" s="5" t="s">
        <v>17</v>
      </c>
      <c r="G734" s="8">
        <f>IF(OR(LOOKUP(A734,characters!A:A,characters!B:B)=-1, LOOKUP(A734,characters!A:A,characters!B:B)+0.1&gt;=B734),1,0)</f>
        <v/>
      </c>
    </row>
    <row r="735" spans="1:10">
      <c r="A735" s="4" t="s">
        <v>38</v>
      </c>
      <c r="B735" s="7">
        <v>0</v>
      </c>
      <c r="C735" s="5" t="s">
        <v>17</v>
      </c>
      <c r="D735" s="5" t="s">
        <v>17</v>
      </c>
      <c r="E735" s="6">
        <f>IF(G735=1,1.0,0)</f>
        <v/>
      </c>
      <c r="F735" s="6">
        <f>IF(G735=1,0.9,0)</f>
        <v/>
      </c>
      <c r="G735" s="8">
        <f>IF(OR(LOOKUP(A735,characters!A:A,characters!B:B)=-1, LOOKUP(A735,characters!A:A,characters!B:B)+0.1&gt;=B735),1,0)</f>
        <v/>
      </c>
    </row>
    <row r="737" spans="1:10">
      <c r="A737" s="3" t="s">
        <v>24</v>
      </c>
      <c r="B737" s="3" t="s">
        <v>9</v>
      </c>
      <c r="C737" s="3" t="s">
        <v>10</v>
      </c>
      <c r="D737" s="3" t="s">
        <v>11</v>
      </c>
      <c r="E737" s="3" t="s">
        <v>27</v>
      </c>
    </row>
    <row r="738" spans="1:10">
      <c r="A738" s="4" t="s">
        <v>16</v>
      </c>
      <c r="B738" s="5" t="s">
        <v>17</v>
      </c>
      <c r="C738" s="6">
        <f>IF(SUM(F739:F742)=0,0,SUM(C739:C742)/SUM(F739:F742))</f>
        <v/>
      </c>
      <c r="D738" s="6">
        <f>IF(SUM(F739:F742)=0,0,SUM(D739:D742)/SUM(F739:F742))</f>
        <v/>
      </c>
      <c r="E738" s="6">
        <f>IF(SUM(F739:F742)=0,0,SUM(E739:E742)/SUM(F739:F742))</f>
        <v/>
      </c>
    </row>
    <row r="739" spans="1:10">
      <c r="A739" s="4" t="s">
        <v>18</v>
      </c>
      <c r="B739" s="7">
        <v>2</v>
      </c>
      <c r="C739" s="6">
        <f>IF(F739=1,1.0,0)</f>
        <v/>
      </c>
      <c r="D739" s="6">
        <f>IF(F739=1,0.99,0)</f>
        <v/>
      </c>
      <c r="E739" s="5" t="s">
        <v>17</v>
      </c>
      <c r="F739" s="8">
        <f>IF(OR(LOOKUP(A739,characters!A:A,characters!B:B)=-1, LOOKUP(A739,characters!A:A,characters!B:B)+0.1&gt;=B739),1,0)</f>
        <v/>
      </c>
    </row>
    <row r="740" spans="1:10">
      <c r="A740" s="4" t="s">
        <v>107</v>
      </c>
      <c r="B740" s="7">
        <v>0</v>
      </c>
      <c r="C740" s="6">
        <f>IF(F740=1,1.0,0)</f>
        <v/>
      </c>
      <c r="D740" s="5" t="s">
        <v>17</v>
      </c>
      <c r="E740" s="6">
        <f>IF(F740=1,0.99,0)</f>
        <v/>
      </c>
      <c r="F740" s="8">
        <f>IF(OR(LOOKUP(A740,characters!A:A,characters!B:B)=-1, LOOKUP(A740,characters!A:A,characters!B:B)+0.1&gt;=B740),1,0)</f>
        <v/>
      </c>
    </row>
    <row r="741" spans="1:10">
      <c r="A741" s="4" t="s">
        <v>51</v>
      </c>
      <c r="B741" s="7">
        <v>2</v>
      </c>
      <c r="C741" s="5" t="s">
        <v>17</v>
      </c>
      <c r="D741" s="6">
        <f>IF(F741=1,1.0,0)</f>
        <v/>
      </c>
      <c r="E741" s="5" t="s">
        <v>17</v>
      </c>
      <c r="F741" s="8">
        <f>IF(OR(LOOKUP(A741,characters!A:A,characters!B:B)=-1, LOOKUP(A741,characters!A:A,characters!B:B)+0.1&gt;=B741),1,0)</f>
        <v/>
      </c>
    </row>
    <row r="742" spans="1:10">
      <c r="A742" s="4" t="s">
        <v>38</v>
      </c>
      <c r="B742" s="7">
        <v>0</v>
      </c>
      <c r="C742" s="6">
        <f>IF(F742=1,1.0,0)</f>
        <v/>
      </c>
      <c r="D742" s="5" t="s">
        <v>17</v>
      </c>
      <c r="E742" s="6">
        <f>IF(F742=1,0.9,0)</f>
        <v/>
      </c>
      <c r="F742" s="8">
        <f>IF(OR(LOOKUP(A742,characters!A:A,characters!B:B)=-1, LOOKUP(A742,characters!A:A,characters!B:B)+0.1&gt;=B742),1,0)</f>
        <v/>
      </c>
    </row>
    <row r="749" spans="1:10">
      <c r="A749" s="3" t="s">
        <v>115</v>
      </c>
    </row>
    <row r="750" spans="1:10">
      <c r="A750" s="3" t="s">
        <v>8</v>
      </c>
      <c r="B750" s="3" t="s">
        <v>9</v>
      </c>
      <c r="C750" s="3" t="s">
        <v>10</v>
      </c>
      <c r="D750" s="3" t="s">
        <v>26</v>
      </c>
      <c r="E750" s="3" t="s">
        <v>27</v>
      </c>
      <c r="F750" s="3" t="s">
        <v>14</v>
      </c>
      <c r="G750" s="3" t="s">
        <v>13</v>
      </c>
      <c r="H750" s="3" t="s">
        <v>15</v>
      </c>
      <c r="I750" s="3" t="s">
        <v>28</v>
      </c>
    </row>
    <row r="751" spans="1:10">
      <c r="A751" s="4" t="s">
        <v>16</v>
      </c>
      <c r="B751" s="5" t="s">
        <v>17</v>
      </c>
      <c r="C751" s="6">
        <f>IF(SUM(J752:J753)=0,0,SUM(C752:C753)/SUM(J752:J753))</f>
        <v/>
      </c>
      <c r="D751" s="6">
        <f>IF(SUM(J752:J753)=0,0,SUM(D752:D753)/SUM(J752:J753))</f>
        <v/>
      </c>
      <c r="E751" s="6">
        <f>IF(SUM(J752:J753)=0,0,SUM(E752:E753)/SUM(J752:J753))</f>
        <v/>
      </c>
      <c r="F751" s="6">
        <f>IF(SUM(J752:J753)=0,0,SUM(F752:F753)/SUM(J752:J753))</f>
        <v/>
      </c>
      <c r="G751" s="6">
        <f>IF(SUM(J752:J753)=0,0,SUM(G752:G753)/SUM(J752:J753))</f>
        <v/>
      </c>
      <c r="H751" s="6">
        <f>IF(SUM(J752:J753)=0,0,SUM(H752:H753)/SUM(J752:J753))</f>
        <v/>
      </c>
      <c r="I751" s="6">
        <f>IF(SUM(J752:J753)=0,0,SUM(I752:I753)/SUM(J752:J753))</f>
        <v/>
      </c>
    </row>
    <row r="752" spans="1:10">
      <c r="A752" s="4" t="s">
        <v>71</v>
      </c>
      <c r="B752" s="7">
        <v>0</v>
      </c>
      <c r="C752" s="6">
        <f>IF(J752=1,1.0,0)</f>
        <v/>
      </c>
      <c r="D752" s="6">
        <f>IF(J752=1,0.7,0)</f>
        <v/>
      </c>
      <c r="E752" s="6">
        <f>IF(J752=1,0.7,0)</f>
        <v/>
      </c>
      <c r="F752" s="5" t="s">
        <v>17</v>
      </c>
      <c r="G752" s="6">
        <f>IF(J752=1,0.9,0)</f>
        <v/>
      </c>
      <c r="H752" s="5" t="s">
        <v>17</v>
      </c>
      <c r="I752" s="6">
        <f>IF(J752=1,0.8,0)</f>
        <v/>
      </c>
      <c r="J752" s="8">
        <f>IF(OR(LOOKUP(A752,characters!A:A,characters!B:B)=-1, LOOKUP(A752,characters!A:A,characters!B:B)+0.1&gt;=B752),1,0)</f>
        <v/>
      </c>
    </row>
    <row r="753" spans="1:10">
      <c r="A753" s="4" t="s">
        <v>73</v>
      </c>
      <c r="B753" s="7">
        <v>1</v>
      </c>
      <c r="C753" s="6">
        <f>IF(J753=1,0.8,0)</f>
        <v/>
      </c>
      <c r="D753" s="6">
        <f>IF(J753=1,0.7,0)</f>
        <v/>
      </c>
      <c r="E753" s="6">
        <f>IF(J753=1,0.7,0)</f>
        <v/>
      </c>
      <c r="F753" s="6">
        <f>IF(J753=1,1.0,0)</f>
        <v/>
      </c>
      <c r="G753" s="5" t="s">
        <v>17</v>
      </c>
      <c r="H753" s="6">
        <f>IF(J753=1,0.9,0)</f>
        <v/>
      </c>
      <c r="I753" s="5" t="s">
        <v>17</v>
      </c>
      <c r="J753" s="8">
        <f>IF(OR(LOOKUP(A753,characters!A:A,characters!B:B)=-1, LOOKUP(A753,characters!A:A,characters!B:B)+0.1&gt;=B753),1,0)</f>
        <v/>
      </c>
    </row>
    <row r="755" spans="1:10">
      <c r="A755" s="3" t="s">
        <v>30</v>
      </c>
      <c r="B755" s="3" t="s">
        <v>9</v>
      </c>
      <c r="C755" s="3" t="s">
        <v>27</v>
      </c>
      <c r="D755" s="3" t="s">
        <v>26</v>
      </c>
    </row>
    <row r="756" spans="1:10">
      <c r="A756" s="4" t="s">
        <v>16</v>
      </c>
      <c r="B756" s="5" t="s">
        <v>17</v>
      </c>
      <c r="C756" s="6">
        <f>IF(SUM(E757:E758)=0,0,SUM(C757:C758)/SUM(E757:E758))</f>
        <v/>
      </c>
      <c r="D756" s="6">
        <f>IF(SUM(E757:E758)=0,0,SUM(D757:D758)/SUM(E757:E758))</f>
        <v/>
      </c>
    </row>
    <row r="757" spans="1:10">
      <c r="A757" s="4" t="s">
        <v>71</v>
      </c>
      <c r="B757" s="7">
        <v>0</v>
      </c>
      <c r="C757" s="6">
        <f>IF(E757=1,1.0,0)</f>
        <v/>
      </c>
      <c r="D757" s="6">
        <f>IF(E757=1,1.0,0)</f>
        <v/>
      </c>
      <c r="E757" s="8">
        <f>IF(OR(LOOKUP(A757,characters!A:A,characters!B:B)=-1, LOOKUP(A757,characters!A:A,characters!B:B)+0.1&gt;=B757),1,0)</f>
        <v/>
      </c>
    </row>
    <row r="758" spans="1:10">
      <c r="A758" s="4" t="s">
        <v>73</v>
      </c>
      <c r="B758" s="7">
        <v>1</v>
      </c>
      <c r="C758" s="6">
        <f>IF(E758=1,1.0,0)</f>
        <v/>
      </c>
      <c r="D758" s="6">
        <f>IF(E758=1,1.0,0)</f>
        <v/>
      </c>
      <c r="E758" s="8">
        <f>IF(OR(LOOKUP(A758,characters!A:A,characters!B:B)=-1, LOOKUP(A758,characters!A:A,characters!B:B)+0.1&gt;=B758),1,0)</f>
        <v/>
      </c>
    </row>
    <row r="760" spans="1:10">
      <c r="A760" s="3" t="s">
        <v>31</v>
      </c>
      <c r="B760" s="3" t="s">
        <v>9</v>
      </c>
      <c r="C760" s="3" t="s">
        <v>32</v>
      </c>
      <c r="D760" s="3" t="s">
        <v>15</v>
      </c>
    </row>
    <row r="761" spans="1:10">
      <c r="A761" s="4" t="s">
        <v>16</v>
      </c>
      <c r="B761" s="5" t="s">
        <v>17</v>
      </c>
      <c r="C761" s="6">
        <f>IF(SUM(E762:E763)=0,0,SUM(C762:C763)/SUM(E762:E763))</f>
        <v/>
      </c>
      <c r="D761" s="6">
        <f>IF(SUM(E762:E763)=0,0,SUM(D762:D763)/SUM(E762:E763))</f>
        <v/>
      </c>
    </row>
    <row r="762" spans="1:10">
      <c r="A762" s="4" t="s">
        <v>71</v>
      </c>
      <c r="B762" s="7">
        <v>0</v>
      </c>
      <c r="C762" s="6">
        <f>IF(E762=1,1.0,0)</f>
        <v/>
      </c>
      <c r="D762" s="5" t="s">
        <v>17</v>
      </c>
      <c r="E762" s="8">
        <f>IF(OR(LOOKUP(A762,characters!A:A,characters!B:B)=-1, LOOKUP(A762,characters!A:A,characters!B:B)+0.1&gt;=B762),1,0)</f>
        <v/>
      </c>
    </row>
    <row r="763" spans="1:10">
      <c r="A763" s="4" t="s">
        <v>73</v>
      </c>
      <c r="B763" s="7">
        <v>1</v>
      </c>
      <c r="C763" s="6">
        <f>IF(E763=1,1.0,0)</f>
        <v/>
      </c>
      <c r="D763" s="6">
        <f>IF(E763=1,1.0,0)</f>
        <v/>
      </c>
      <c r="E763" s="8">
        <f>IF(OR(LOOKUP(A763,characters!A:A,characters!B:B)=-1, LOOKUP(A763,characters!A:A,characters!B:B)+0.1&gt;=B763),1,0)</f>
        <v/>
      </c>
    </row>
    <row r="770" spans="1:14">
      <c r="A770" s="3" t="s">
        <v>116</v>
      </c>
    </row>
    <row r="771" spans="1:14">
      <c r="A771" s="3" t="s">
        <v>8</v>
      </c>
      <c r="B771" s="3" t="s">
        <v>9</v>
      </c>
      <c r="C771" s="3" t="s">
        <v>10</v>
      </c>
      <c r="D771" s="3" t="s">
        <v>28</v>
      </c>
      <c r="E771" s="3" t="s">
        <v>27</v>
      </c>
      <c r="F771" s="3" t="s">
        <v>34</v>
      </c>
      <c r="G771" s="3" t="s">
        <v>35</v>
      </c>
      <c r="H771" s="3" t="s">
        <v>26</v>
      </c>
      <c r="I771" s="3" t="s">
        <v>13</v>
      </c>
      <c r="J771" s="3" t="s">
        <v>15</v>
      </c>
      <c r="K771" s="3" t="s">
        <v>11</v>
      </c>
      <c r="L771" s="3" t="s">
        <v>14</v>
      </c>
      <c r="M771" s="3" t="s">
        <v>12</v>
      </c>
    </row>
    <row r="772" spans="1:14">
      <c r="A772" s="4" t="s">
        <v>16</v>
      </c>
      <c r="B772" s="5" t="s">
        <v>17</v>
      </c>
      <c r="C772" s="6">
        <f>IF(SUM(N773:N792)=0,0,SUM(C773:C792)/SUM(N773:N792))</f>
        <v/>
      </c>
      <c r="D772" s="6">
        <f>IF(SUM(N773:N792)=0,0,SUM(D773:D792)/SUM(N773:N792))</f>
        <v/>
      </c>
      <c r="E772" s="6">
        <f>IF(SUM(N773:N792)=0,0,SUM(E773:E792)/SUM(N773:N792))</f>
        <v/>
      </c>
      <c r="F772" s="6">
        <f>IF(SUM(N773:N792)=0,0,SUM(F773:F792)/SUM(N773:N792))</f>
        <v/>
      </c>
      <c r="G772" s="6">
        <f>IF(SUM(N773:N792)=0,0,SUM(G773:G792)/SUM(N773:N792))</f>
        <v/>
      </c>
      <c r="H772" s="6">
        <f>IF(SUM(N773:N792)=0,0,SUM(H773:H792)/SUM(N773:N792))</f>
        <v/>
      </c>
      <c r="I772" s="6">
        <f>IF(SUM(N773:N792)=0,0,SUM(I773:I792)/SUM(N773:N792))</f>
        <v/>
      </c>
      <c r="J772" s="6">
        <f>IF(SUM(N773:N792)=0,0,SUM(J773:J792)/SUM(N773:N792))</f>
        <v/>
      </c>
      <c r="K772" s="6">
        <f>IF(SUM(N773:N792)=0,0,SUM(K773:K792)/SUM(N773:N792))</f>
        <v/>
      </c>
      <c r="L772" s="6">
        <f>IF(SUM(N773:N792)=0,0,SUM(L773:L792)/SUM(N773:N792))</f>
        <v/>
      </c>
      <c r="M772" s="6">
        <f>IF(SUM(N773:N792)=0,0,SUM(M773:M792)/SUM(N773:N792))</f>
        <v/>
      </c>
    </row>
    <row r="773" spans="1:14">
      <c r="A773" s="4" t="s">
        <v>69</v>
      </c>
      <c r="B773" s="7">
        <v>0</v>
      </c>
      <c r="C773" s="6">
        <f>IF(N773=1,1.0,0)</f>
        <v/>
      </c>
      <c r="D773" s="6">
        <f>IF(N773=1,0.8,0)</f>
        <v/>
      </c>
      <c r="E773" s="5" t="s">
        <v>17</v>
      </c>
      <c r="F773" s="6">
        <f>IF(N773=1,0.9,0)</f>
        <v/>
      </c>
      <c r="G773" s="6">
        <f>IF(N773=1,0.9,0)</f>
        <v/>
      </c>
      <c r="H773" s="5" t="s">
        <v>17</v>
      </c>
      <c r="I773" s="5" t="s">
        <v>17</v>
      </c>
      <c r="J773" s="5" t="s">
        <v>17</v>
      </c>
      <c r="K773" s="5" t="s">
        <v>17</v>
      </c>
      <c r="L773" s="5" t="s">
        <v>17</v>
      </c>
      <c r="M773" s="5" t="s">
        <v>17</v>
      </c>
      <c r="N773" s="8">
        <f>IF(OR(LOOKUP(A773,characters!A:A,characters!B:B)=-1, LOOKUP(A773,characters!A:A,characters!B:B)+0.1&gt;=B773),1,0)</f>
        <v/>
      </c>
    </row>
    <row r="774" spans="1:14">
      <c r="A774" s="4" t="s">
        <v>95</v>
      </c>
      <c r="B774" s="7">
        <v>0</v>
      </c>
      <c r="C774" s="6">
        <f>IF(N774=1,1.0,0)</f>
        <v/>
      </c>
      <c r="D774" s="6">
        <f>IF(N774=1,0.8,0)</f>
        <v/>
      </c>
      <c r="E774" s="6">
        <f>IF(N774=1,0.9,0)</f>
        <v/>
      </c>
      <c r="F774" s="5" t="s">
        <v>17</v>
      </c>
      <c r="G774" s="5" t="s">
        <v>17</v>
      </c>
      <c r="H774" s="6">
        <f>IF(N774=1,0.8,0)</f>
        <v/>
      </c>
      <c r="I774" s="5" t="s">
        <v>17</v>
      </c>
      <c r="J774" s="5" t="s">
        <v>17</v>
      </c>
      <c r="K774" s="5" t="s">
        <v>17</v>
      </c>
      <c r="L774" s="5" t="s">
        <v>17</v>
      </c>
      <c r="M774" s="5" t="s">
        <v>17</v>
      </c>
      <c r="N774" s="8">
        <f>IF(OR(LOOKUP(A774,characters!A:A,characters!B:B)=-1, LOOKUP(A774,characters!A:A,characters!B:B)+0.1&gt;=B774),1,0)</f>
        <v/>
      </c>
    </row>
    <row r="775" spans="1:14">
      <c r="A775" s="4" t="s">
        <v>101</v>
      </c>
      <c r="B775" s="7">
        <v>0</v>
      </c>
      <c r="C775" s="6">
        <f>IF(N775=1,1.0,0)</f>
        <v/>
      </c>
      <c r="D775" s="6">
        <f>IF(N775=1,0.8,0)</f>
        <v/>
      </c>
      <c r="E775" s="6">
        <f>IF(N775=1,0.7,0)</f>
        <v/>
      </c>
      <c r="F775" s="5" t="s">
        <v>17</v>
      </c>
      <c r="G775" s="5" t="s">
        <v>17</v>
      </c>
      <c r="H775" s="6">
        <f>IF(N775=1,0.7,0)</f>
        <v/>
      </c>
      <c r="I775" s="5" t="s">
        <v>17</v>
      </c>
      <c r="J775" s="6">
        <f>IF(N775=1,0.9,0)</f>
        <v/>
      </c>
      <c r="K775" s="5" t="s">
        <v>17</v>
      </c>
      <c r="L775" s="5" t="s">
        <v>17</v>
      </c>
      <c r="M775" s="5" t="s">
        <v>17</v>
      </c>
      <c r="N775" s="8">
        <f>IF(OR(LOOKUP(A775,characters!A:A,characters!B:B)=-1, LOOKUP(A775,characters!A:A,characters!B:B)+0.1&gt;=B775),1,0)</f>
        <v/>
      </c>
    </row>
    <row r="776" spans="1:14">
      <c r="A776" s="4" t="s">
        <v>82</v>
      </c>
      <c r="B776" s="7">
        <v>0</v>
      </c>
      <c r="C776" s="6">
        <f>IF(N776=1,0.9,0)</f>
        <v/>
      </c>
      <c r="D776" s="5" t="s">
        <v>17</v>
      </c>
      <c r="E776" s="6">
        <f>IF(N776=1,0.7,0)</f>
        <v/>
      </c>
      <c r="F776" s="5" t="s">
        <v>17</v>
      </c>
      <c r="G776" s="5" t="s">
        <v>17</v>
      </c>
      <c r="H776" s="6">
        <f>IF(N776=1,0.7,0)</f>
        <v/>
      </c>
      <c r="I776" s="5" t="s">
        <v>17</v>
      </c>
      <c r="J776" s="6">
        <f>IF(N776=1,0.7,0)</f>
        <v/>
      </c>
      <c r="K776" s="6">
        <f>IF(N776=1,0.8,0)</f>
        <v/>
      </c>
      <c r="L776" s="6">
        <f>IF(N776=1,1.0,0)</f>
        <v/>
      </c>
      <c r="M776" s="5" t="s">
        <v>17</v>
      </c>
      <c r="N776" s="8">
        <f>IF(OR(LOOKUP(A776,characters!A:A,characters!B:B)=-1, LOOKUP(A776,characters!A:A,characters!B:B)+0.1&gt;=B776),1,0)</f>
        <v/>
      </c>
    </row>
    <row r="777" spans="1:14">
      <c r="A777" s="4" t="s">
        <v>39</v>
      </c>
      <c r="B777" s="7">
        <v>0</v>
      </c>
      <c r="C777" s="6">
        <f>IF(N777=1,1.0,0)</f>
        <v/>
      </c>
      <c r="D777" s="6">
        <f>IF(N777=1,0.8,0)</f>
        <v/>
      </c>
      <c r="E777" s="5" t="s">
        <v>17</v>
      </c>
      <c r="F777" s="6">
        <f>IF(N777=1,0.9,0)</f>
        <v/>
      </c>
      <c r="G777" s="6">
        <f>IF(N777=1,0.9,0)</f>
        <v/>
      </c>
      <c r="H777" s="5" t="s">
        <v>17</v>
      </c>
      <c r="I777" s="5" t="s">
        <v>17</v>
      </c>
      <c r="J777" s="6">
        <f>IF(N777=1,0.8,0)</f>
        <v/>
      </c>
      <c r="K777" s="5" t="s">
        <v>17</v>
      </c>
      <c r="L777" s="5" t="s">
        <v>17</v>
      </c>
      <c r="M777" s="5" t="s">
        <v>17</v>
      </c>
      <c r="N777" s="8">
        <f>IF(OR(LOOKUP(A777,characters!A:A,characters!B:B)=-1, LOOKUP(A777,characters!A:A,characters!B:B)+0.1&gt;=B777),1,0)</f>
        <v/>
      </c>
    </row>
    <row r="778" spans="1:14">
      <c r="A778" s="4" t="s">
        <v>117</v>
      </c>
      <c r="B778" s="7">
        <v>0</v>
      </c>
      <c r="C778" s="6">
        <f>IF(N778=1,1.0,0)</f>
        <v/>
      </c>
      <c r="D778" s="6">
        <f>IF(N778=1,0.7,0)</f>
        <v/>
      </c>
      <c r="E778" s="6">
        <f>IF(N778=1,0.8,0)</f>
        <v/>
      </c>
      <c r="F778" s="5" t="s">
        <v>17</v>
      </c>
      <c r="G778" s="5" t="s">
        <v>17</v>
      </c>
      <c r="H778" s="6">
        <f>IF(N778=1,0.8,0)</f>
        <v/>
      </c>
      <c r="I778" s="5" t="s">
        <v>17</v>
      </c>
      <c r="J778" s="5" t="s">
        <v>17</v>
      </c>
      <c r="K778" s="6">
        <f>IF(N778=1,0.9,0)</f>
        <v/>
      </c>
      <c r="L778" s="5" t="s">
        <v>17</v>
      </c>
      <c r="M778" s="5" t="s">
        <v>17</v>
      </c>
      <c r="N778" s="8">
        <f>IF(OR(LOOKUP(A778,characters!A:A,characters!B:B)=-1, LOOKUP(A778,characters!A:A,characters!B:B)+0.1&gt;=B778),1,0)</f>
        <v/>
      </c>
    </row>
    <row r="779" spans="1:14">
      <c r="A779" s="4" t="s">
        <v>97</v>
      </c>
      <c r="B779" s="7">
        <v>0</v>
      </c>
      <c r="C779" s="6">
        <f>IF(N779=1,1.0,0)</f>
        <v/>
      </c>
      <c r="D779" s="6">
        <f>IF(N779=1,0.8,0)</f>
        <v/>
      </c>
      <c r="E779" s="6">
        <f>IF(N779=1,0.9,0)</f>
        <v/>
      </c>
      <c r="F779" s="5" t="s">
        <v>17</v>
      </c>
      <c r="G779" s="5" t="s">
        <v>17</v>
      </c>
      <c r="H779" s="6">
        <f>IF(N779=1,0.7,0)</f>
        <v/>
      </c>
      <c r="I779" s="5" t="s">
        <v>17</v>
      </c>
      <c r="J779" s="5" t="s">
        <v>17</v>
      </c>
      <c r="K779" s="5" t="s">
        <v>17</v>
      </c>
      <c r="L779" s="5" t="s">
        <v>17</v>
      </c>
      <c r="M779" s="5" t="s">
        <v>17</v>
      </c>
      <c r="N779" s="8">
        <f>IF(OR(LOOKUP(A779,characters!A:A,characters!B:B)=-1, LOOKUP(A779,characters!A:A,characters!B:B)+0.1&gt;=B779),1,0)</f>
        <v/>
      </c>
    </row>
    <row r="780" spans="1:14">
      <c r="A780" s="4" t="s">
        <v>98</v>
      </c>
      <c r="B780" s="7">
        <v>0</v>
      </c>
      <c r="C780" s="6">
        <f>IF(N780=1,1.0,0)</f>
        <v/>
      </c>
      <c r="D780" s="6">
        <f>IF(N780=1,0.8,0)</f>
        <v/>
      </c>
      <c r="E780" s="6">
        <f>IF(N780=1,0.9,0)</f>
        <v/>
      </c>
      <c r="F780" s="5" t="s">
        <v>17</v>
      </c>
      <c r="G780" s="5" t="s">
        <v>17</v>
      </c>
      <c r="H780" s="6">
        <f>IF(N780=1,0.8,0)</f>
        <v/>
      </c>
      <c r="I780" s="5" t="s">
        <v>17</v>
      </c>
      <c r="J780" s="5" t="s">
        <v>17</v>
      </c>
      <c r="K780" s="5" t="s">
        <v>17</v>
      </c>
      <c r="L780" s="5" t="s">
        <v>17</v>
      </c>
      <c r="M780" s="5" t="s">
        <v>17</v>
      </c>
      <c r="N780" s="8">
        <f>IF(OR(LOOKUP(A780,characters!A:A,characters!B:B)=-1, LOOKUP(A780,characters!A:A,characters!B:B)+0.1&gt;=B780),1,0)</f>
        <v/>
      </c>
    </row>
    <row r="781" spans="1:14">
      <c r="A781" s="4" t="s">
        <v>41</v>
      </c>
      <c r="B781" s="7">
        <v>0</v>
      </c>
      <c r="C781" s="6">
        <f>IF(N781=1,1.0,0)</f>
        <v/>
      </c>
      <c r="D781" s="6">
        <f>IF(N781=1,0.8,0)</f>
        <v/>
      </c>
      <c r="E781" s="5" t="s">
        <v>17</v>
      </c>
      <c r="F781" s="6">
        <f>IF(N781=1,0.9,0)</f>
        <v/>
      </c>
      <c r="G781" s="6">
        <f>IF(N781=1,0.9,0)</f>
        <v/>
      </c>
      <c r="H781" s="5" t="s">
        <v>17</v>
      </c>
      <c r="I781" s="5" t="s">
        <v>17</v>
      </c>
      <c r="J781" s="6">
        <f>IF(N781=1,0.9,0)</f>
        <v/>
      </c>
      <c r="K781" s="5" t="s">
        <v>17</v>
      </c>
      <c r="L781" s="6">
        <f>IF(N781=1,1.0,0)</f>
        <v/>
      </c>
      <c r="M781" s="5" t="s">
        <v>17</v>
      </c>
      <c r="N781" s="8">
        <f>IF(OR(LOOKUP(A781,characters!A:A,characters!B:B)=-1, LOOKUP(A781,characters!A:A,characters!B:B)+0.1&gt;=B781),1,0)</f>
        <v/>
      </c>
    </row>
    <row r="782" spans="1:14">
      <c r="A782" s="4" t="s">
        <v>43</v>
      </c>
      <c r="B782" s="7">
        <v>0</v>
      </c>
      <c r="C782" s="6">
        <f>IF(N782=1,1.0,0)</f>
        <v/>
      </c>
      <c r="D782" s="6">
        <f>IF(N782=1,0.8,0)</f>
        <v/>
      </c>
      <c r="E782" s="5" t="s">
        <v>17</v>
      </c>
      <c r="F782" s="5" t="s">
        <v>17</v>
      </c>
      <c r="G782" s="5" t="s">
        <v>17</v>
      </c>
      <c r="H782" s="5" t="s">
        <v>17</v>
      </c>
      <c r="I782" s="6">
        <f>IF(N782=1,0.9,0)</f>
        <v/>
      </c>
      <c r="J782" s="5" t="s">
        <v>17</v>
      </c>
      <c r="K782" s="5" t="s">
        <v>17</v>
      </c>
      <c r="L782" s="5" t="s">
        <v>17</v>
      </c>
      <c r="M782" s="5" t="s">
        <v>17</v>
      </c>
      <c r="N782" s="8">
        <f>IF(OR(LOOKUP(A782,characters!A:A,characters!B:B)=-1, LOOKUP(A782,characters!A:A,characters!B:B)+0.1&gt;=B782),1,0)</f>
        <v/>
      </c>
    </row>
    <row r="783" spans="1:14">
      <c r="A783" s="4" t="s">
        <v>44</v>
      </c>
      <c r="B783" s="7">
        <v>0</v>
      </c>
      <c r="C783" s="6">
        <f>IF(N783=1,1.0,0)</f>
        <v/>
      </c>
      <c r="D783" s="6">
        <f>IF(N783=1,0.8,0)</f>
        <v/>
      </c>
      <c r="E783" s="5" t="s">
        <v>17</v>
      </c>
      <c r="F783" s="6">
        <f>IF(N783=1,0.9,0)</f>
        <v/>
      </c>
      <c r="G783" s="6">
        <f>IF(N783=1,0.9,0)</f>
        <v/>
      </c>
      <c r="H783" s="5" t="s">
        <v>17</v>
      </c>
      <c r="I783" s="5" t="s">
        <v>17</v>
      </c>
      <c r="J783" s="5" t="s">
        <v>17</v>
      </c>
      <c r="K783" s="5" t="s">
        <v>17</v>
      </c>
      <c r="L783" s="5" t="s">
        <v>17</v>
      </c>
      <c r="M783" s="5" t="s">
        <v>17</v>
      </c>
      <c r="N783" s="8">
        <f>IF(OR(LOOKUP(A783,characters!A:A,characters!B:B)=-1, LOOKUP(A783,characters!A:A,characters!B:B)+0.1&gt;=B783),1,0)</f>
        <v/>
      </c>
    </row>
    <row r="784" spans="1:14">
      <c r="A784" s="4" t="s">
        <v>37</v>
      </c>
      <c r="B784" s="7">
        <v>1</v>
      </c>
      <c r="C784" s="6">
        <f>IF(N784=1,1.0,0)</f>
        <v/>
      </c>
      <c r="D784" s="6">
        <f>IF(N784=1,0.7,0)</f>
        <v/>
      </c>
      <c r="E784" s="5" t="s">
        <v>17</v>
      </c>
      <c r="F784" s="6">
        <f>IF(N784=1,0.8,0)</f>
        <v/>
      </c>
      <c r="G784" s="6">
        <f>IF(N784=1,0.8,0)</f>
        <v/>
      </c>
      <c r="H784" s="5" t="s">
        <v>17</v>
      </c>
      <c r="I784" s="6">
        <f>IF(N784=1,0.9,0)</f>
        <v/>
      </c>
      <c r="J784" s="5" t="s">
        <v>17</v>
      </c>
      <c r="K784" s="5" t="s">
        <v>17</v>
      </c>
      <c r="L784" s="5" t="s">
        <v>17</v>
      </c>
      <c r="M784" s="5" t="s">
        <v>17</v>
      </c>
      <c r="N784" s="8">
        <f>IF(OR(LOOKUP(A784,characters!A:A,characters!B:B)=-1, LOOKUP(A784,characters!A:A,characters!B:B)+0.1&gt;=B784),1,0)</f>
        <v/>
      </c>
    </row>
    <row r="785" spans="1:14">
      <c r="A785" s="4" t="s">
        <v>96</v>
      </c>
      <c r="B785" s="7">
        <v>1</v>
      </c>
      <c r="C785" s="6">
        <f>IF(N785=1,1.0,0)</f>
        <v/>
      </c>
      <c r="D785" s="6">
        <f>IF(N785=1,0.8,0)</f>
        <v/>
      </c>
      <c r="E785" s="6">
        <f>IF(N785=1,0.9,0)</f>
        <v/>
      </c>
      <c r="F785" s="5" t="s">
        <v>17</v>
      </c>
      <c r="G785" s="5" t="s">
        <v>17</v>
      </c>
      <c r="H785" s="6">
        <f>IF(N785=1,0.8,0)</f>
        <v/>
      </c>
      <c r="I785" s="5" t="s">
        <v>17</v>
      </c>
      <c r="J785" s="5" t="s">
        <v>17</v>
      </c>
      <c r="K785" s="5" t="s">
        <v>17</v>
      </c>
      <c r="L785" s="5" t="s">
        <v>17</v>
      </c>
      <c r="M785" s="5" t="s">
        <v>17</v>
      </c>
      <c r="N785" s="8">
        <f>IF(OR(LOOKUP(A785,characters!A:A,characters!B:B)=-1, LOOKUP(A785,characters!A:A,characters!B:B)+0.1&gt;=B785),1,0)</f>
        <v/>
      </c>
    </row>
    <row r="786" spans="1:14">
      <c r="A786" s="4" t="s">
        <v>70</v>
      </c>
      <c r="B786" s="7">
        <v>1</v>
      </c>
      <c r="C786" s="6">
        <f>IF(N786=1,0.9,0)</f>
        <v/>
      </c>
      <c r="D786" s="5" t="s">
        <v>17</v>
      </c>
      <c r="E786" s="5" t="s">
        <v>17</v>
      </c>
      <c r="F786" s="5" t="s">
        <v>17</v>
      </c>
      <c r="G786" s="5" t="s">
        <v>17</v>
      </c>
      <c r="H786" s="5" t="s">
        <v>17</v>
      </c>
      <c r="I786" s="5" t="s">
        <v>17</v>
      </c>
      <c r="J786" s="5" t="s">
        <v>17</v>
      </c>
      <c r="K786" s="6">
        <f>IF(N786=1,0.8,0)</f>
        <v/>
      </c>
      <c r="L786" s="6">
        <f>IF(N786=1,1.0,0)</f>
        <v/>
      </c>
      <c r="M786" s="5" t="s">
        <v>17</v>
      </c>
      <c r="N786" s="8">
        <f>IF(OR(LOOKUP(A786,characters!A:A,characters!B:B)=-1, LOOKUP(A786,characters!A:A,characters!B:B)+0.1&gt;=B786),1,0)</f>
        <v/>
      </c>
    </row>
    <row r="787" spans="1:14">
      <c r="A787" s="4" t="s">
        <v>40</v>
      </c>
      <c r="B787" s="7">
        <v>1</v>
      </c>
      <c r="C787" s="6">
        <f>IF(N787=1,1.0,0)</f>
        <v/>
      </c>
      <c r="D787" s="6">
        <f>IF(N787=1,0.8,0)</f>
        <v/>
      </c>
      <c r="E787" s="5" t="s">
        <v>17</v>
      </c>
      <c r="F787" s="6">
        <f>IF(N787=1,0.9,0)</f>
        <v/>
      </c>
      <c r="G787" s="6">
        <f>IF(N787=1,0.9,0)</f>
        <v/>
      </c>
      <c r="H787" s="5" t="s">
        <v>17</v>
      </c>
      <c r="I787" s="5" t="s">
        <v>17</v>
      </c>
      <c r="J787" s="5" t="s">
        <v>17</v>
      </c>
      <c r="K787" s="5" t="s">
        <v>17</v>
      </c>
      <c r="L787" s="6">
        <f>IF(N787=1,1.0,0)</f>
        <v/>
      </c>
      <c r="M787" s="5" t="s">
        <v>17</v>
      </c>
      <c r="N787" s="8">
        <f>IF(OR(LOOKUP(A787,characters!A:A,characters!B:B)=-1, LOOKUP(A787,characters!A:A,characters!B:B)+0.1&gt;=B787),1,0)</f>
        <v/>
      </c>
    </row>
    <row r="788" spans="1:14">
      <c r="A788" s="4" t="s">
        <v>118</v>
      </c>
      <c r="B788" s="7">
        <v>1</v>
      </c>
      <c r="C788" s="6">
        <f>IF(N788=1,0.9,0)</f>
        <v/>
      </c>
      <c r="D788" s="6">
        <f>IF(N788=1,0.7,0)</f>
        <v/>
      </c>
      <c r="E788" s="6">
        <f>IF(N788=1,0.8,0)</f>
        <v/>
      </c>
      <c r="F788" s="5" t="s">
        <v>17</v>
      </c>
      <c r="G788" s="5" t="s">
        <v>17</v>
      </c>
      <c r="H788" s="6">
        <f>IF(N788=1,0.8,0)</f>
        <v/>
      </c>
      <c r="I788" s="5" t="s">
        <v>17</v>
      </c>
      <c r="J788" s="6">
        <f>IF(N788=1,1.0,0)</f>
        <v/>
      </c>
      <c r="K788" s="5" t="s">
        <v>17</v>
      </c>
      <c r="L788" s="5" t="s">
        <v>17</v>
      </c>
      <c r="M788" s="5" t="s">
        <v>17</v>
      </c>
      <c r="N788" s="8">
        <f>IF(OR(LOOKUP(A788,characters!A:A,characters!B:B)=-1, LOOKUP(A788,characters!A:A,characters!B:B)+0.1&gt;=B788),1,0)</f>
        <v/>
      </c>
    </row>
    <row r="789" spans="1:14">
      <c r="A789" s="4" t="s">
        <v>42</v>
      </c>
      <c r="B789" s="7">
        <v>1</v>
      </c>
      <c r="C789" s="6">
        <f>IF(N789=1,1.0,0)</f>
        <v/>
      </c>
      <c r="D789" s="6">
        <f>IF(N789=1,0.8,0)</f>
        <v/>
      </c>
      <c r="E789" s="5" t="s">
        <v>17</v>
      </c>
      <c r="F789" s="6">
        <f>IF(N789=1,0.8,0)</f>
        <v/>
      </c>
      <c r="G789" s="6">
        <f>IF(N789=1,0.8,0)</f>
        <v/>
      </c>
      <c r="H789" s="5" t="s">
        <v>17</v>
      </c>
      <c r="I789" s="6">
        <f>IF(N789=1,0.9,0)</f>
        <v/>
      </c>
      <c r="J789" s="5" t="s">
        <v>17</v>
      </c>
      <c r="K789" s="5" t="s">
        <v>17</v>
      </c>
      <c r="L789" s="5" t="s">
        <v>17</v>
      </c>
      <c r="M789" s="5" t="s">
        <v>17</v>
      </c>
      <c r="N789" s="8">
        <f>IF(OR(LOOKUP(A789,characters!A:A,characters!B:B)=-1, LOOKUP(A789,characters!A:A,characters!B:B)+0.1&gt;=B789),1,0)</f>
        <v/>
      </c>
    </row>
    <row r="790" spans="1:14">
      <c r="A790" s="4" t="s">
        <v>71</v>
      </c>
      <c r="B790" s="7">
        <v>1</v>
      </c>
      <c r="C790" s="6">
        <f>IF(N790=1,1.0,0)</f>
        <v/>
      </c>
      <c r="D790" s="6">
        <f>IF(N790=1,0.8,0)</f>
        <v/>
      </c>
      <c r="E790" s="6">
        <f>IF(N790=1,0.7,0)</f>
        <v/>
      </c>
      <c r="F790" s="5" t="s">
        <v>17</v>
      </c>
      <c r="G790" s="5" t="s">
        <v>17</v>
      </c>
      <c r="H790" s="6">
        <f>IF(N790=1,0.7,0)</f>
        <v/>
      </c>
      <c r="I790" s="6">
        <f>IF(N790=1,0.9,0)</f>
        <v/>
      </c>
      <c r="J790" s="5" t="s">
        <v>17</v>
      </c>
      <c r="K790" s="5" t="s">
        <v>17</v>
      </c>
      <c r="L790" s="5" t="s">
        <v>17</v>
      </c>
      <c r="M790" s="5" t="s">
        <v>17</v>
      </c>
      <c r="N790" s="8">
        <f>IF(OR(LOOKUP(A790,characters!A:A,characters!B:B)=-1, LOOKUP(A790,characters!A:A,characters!B:B)+0.1&gt;=B790),1,0)</f>
        <v/>
      </c>
    </row>
    <row r="791" spans="1:14">
      <c r="A791" s="4" t="s">
        <v>72</v>
      </c>
      <c r="B791" s="7">
        <v>1</v>
      </c>
      <c r="C791" s="6">
        <f>IF(N791=1,1.0,0)</f>
        <v/>
      </c>
      <c r="D791" s="6">
        <f>IF(N791=1,0.8,0)</f>
        <v/>
      </c>
      <c r="E791" s="5" t="s">
        <v>17</v>
      </c>
      <c r="F791" s="6">
        <f>IF(N791=1,0.9,0)</f>
        <v/>
      </c>
      <c r="G791" s="6">
        <f>IF(N791=1,0.9,0)</f>
        <v/>
      </c>
      <c r="H791" s="5" t="s">
        <v>17</v>
      </c>
      <c r="I791" s="5" t="s">
        <v>17</v>
      </c>
      <c r="J791" s="5" t="s">
        <v>17</v>
      </c>
      <c r="K791" s="6">
        <f>IF(N791=1,1.0,0)</f>
        <v/>
      </c>
      <c r="L791" s="5" t="s">
        <v>17</v>
      </c>
      <c r="M791" s="5" t="s">
        <v>17</v>
      </c>
      <c r="N791" s="8">
        <f>IF(OR(LOOKUP(A791,characters!A:A,characters!B:B)=-1, LOOKUP(A791,characters!A:A,characters!B:B)+0.1&gt;=B791),1,0)</f>
        <v/>
      </c>
    </row>
    <row r="792" spans="1:14">
      <c r="A792" s="4" t="s">
        <v>91</v>
      </c>
      <c r="B792" s="7">
        <v>3</v>
      </c>
      <c r="C792" s="6">
        <f>IF(N792=1,1.0,0)</f>
        <v/>
      </c>
      <c r="D792" s="5" t="s">
        <v>17</v>
      </c>
      <c r="E792" s="5" t="s">
        <v>17</v>
      </c>
      <c r="F792" s="5" t="s">
        <v>17</v>
      </c>
      <c r="G792" s="5" t="s">
        <v>17</v>
      </c>
      <c r="H792" s="5" t="s">
        <v>17</v>
      </c>
      <c r="I792" s="6">
        <f>IF(N792=1,0.9,0)</f>
        <v/>
      </c>
      <c r="J792" s="5" t="s">
        <v>17</v>
      </c>
      <c r="K792" s="6">
        <f>IF(N792=1,0.8,0)</f>
        <v/>
      </c>
      <c r="L792" s="5" t="s">
        <v>17</v>
      </c>
      <c r="M792" s="6">
        <f>IF(N792=1,0.9,0)</f>
        <v/>
      </c>
      <c r="N792" s="8">
        <f>IF(OR(LOOKUP(A792,characters!A:A,characters!B:B)=-1, LOOKUP(A792,characters!A:A,characters!B:B)+0.1&gt;=B792),1,0)</f>
        <v/>
      </c>
    </row>
    <row r="794" spans="1:14">
      <c r="A794" s="3" t="s">
        <v>23</v>
      </c>
      <c r="B794" s="3" t="s">
        <v>9</v>
      </c>
      <c r="C794" s="3" t="s">
        <v>27</v>
      </c>
      <c r="D794" s="3" t="s">
        <v>26</v>
      </c>
      <c r="E794" s="3" t="s">
        <v>109</v>
      </c>
      <c r="F794" s="3" t="s">
        <v>13</v>
      </c>
      <c r="G794" s="3" t="s">
        <v>11</v>
      </c>
      <c r="H794" s="3" t="s">
        <v>14</v>
      </c>
      <c r="I794" s="3" t="s">
        <v>12</v>
      </c>
    </row>
    <row r="795" spans="1:14">
      <c r="A795" s="4" t="s">
        <v>16</v>
      </c>
      <c r="B795" s="5" t="s">
        <v>17</v>
      </c>
      <c r="C795" s="6">
        <f>IF(SUM(J796:J815)=0,0,SUM(C796:C815)/SUM(J796:J815))</f>
        <v/>
      </c>
      <c r="D795" s="6">
        <f>IF(SUM(J796:J815)=0,0,SUM(D796:D815)/SUM(J796:J815))</f>
        <v/>
      </c>
      <c r="E795" s="6">
        <f>IF(SUM(J796:J815)=0,0,SUM(E796:E815)/SUM(J796:J815))</f>
        <v/>
      </c>
      <c r="F795" s="6">
        <f>IF(SUM(J796:J815)=0,0,SUM(F796:F815)/SUM(J796:J815))</f>
        <v/>
      </c>
      <c r="G795" s="6">
        <f>IF(SUM(J796:J815)=0,0,SUM(G796:G815)/SUM(J796:J815))</f>
        <v/>
      </c>
      <c r="H795" s="6">
        <f>IF(SUM(J796:J815)=0,0,SUM(H796:H815)/SUM(J796:J815))</f>
        <v/>
      </c>
      <c r="I795" s="6">
        <f>IF(SUM(J796:J815)=0,0,SUM(I796:I815)/SUM(J796:J815))</f>
        <v/>
      </c>
    </row>
    <row r="796" spans="1:14">
      <c r="A796" s="4" t="s">
        <v>69</v>
      </c>
      <c r="B796" s="7">
        <v>0</v>
      </c>
      <c r="C796" s="6">
        <f>IF(J796=1,1.0,0)</f>
        <v/>
      </c>
      <c r="D796" s="6">
        <f>IF(J796=1,0.9,0)</f>
        <v/>
      </c>
      <c r="E796" s="5" t="s">
        <v>17</v>
      </c>
      <c r="F796" s="5" t="s">
        <v>17</v>
      </c>
      <c r="G796" s="5" t="s">
        <v>17</v>
      </c>
      <c r="H796" s="5" t="s">
        <v>17</v>
      </c>
      <c r="I796" s="5" t="s">
        <v>17</v>
      </c>
      <c r="J796" s="8">
        <f>IF(OR(LOOKUP(A796,characters!A:A,characters!B:B)=-1, LOOKUP(A796,characters!A:A,characters!B:B)+0.1&gt;=B796),1,0)</f>
        <v/>
      </c>
    </row>
    <row r="797" spans="1:14">
      <c r="A797" s="4" t="s">
        <v>95</v>
      </c>
      <c r="B797" s="7">
        <v>0</v>
      </c>
      <c r="C797" s="6">
        <f>IF(J797=1,0.9,0)</f>
        <v/>
      </c>
      <c r="D797" s="5" t="s">
        <v>17</v>
      </c>
      <c r="E797" s="6">
        <f>IF(J797=1,1.0,0)</f>
        <v/>
      </c>
      <c r="F797" s="5" t="s">
        <v>17</v>
      </c>
      <c r="G797" s="5" t="s">
        <v>17</v>
      </c>
      <c r="H797" s="5" t="s">
        <v>17</v>
      </c>
      <c r="I797" s="5" t="s">
        <v>17</v>
      </c>
      <c r="J797" s="8">
        <f>IF(OR(LOOKUP(A797,characters!A:A,characters!B:B)=-1, LOOKUP(A797,characters!A:A,characters!B:B)+0.1&gt;=B797),1,0)</f>
        <v/>
      </c>
    </row>
    <row r="798" spans="1:14">
      <c r="A798" s="4" t="s">
        <v>37</v>
      </c>
      <c r="B798" s="7">
        <v>1</v>
      </c>
      <c r="C798" s="5" t="s">
        <v>17</v>
      </c>
      <c r="D798" s="5" t="s">
        <v>17</v>
      </c>
      <c r="E798" s="5" t="s">
        <v>17</v>
      </c>
      <c r="F798" s="6">
        <f>IF(J798=1,1.0,0)</f>
        <v/>
      </c>
      <c r="G798" s="5" t="s">
        <v>17</v>
      </c>
      <c r="H798" s="5" t="s">
        <v>17</v>
      </c>
      <c r="I798" s="5" t="s">
        <v>17</v>
      </c>
      <c r="J798" s="8">
        <f>IF(OR(LOOKUP(A798,characters!A:A,characters!B:B)=-1, LOOKUP(A798,characters!A:A,characters!B:B)+0.1&gt;=B798),1,0)</f>
        <v/>
      </c>
    </row>
    <row r="799" spans="1:14">
      <c r="A799" s="4" t="s">
        <v>101</v>
      </c>
      <c r="B799" s="7">
        <v>0</v>
      </c>
      <c r="C799" s="5" t="s">
        <v>17</v>
      </c>
      <c r="D799" s="5" t="s">
        <v>17</v>
      </c>
      <c r="E799" s="6">
        <f>IF(J799=1,1.0,0)</f>
        <v/>
      </c>
      <c r="F799" s="5" t="s">
        <v>17</v>
      </c>
      <c r="G799" s="5" t="s">
        <v>17</v>
      </c>
      <c r="H799" s="5" t="s">
        <v>17</v>
      </c>
      <c r="I799" s="5" t="s">
        <v>17</v>
      </c>
      <c r="J799" s="8">
        <f>IF(OR(LOOKUP(A799,characters!A:A,characters!B:B)=-1, LOOKUP(A799,characters!A:A,characters!B:B)+0.1&gt;=B799),1,0)</f>
        <v/>
      </c>
    </row>
    <row r="800" spans="1:14">
      <c r="A800" s="4" t="s">
        <v>82</v>
      </c>
      <c r="B800" s="7">
        <v>0</v>
      </c>
      <c r="C800" s="5" t="s">
        <v>17</v>
      </c>
      <c r="D800" s="5" t="s">
        <v>17</v>
      </c>
      <c r="E800" s="5" t="s">
        <v>17</v>
      </c>
      <c r="F800" s="5" t="s">
        <v>17</v>
      </c>
      <c r="G800" s="6">
        <f>IF(J800=1,1.0,0)</f>
        <v/>
      </c>
      <c r="H800" s="6">
        <f>IF(J800=1,0.9,0)</f>
        <v/>
      </c>
      <c r="I800" s="5" t="s">
        <v>17</v>
      </c>
      <c r="J800" s="8">
        <f>IF(OR(LOOKUP(A800,characters!A:A,characters!B:B)=-1, LOOKUP(A800,characters!A:A,characters!B:B)+0.1&gt;=B800),1,0)</f>
        <v/>
      </c>
    </row>
    <row r="801" spans="1:10">
      <c r="A801" s="4" t="s">
        <v>39</v>
      </c>
      <c r="B801" s="7">
        <v>0</v>
      </c>
      <c r="C801" s="6">
        <f>IF(J801=1,1.0,0)</f>
        <v/>
      </c>
      <c r="D801" s="6">
        <f>IF(J801=1,0.9,0)</f>
        <v/>
      </c>
      <c r="E801" s="5" t="s">
        <v>17</v>
      </c>
      <c r="F801" s="5" t="s">
        <v>17</v>
      </c>
      <c r="G801" s="5" t="s">
        <v>17</v>
      </c>
      <c r="H801" s="5" t="s">
        <v>17</v>
      </c>
      <c r="I801" s="5" t="s">
        <v>17</v>
      </c>
      <c r="J801" s="8">
        <f>IF(OR(LOOKUP(A801,characters!A:A,characters!B:B)=-1, LOOKUP(A801,characters!A:A,characters!B:B)+0.1&gt;=B801),1,0)</f>
        <v/>
      </c>
    </row>
    <row r="802" spans="1:10">
      <c r="A802" s="4" t="s">
        <v>96</v>
      </c>
      <c r="B802" s="7">
        <v>1</v>
      </c>
      <c r="C802" s="6">
        <f>IF(J802=1,0.9,0)</f>
        <v/>
      </c>
      <c r="D802" s="5" t="s">
        <v>17</v>
      </c>
      <c r="E802" s="6">
        <f>IF(J802=1,1.0,0)</f>
        <v/>
      </c>
      <c r="F802" s="5" t="s">
        <v>17</v>
      </c>
      <c r="G802" s="5" t="s">
        <v>17</v>
      </c>
      <c r="H802" s="5" t="s">
        <v>17</v>
      </c>
      <c r="I802" s="5" t="s">
        <v>17</v>
      </c>
      <c r="J802" s="8">
        <f>IF(OR(LOOKUP(A802,characters!A:A,characters!B:B)=-1, LOOKUP(A802,characters!A:A,characters!B:B)+0.1&gt;=B802),1,0)</f>
        <v/>
      </c>
    </row>
    <row r="803" spans="1:10">
      <c r="A803" s="4" t="s">
        <v>70</v>
      </c>
      <c r="B803" s="7">
        <v>1</v>
      </c>
      <c r="C803" s="5" t="s">
        <v>17</v>
      </c>
      <c r="D803" s="5" t="s">
        <v>17</v>
      </c>
      <c r="E803" s="5" t="s">
        <v>17</v>
      </c>
      <c r="F803" s="5" t="s">
        <v>17</v>
      </c>
      <c r="G803" s="5" t="s">
        <v>17</v>
      </c>
      <c r="H803" s="6">
        <f>IF(J803=1,1.0,0)</f>
        <v/>
      </c>
      <c r="I803" s="5" t="s">
        <v>17</v>
      </c>
      <c r="J803" s="8">
        <f>IF(OR(LOOKUP(A803,characters!A:A,characters!B:B)=-1, LOOKUP(A803,characters!A:A,characters!B:B)+0.1&gt;=B803),1,0)</f>
        <v/>
      </c>
    </row>
    <row r="804" spans="1:10">
      <c r="A804" s="4" t="s">
        <v>117</v>
      </c>
      <c r="B804" s="7">
        <v>0</v>
      </c>
      <c r="C804" s="5" t="s">
        <v>17</v>
      </c>
      <c r="D804" s="5" t="s">
        <v>17</v>
      </c>
      <c r="E804" s="6">
        <f>IF(J804=1,1.0,0)</f>
        <v/>
      </c>
      <c r="F804" s="5" t="s">
        <v>17</v>
      </c>
      <c r="G804" s="5" t="s">
        <v>17</v>
      </c>
      <c r="H804" s="5" t="s">
        <v>17</v>
      </c>
      <c r="I804" s="5" t="s">
        <v>17</v>
      </c>
      <c r="J804" s="8">
        <f>IF(OR(LOOKUP(A804,characters!A:A,characters!B:B)=-1, LOOKUP(A804,characters!A:A,characters!B:B)+0.1&gt;=B804),1,0)</f>
        <v/>
      </c>
    </row>
    <row r="805" spans="1:10">
      <c r="A805" s="4" t="s">
        <v>97</v>
      </c>
      <c r="B805" s="7">
        <v>0</v>
      </c>
      <c r="C805" s="6">
        <f>IF(J805=1,0.9,0)</f>
        <v/>
      </c>
      <c r="D805" s="5" t="s">
        <v>17</v>
      </c>
      <c r="E805" s="6">
        <f>IF(J805=1,1.0,0)</f>
        <v/>
      </c>
      <c r="F805" s="5" t="s">
        <v>17</v>
      </c>
      <c r="G805" s="5" t="s">
        <v>17</v>
      </c>
      <c r="H805" s="5" t="s">
        <v>17</v>
      </c>
      <c r="I805" s="5" t="s">
        <v>17</v>
      </c>
      <c r="J805" s="8">
        <f>IF(OR(LOOKUP(A805,characters!A:A,characters!B:B)=-1, LOOKUP(A805,characters!A:A,characters!B:B)+0.1&gt;=B805),1,0)</f>
        <v/>
      </c>
    </row>
    <row r="806" spans="1:10">
      <c r="A806" s="4" t="s">
        <v>91</v>
      </c>
      <c r="B806" s="7">
        <v>3</v>
      </c>
      <c r="C806" s="5" t="s">
        <v>17</v>
      </c>
      <c r="D806" s="5" t="s">
        <v>17</v>
      </c>
      <c r="E806" s="5" t="s">
        <v>17</v>
      </c>
      <c r="F806" s="6">
        <f>IF(J806=1,0.99,0)</f>
        <v/>
      </c>
      <c r="G806" s="5" t="s">
        <v>17</v>
      </c>
      <c r="H806" s="5" t="s">
        <v>17</v>
      </c>
      <c r="I806" s="6">
        <f>IF(J806=1,1.0,0)</f>
        <v/>
      </c>
      <c r="J806" s="8">
        <f>IF(OR(LOOKUP(A806,characters!A:A,characters!B:B)=-1, LOOKUP(A806,characters!A:A,characters!B:B)+0.1&gt;=B806),1,0)</f>
        <v/>
      </c>
    </row>
    <row r="807" spans="1:10">
      <c r="A807" s="4" t="s">
        <v>98</v>
      </c>
      <c r="B807" s="7">
        <v>0</v>
      </c>
      <c r="C807" s="6">
        <f>IF(J807=1,0.9,0)</f>
        <v/>
      </c>
      <c r="D807" s="5" t="s">
        <v>17</v>
      </c>
      <c r="E807" s="6">
        <f>IF(J807=1,1.0,0)</f>
        <v/>
      </c>
      <c r="F807" s="5" t="s">
        <v>17</v>
      </c>
      <c r="G807" s="5" t="s">
        <v>17</v>
      </c>
      <c r="H807" s="5" t="s">
        <v>17</v>
      </c>
      <c r="I807" s="5" t="s">
        <v>17</v>
      </c>
      <c r="J807" s="8">
        <f>IF(OR(LOOKUP(A807,characters!A:A,characters!B:B)=-1, LOOKUP(A807,characters!A:A,characters!B:B)+0.1&gt;=B807),1,0)</f>
        <v/>
      </c>
    </row>
    <row r="808" spans="1:10">
      <c r="A808" s="4" t="s">
        <v>40</v>
      </c>
      <c r="B808" s="7">
        <v>1</v>
      </c>
      <c r="C808" s="6">
        <f>IF(J808=1,0.9,0)</f>
        <v/>
      </c>
      <c r="D808" s="5" t="s">
        <v>17</v>
      </c>
      <c r="E808" s="5" t="s">
        <v>17</v>
      </c>
      <c r="F808" s="5" t="s">
        <v>17</v>
      </c>
      <c r="G808" s="5" t="s">
        <v>17</v>
      </c>
      <c r="H808" s="6">
        <f>IF(J808=1,1.0,0)</f>
        <v/>
      </c>
      <c r="I808" s="5" t="s">
        <v>17</v>
      </c>
      <c r="J808" s="8">
        <f>IF(OR(LOOKUP(A808,characters!A:A,characters!B:B)=-1, LOOKUP(A808,characters!A:A,characters!B:B)+0.1&gt;=B808),1,0)</f>
        <v/>
      </c>
    </row>
    <row r="809" spans="1:10">
      <c r="A809" s="4" t="s">
        <v>118</v>
      </c>
      <c r="B809" s="7">
        <v>1</v>
      </c>
      <c r="C809" s="6">
        <f>IF(J809=1,1.0,0)</f>
        <v/>
      </c>
      <c r="D809" s="6">
        <f>IF(J809=1,0.9,0)</f>
        <v/>
      </c>
      <c r="E809" s="5" t="s">
        <v>17</v>
      </c>
      <c r="F809" s="5" t="s">
        <v>17</v>
      </c>
      <c r="G809" s="5" t="s">
        <v>17</v>
      </c>
      <c r="H809" s="5" t="s">
        <v>17</v>
      </c>
      <c r="I809" s="5" t="s">
        <v>17</v>
      </c>
      <c r="J809" s="8">
        <f>IF(OR(LOOKUP(A809,characters!A:A,characters!B:B)=-1, LOOKUP(A809,characters!A:A,characters!B:B)+0.1&gt;=B809),1,0)</f>
        <v/>
      </c>
    </row>
    <row r="810" spans="1:10">
      <c r="A810" s="4" t="s">
        <v>41</v>
      </c>
      <c r="B810" s="7">
        <v>0</v>
      </c>
      <c r="C810" s="5" t="s">
        <v>17</v>
      </c>
      <c r="D810" s="5" t="s">
        <v>17</v>
      </c>
      <c r="E810" s="5" t="s">
        <v>17</v>
      </c>
      <c r="F810" s="5" t="s">
        <v>17</v>
      </c>
      <c r="G810" s="5" t="s">
        <v>17</v>
      </c>
      <c r="H810" s="6">
        <f>IF(J810=1,1.0,0)</f>
        <v/>
      </c>
      <c r="I810" s="5" t="s">
        <v>17</v>
      </c>
      <c r="J810" s="8">
        <f>IF(OR(LOOKUP(A810,characters!A:A,characters!B:B)=-1, LOOKUP(A810,characters!A:A,characters!B:B)+0.1&gt;=B810),1,0)</f>
        <v/>
      </c>
    </row>
    <row r="811" spans="1:10">
      <c r="A811" s="4" t="s">
        <v>42</v>
      </c>
      <c r="B811" s="7">
        <v>1</v>
      </c>
      <c r="C811" s="5" t="s">
        <v>17</v>
      </c>
      <c r="D811" s="5" t="s">
        <v>17</v>
      </c>
      <c r="E811" s="5" t="s">
        <v>17</v>
      </c>
      <c r="F811" s="6">
        <f>IF(J811=1,1.0,0)</f>
        <v/>
      </c>
      <c r="G811" s="5" t="s">
        <v>17</v>
      </c>
      <c r="H811" s="5" t="s">
        <v>17</v>
      </c>
      <c r="I811" s="5" t="s">
        <v>17</v>
      </c>
      <c r="J811" s="8">
        <f>IF(OR(LOOKUP(A811,characters!A:A,characters!B:B)=-1, LOOKUP(A811,characters!A:A,characters!B:B)+0.1&gt;=B811),1,0)</f>
        <v/>
      </c>
    </row>
    <row r="812" spans="1:10">
      <c r="A812" s="4" t="s">
        <v>71</v>
      </c>
      <c r="B812" s="7">
        <v>1</v>
      </c>
      <c r="C812" s="5" t="s">
        <v>17</v>
      </c>
      <c r="D812" s="5" t="s">
        <v>17</v>
      </c>
      <c r="E812" s="5" t="s">
        <v>17</v>
      </c>
      <c r="F812" s="6">
        <f>IF(J812=1,1.0,0)</f>
        <v/>
      </c>
      <c r="G812" s="5" t="s">
        <v>17</v>
      </c>
      <c r="H812" s="5" t="s">
        <v>17</v>
      </c>
      <c r="I812" s="5" t="s">
        <v>17</v>
      </c>
      <c r="J812" s="8">
        <f>IF(OR(LOOKUP(A812,characters!A:A,characters!B:B)=-1, LOOKUP(A812,characters!A:A,characters!B:B)+0.1&gt;=B812),1,0)</f>
        <v/>
      </c>
    </row>
    <row r="813" spans="1:10">
      <c r="A813" s="4" t="s">
        <v>72</v>
      </c>
      <c r="B813" s="7">
        <v>1</v>
      </c>
      <c r="C813" s="6">
        <f>IF(J813=1,0.9,0)</f>
        <v/>
      </c>
      <c r="D813" s="5" t="s">
        <v>17</v>
      </c>
      <c r="E813" s="5" t="s">
        <v>17</v>
      </c>
      <c r="F813" s="5" t="s">
        <v>17</v>
      </c>
      <c r="G813" s="6">
        <f>IF(J813=1,1.0,0)</f>
        <v/>
      </c>
      <c r="H813" s="5" t="s">
        <v>17</v>
      </c>
      <c r="I813" s="5" t="s">
        <v>17</v>
      </c>
      <c r="J813" s="8">
        <f>IF(OR(LOOKUP(A813,characters!A:A,characters!B:B)=-1, LOOKUP(A813,characters!A:A,characters!B:B)+0.1&gt;=B813),1,0)</f>
        <v/>
      </c>
    </row>
    <row r="814" spans="1:10">
      <c r="A814" s="4" t="s">
        <v>43</v>
      </c>
      <c r="B814" s="7">
        <v>0</v>
      </c>
      <c r="C814" s="5" t="s">
        <v>17</v>
      </c>
      <c r="D814" s="5" t="s">
        <v>17</v>
      </c>
      <c r="E814" s="5" t="s">
        <v>17</v>
      </c>
      <c r="F814" s="6">
        <f>IF(J814=1,1.0,0)</f>
        <v/>
      </c>
      <c r="G814" s="5" t="s">
        <v>17</v>
      </c>
      <c r="H814" s="5" t="s">
        <v>17</v>
      </c>
      <c r="I814" s="5" t="s">
        <v>17</v>
      </c>
      <c r="J814" s="8">
        <f>IF(OR(LOOKUP(A814,characters!A:A,characters!B:B)=-1, LOOKUP(A814,characters!A:A,characters!B:B)+0.1&gt;=B814),1,0)</f>
        <v/>
      </c>
    </row>
    <row r="815" spans="1:10">
      <c r="A815" s="4" t="s">
        <v>44</v>
      </c>
      <c r="B815" s="7">
        <v>0</v>
      </c>
      <c r="C815" s="5" t="s">
        <v>17</v>
      </c>
      <c r="D815" s="5" t="s">
        <v>17</v>
      </c>
      <c r="E815" s="5" t="s">
        <v>17</v>
      </c>
      <c r="F815" s="6">
        <f>IF(J815=1,0.99,0)</f>
        <v/>
      </c>
      <c r="G815" s="5" t="s">
        <v>17</v>
      </c>
      <c r="H815" s="5" t="s">
        <v>17</v>
      </c>
      <c r="I815" s="6">
        <f>IF(J815=1,1.0,0)</f>
        <v/>
      </c>
      <c r="J815" s="8">
        <f>IF(OR(LOOKUP(A815,characters!A:A,characters!B:B)=-1, LOOKUP(A815,characters!A:A,characters!B:B)+0.1&gt;=B815),1,0)</f>
        <v/>
      </c>
    </row>
    <row r="817" spans="1:5">
      <c r="A817" s="3" t="s">
        <v>24</v>
      </c>
      <c r="B817" s="3" t="s">
        <v>9</v>
      </c>
      <c r="C817" s="3" t="s">
        <v>10</v>
      </c>
      <c r="D817" s="3" t="s">
        <v>11</v>
      </c>
    </row>
    <row r="818" spans="1:5">
      <c r="A818" s="4" t="s">
        <v>16</v>
      </c>
      <c r="B818" s="5" t="s">
        <v>17</v>
      </c>
      <c r="C818" s="6">
        <f>IF(SUM(E819:E838)=0,0,SUM(C819:C838)/SUM(E819:E838))</f>
        <v/>
      </c>
      <c r="D818" s="6">
        <f>IF(SUM(E819:E838)=0,0,SUM(D819:D838)/SUM(E819:E838))</f>
        <v/>
      </c>
    </row>
    <row r="819" spans="1:5">
      <c r="A819" s="4" t="s">
        <v>69</v>
      </c>
      <c r="B819" s="7">
        <v>0</v>
      </c>
      <c r="C819" s="6">
        <f>IF(E819=1,1.0,0)</f>
        <v/>
      </c>
      <c r="D819" s="5" t="s">
        <v>17</v>
      </c>
      <c r="E819" s="8">
        <f>IF(OR(LOOKUP(A819,characters!A:A,characters!B:B)=-1, LOOKUP(A819,characters!A:A,characters!B:B)+0.1&gt;=B819),1,0)</f>
        <v/>
      </c>
    </row>
    <row r="820" spans="1:5">
      <c r="A820" s="4" t="s">
        <v>95</v>
      </c>
      <c r="B820" s="7">
        <v>0</v>
      </c>
      <c r="C820" s="6">
        <f>IF(E820=1,1.0,0)</f>
        <v/>
      </c>
      <c r="D820" s="5" t="s">
        <v>17</v>
      </c>
      <c r="E820" s="8">
        <f>IF(OR(LOOKUP(A820,characters!A:A,characters!B:B)=-1, LOOKUP(A820,characters!A:A,characters!B:B)+0.1&gt;=B820),1,0)</f>
        <v/>
      </c>
    </row>
    <row r="821" spans="1:5">
      <c r="A821" s="4" t="s">
        <v>37</v>
      </c>
      <c r="B821" s="7">
        <v>1</v>
      </c>
      <c r="C821" s="6">
        <f>IF(E821=1,1.0,0)</f>
        <v/>
      </c>
      <c r="D821" s="5" t="s">
        <v>17</v>
      </c>
      <c r="E821" s="8">
        <f>IF(OR(LOOKUP(A821,characters!A:A,characters!B:B)=-1, LOOKUP(A821,characters!A:A,characters!B:B)+0.1&gt;=B821),1,0)</f>
        <v/>
      </c>
    </row>
    <row r="822" spans="1:5">
      <c r="A822" s="4" t="s">
        <v>101</v>
      </c>
      <c r="B822" s="7">
        <v>0</v>
      </c>
      <c r="C822" s="6">
        <f>IF(E822=1,1.0,0)</f>
        <v/>
      </c>
      <c r="D822" s="5" t="s">
        <v>17</v>
      </c>
      <c r="E822" s="8">
        <f>IF(OR(LOOKUP(A822,characters!A:A,characters!B:B)=-1, LOOKUP(A822,characters!A:A,characters!B:B)+0.1&gt;=B822),1,0)</f>
        <v/>
      </c>
    </row>
    <row r="823" spans="1:5">
      <c r="A823" s="4" t="s">
        <v>82</v>
      </c>
      <c r="B823" s="7">
        <v>0</v>
      </c>
      <c r="C823" s="6">
        <f>IF(E823=1,1.0,0)</f>
        <v/>
      </c>
      <c r="D823" s="5" t="s">
        <v>17</v>
      </c>
      <c r="E823" s="8">
        <f>IF(OR(LOOKUP(A823,characters!A:A,characters!B:B)=-1, LOOKUP(A823,characters!A:A,characters!B:B)+0.1&gt;=B823),1,0)</f>
        <v/>
      </c>
    </row>
    <row r="824" spans="1:5">
      <c r="A824" s="4" t="s">
        <v>39</v>
      </c>
      <c r="B824" s="7">
        <v>0</v>
      </c>
      <c r="C824" s="6">
        <f>IF(E824=1,1.0,0)</f>
        <v/>
      </c>
      <c r="D824" s="5" t="s">
        <v>17</v>
      </c>
      <c r="E824" s="8">
        <f>IF(OR(LOOKUP(A824,characters!A:A,characters!B:B)=-1, LOOKUP(A824,characters!A:A,characters!B:B)+0.1&gt;=B824),1,0)</f>
        <v/>
      </c>
    </row>
    <row r="825" spans="1:5">
      <c r="A825" s="4" t="s">
        <v>96</v>
      </c>
      <c r="B825" s="7">
        <v>1</v>
      </c>
      <c r="C825" s="6">
        <f>IF(E825=1,1.0,0)</f>
        <v/>
      </c>
      <c r="D825" s="5" t="s">
        <v>17</v>
      </c>
      <c r="E825" s="8">
        <f>IF(OR(LOOKUP(A825,characters!A:A,characters!B:B)=-1, LOOKUP(A825,characters!A:A,characters!B:B)+0.1&gt;=B825),1,0)</f>
        <v/>
      </c>
    </row>
    <row r="826" spans="1:5">
      <c r="A826" s="4" t="s">
        <v>70</v>
      </c>
      <c r="B826" s="7">
        <v>1</v>
      </c>
      <c r="C826" s="6">
        <f>IF(E826=1,1.0,0)</f>
        <v/>
      </c>
      <c r="D826" s="5" t="s">
        <v>17</v>
      </c>
      <c r="E826" s="8">
        <f>IF(OR(LOOKUP(A826,characters!A:A,characters!B:B)=-1, LOOKUP(A826,characters!A:A,characters!B:B)+0.1&gt;=B826),1,0)</f>
        <v/>
      </c>
    </row>
    <row r="827" spans="1:5">
      <c r="A827" s="4" t="s">
        <v>117</v>
      </c>
      <c r="B827" s="7">
        <v>0</v>
      </c>
      <c r="C827" s="6">
        <f>IF(E827=1,1.0,0)</f>
        <v/>
      </c>
      <c r="D827" s="5" t="s">
        <v>17</v>
      </c>
      <c r="E827" s="8">
        <f>IF(OR(LOOKUP(A827,characters!A:A,characters!B:B)=-1, LOOKUP(A827,characters!A:A,characters!B:B)+0.1&gt;=B827),1,0)</f>
        <v/>
      </c>
    </row>
    <row r="828" spans="1:5">
      <c r="A828" s="4" t="s">
        <v>97</v>
      </c>
      <c r="B828" s="7">
        <v>0</v>
      </c>
      <c r="C828" s="6">
        <f>IF(E828=1,1.0,0)</f>
        <v/>
      </c>
      <c r="D828" s="5" t="s">
        <v>17</v>
      </c>
      <c r="E828" s="8">
        <f>IF(OR(LOOKUP(A828,characters!A:A,characters!B:B)=-1, LOOKUP(A828,characters!A:A,characters!B:B)+0.1&gt;=B828),1,0)</f>
        <v/>
      </c>
    </row>
    <row r="829" spans="1:5">
      <c r="A829" s="4" t="s">
        <v>91</v>
      </c>
      <c r="B829" s="7">
        <v>3</v>
      </c>
      <c r="C829" s="6">
        <f>IF(E829=1,1.0,0)</f>
        <v/>
      </c>
      <c r="D829" s="6">
        <f>IF(E829=1,0.99,0)</f>
        <v/>
      </c>
      <c r="E829" s="8">
        <f>IF(OR(LOOKUP(A829,characters!A:A,characters!B:B)=-1, LOOKUP(A829,characters!A:A,characters!B:B)+0.1&gt;=B829),1,0)</f>
        <v/>
      </c>
    </row>
    <row r="830" spans="1:5">
      <c r="A830" s="4" t="s">
        <v>98</v>
      </c>
      <c r="B830" s="7">
        <v>0</v>
      </c>
      <c r="C830" s="6">
        <f>IF(E830=1,1.0,0)</f>
        <v/>
      </c>
      <c r="D830" s="5" t="s">
        <v>17</v>
      </c>
      <c r="E830" s="8">
        <f>IF(OR(LOOKUP(A830,characters!A:A,characters!B:B)=-1, LOOKUP(A830,characters!A:A,characters!B:B)+0.1&gt;=B830),1,0)</f>
        <v/>
      </c>
    </row>
    <row r="831" spans="1:5">
      <c r="A831" s="4" t="s">
        <v>40</v>
      </c>
      <c r="B831" s="7">
        <v>1</v>
      </c>
      <c r="C831" s="6">
        <f>IF(E831=1,1.0,0)</f>
        <v/>
      </c>
      <c r="D831" s="5" t="s">
        <v>17</v>
      </c>
      <c r="E831" s="8">
        <f>IF(OR(LOOKUP(A831,characters!A:A,characters!B:B)=-1, LOOKUP(A831,characters!A:A,characters!B:B)+0.1&gt;=B831),1,0)</f>
        <v/>
      </c>
    </row>
    <row r="832" spans="1:5">
      <c r="A832" s="4" t="s">
        <v>118</v>
      </c>
      <c r="B832" s="7">
        <v>1</v>
      </c>
      <c r="C832" s="6">
        <f>IF(E832=1,1.0,0)</f>
        <v/>
      </c>
      <c r="D832" s="5" t="s">
        <v>17</v>
      </c>
      <c r="E832" s="8">
        <f>IF(OR(LOOKUP(A832,characters!A:A,characters!B:B)=-1, LOOKUP(A832,characters!A:A,characters!B:B)+0.1&gt;=B832),1,0)</f>
        <v/>
      </c>
    </row>
    <row r="833" spans="1:14">
      <c r="A833" s="4" t="s">
        <v>41</v>
      </c>
      <c r="B833" s="7">
        <v>0</v>
      </c>
      <c r="C833" s="6">
        <f>IF(E833=1,1.0,0)</f>
        <v/>
      </c>
      <c r="D833" s="5" t="s">
        <v>17</v>
      </c>
      <c r="E833" s="8">
        <f>IF(OR(LOOKUP(A833,characters!A:A,characters!B:B)=-1, LOOKUP(A833,characters!A:A,characters!B:B)+0.1&gt;=B833),1,0)</f>
        <v/>
      </c>
    </row>
    <row r="834" spans="1:14">
      <c r="A834" s="4" t="s">
        <v>42</v>
      </c>
      <c r="B834" s="7">
        <v>1</v>
      </c>
      <c r="C834" s="6">
        <f>IF(E834=1,1.0,0)</f>
        <v/>
      </c>
      <c r="D834" s="5" t="s">
        <v>17</v>
      </c>
      <c r="E834" s="8">
        <f>IF(OR(LOOKUP(A834,characters!A:A,characters!B:B)=-1, LOOKUP(A834,characters!A:A,characters!B:B)+0.1&gt;=B834),1,0)</f>
        <v/>
      </c>
    </row>
    <row r="835" spans="1:14">
      <c r="A835" s="4" t="s">
        <v>71</v>
      </c>
      <c r="B835" s="7">
        <v>1</v>
      </c>
      <c r="C835" s="6">
        <f>IF(E835=1,1.0,0)</f>
        <v/>
      </c>
      <c r="D835" s="5" t="s">
        <v>17</v>
      </c>
      <c r="E835" s="8">
        <f>IF(OR(LOOKUP(A835,characters!A:A,characters!B:B)=-1, LOOKUP(A835,characters!A:A,characters!B:B)+0.1&gt;=B835),1,0)</f>
        <v/>
      </c>
    </row>
    <row r="836" spans="1:14">
      <c r="A836" s="4" t="s">
        <v>72</v>
      </c>
      <c r="B836" s="7">
        <v>1</v>
      </c>
      <c r="C836" s="6">
        <f>IF(E836=1,1.0,0)</f>
        <v/>
      </c>
      <c r="D836" s="5" t="s">
        <v>17</v>
      </c>
      <c r="E836" s="8">
        <f>IF(OR(LOOKUP(A836,characters!A:A,characters!B:B)=-1, LOOKUP(A836,characters!A:A,characters!B:B)+0.1&gt;=B836),1,0)</f>
        <v/>
      </c>
    </row>
    <row r="837" spans="1:14">
      <c r="A837" s="4" t="s">
        <v>43</v>
      </c>
      <c r="B837" s="7">
        <v>0</v>
      </c>
      <c r="C837" s="6">
        <f>IF(E837=1,1.0,0)</f>
        <v/>
      </c>
      <c r="D837" s="5" t="s">
        <v>17</v>
      </c>
      <c r="E837" s="8">
        <f>IF(OR(LOOKUP(A837,characters!A:A,characters!B:B)=-1, LOOKUP(A837,characters!A:A,characters!B:B)+0.1&gt;=B837),1,0)</f>
        <v/>
      </c>
    </row>
    <row r="838" spans="1:14">
      <c r="A838" s="4" t="s">
        <v>44</v>
      </c>
      <c r="B838" s="7">
        <v>0</v>
      </c>
      <c r="C838" s="6">
        <f>IF(E838=1,1.0,0)</f>
        <v/>
      </c>
      <c r="D838" s="6">
        <f>IF(E838=1,0.99,0)</f>
        <v/>
      </c>
      <c r="E838" s="8">
        <f>IF(OR(LOOKUP(A838,characters!A:A,characters!B:B)=-1, LOOKUP(A838,characters!A:A,characters!B:B)+0.1&gt;=B838),1,0)</f>
        <v/>
      </c>
    </row>
    <row r="845" spans="1:14">
      <c r="A845" s="3" t="s">
        <v>119</v>
      </c>
    </row>
    <row r="846" spans="1:14">
      <c r="A846" s="3" t="s">
        <v>8</v>
      </c>
      <c r="B846" s="3" t="s">
        <v>9</v>
      </c>
      <c r="C846" s="3" t="s">
        <v>10</v>
      </c>
      <c r="D846" s="3" t="s">
        <v>11</v>
      </c>
      <c r="E846" s="3" t="s">
        <v>12</v>
      </c>
      <c r="F846" s="3" t="s">
        <v>13</v>
      </c>
      <c r="G846" s="3" t="s">
        <v>27</v>
      </c>
      <c r="H846" s="3" t="s">
        <v>26</v>
      </c>
      <c r="I846" s="3" t="s">
        <v>28</v>
      </c>
      <c r="J846" s="3" t="s">
        <v>14</v>
      </c>
      <c r="K846" s="3" t="s">
        <v>34</v>
      </c>
      <c r="L846" s="3" t="s">
        <v>35</v>
      </c>
      <c r="M846" s="3" t="s">
        <v>15</v>
      </c>
    </row>
    <row r="847" spans="1:14">
      <c r="A847" s="4" t="s">
        <v>16</v>
      </c>
      <c r="B847" s="5" t="s">
        <v>17</v>
      </c>
      <c r="C847" s="6">
        <f>IF(SUM(N848:N854)=0,0,SUM(C848:C854)/SUM(N848:N854))</f>
        <v/>
      </c>
      <c r="D847" s="6">
        <f>IF(SUM(N848:N854)=0,0,SUM(D848:D854)/SUM(N848:N854))</f>
        <v/>
      </c>
      <c r="E847" s="6">
        <f>IF(SUM(N848:N854)=0,0,SUM(E848:E854)/SUM(N848:N854))</f>
        <v/>
      </c>
      <c r="F847" s="6">
        <f>IF(SUM(N848:N854)=0,0,SUM(F848:F854)/SUM(N848:N854))</f>
        <v/>
      </c>
      <c r="G847" s="6">
        <f>IF(SUM(N848:N854)=0,0,SUM(G848:G854)/SUM(N848:N854))</f>
        <v/>
      </c>
      <c r="H847" s="6">
        <f>IF(SUM(N848:N854)=0,0,SUM(H848:H854)/SUM(N848:N854))</f>
        <v/>
      </c>
      <c r="I847" s="6">
        <f>IF(SUM(N848:N854)=0,0,SUM(I848:I854)/SUM(N848:N854))</f>
        <v/>
      </c>
      <c r="J847" s="6">
        <f>IF(SUM(N848:N854)=0,0,SUM(J848:J854)/SUM(N848:N854))</f>
        <v/>
      </c>
      <c r="K847" s="6">
        <f>IF(SUM(N848:N854)=0,0,SUM(K848:K854)/SUM(N848:N854))</f>
        <v/>
      </c>
      <c r="L847" s="6">
        <f>IF(SUM(N848:N854)=0,0,SUM(L848:L854)/SUM(N848:N854))</f>
        <v/>
      </c>
      <c r="M847" s="6">
        <f>IF(SUM(N848:N854)=0,0,SUM(M848:M854)/SUM(N848:N854))</f>
        <v/>
      </c>
    </row>
    <row r="848" spans="1:14">
      <c r="A848" s="4" t="s">
        <v>91</v>
      </c>
      <c r="B848" s="7">
        <v>0</v>
      </c>
      <c r="C848" s="6">
        <f>IF(N848=1,1.0,0)</f>
        <v/>
      </c>
      <c r="D848" s="6">
        <f>IF(N848=1,0.8,0)</f>
        <v/>
      </c>
      <c r="E848" s="6">
        <f>IF(N848=1,0.9,0)</f>
        <v/>
      </c>
      <c r="F848" s="6">
        <f>IF(N848=1,0.9,0)</f>
        <v/>
      </c>
      <c r="G848" s="5" t="s">
        <v>17</v>
      </c>
      <c r="H848" s="5" t="s">
        <v>17</v>
      </c>
      <c r="I848" s="5" t="s">
        <v>17</v>
      </c>
      <c r="J848" s="5" t="s">
        <v>17</v>
      </c>
      <c r="K848" s="5" t="s">
        <v>17</v>
      </c>
      <c r="L848" s="5" t="s">
        <v>17</v>
      </c>
      <c r="M848" s="5" t="s">
        <v>17</v>
      </c>
      <c r="N848" s="8">
        <f>IF(OR(LOOKUP(A848,characters!A:A,characters!B:B)=-1, LOOKUP(A848,characters!A:A,characters!B:B)+0.1&gt;=B848),1,0)</f>
        <v/>
      </c>
    </row>
    <row r="849" spans="1:14">
      <c r="A849" s="4" t="s">
        <v>120</v>
      </c>
      <c r="B849" s="7">
        <v>0</v>
      </c>
      <c r="C849" s="6">
        <f>IF(N849=1,0.99,0)</f>
        <v/>
      </c>
      <c r="D849" s="6">
        <f>IF(N849=1,1.0,0)</f>
        <v/>
      </c>
      <c r="E849" s="5" t="s">
        <v>17</v>
      </c>
      <c r="F849" s="5" t="s">
        <v>17</v>
      </c>
      <c r="G849" s="6">
        <f>IF(N849=1,0.89,0)</f>
        <v/>
      </c>
      <c r="H849" s="6">
        <f>IF(N849=1,0.89,0)</f>
        <v/>
      </c>
      <c r="I849" s="5" t="s">
        <v>17</v>
      </c>
      <c r="J849" s="5" t="s">
        <v>17</v>
      </c>
      <c r="K849" s="5" t="s">
        <v>17</v>
      </c>
      <c r="L849" s="5" t="s">
        <v>17</v>
      </c>
      <c r="M849" s="5" t="s">
        <v>17</v>
      </c>
      <c r="N849" s="8">
        <f>IF(OR(LOOKUP(A849,characters!A:A,characters!B:B)=-1, LOOKUP(A849,characters!A:A,characters!B:B)+0.1&gt;=B849),1,0)</f>
        <v/>
      </c>
    </row>
    <row r="850" spans="1:14">
      <c r="A850" s="4" t="s">
        <v>76</v>
      </c>
      <c r="B850" s="7">
        <v>1</v>
      </c>
      <c r="C850" s="6">
        <f>IF(N850=1,0.9,0)</f>
        <v/>
      </c>
      <c r="D850" s="6">
        <f>IF(N850=1,0.8,0)</f>
        <v/>
      </c>
      <c r="E850" s="5" t="s">
        <v>17</v>
      </c>
      <c r="F850" s="5" t="s">
        <v>17</v>
      </c>
      <c r="G850" s="5" t="s">
        <v>17</v>
      </c>
      <c r="H850" s="5" t="s">
        <v>17</v>
      </c>
      <c r="I850" s="5" t="s">
        <v>17</v>
      </c>
      <c r="J850" s="6">
        <f>IF(N850=1,1.0,0)</f>
        <v/>
      </c>
      <c r="K850" s="5" t="s">
        <v>17</v>
      </c>
      <c r="L850" s="5" t="s">
        <v>17</v>
      </c>
      <c r="M850" s="6">
        <f>IF(N850=1,0.7,0)</f>
        <v/>
      </c>
      <c r="N850" s="8">
        <f>IF(OR(LOOKUP(A850,characters!A:A,characters!B:B)=-1, LOOKUP(A850,characters!A:A,characters!B:B)+0.1&gt;=B850),1,0)</f>
        <v/>
      </c>
    </row>
    <row r="851" spans="1:14">
      <c r="A851" s="4" t="s">
        <v>117</v>
      </c>
      <c r="B851" s="7">
        <v>1</v>
      </c>
      <c r="C851" s="6">
        <f>IF(N851=1,1.0,0)</f>
        <v/>
      </c>
      <c r="D851" s="6">
        <f>IF(N851=1,0.9,0)</f>
        <v/>
      </c>
      <c r="E851" s="5" t="s">
        <v>17</v>
      </c>
      <c r="F851" s="5" t="s">
        <v>17</v>
      </c>
      <c r="G851" s="6">
        <f>IF(N851=1,0.8,0)</f>
        <v/>
      </c>
      <c r="H851" s="6">
        <f>IF(N851=1,0.8,0)</f>
        <v/>
      </c>
      <c r="I851" s="6">
        <f>IF(N851=1,0.7,0)</f>
        <v/>
      </c>
      <c r="J851" s="5" t="s">
        <v>17</v>
      </c>
      <c r="K851" s="5" t="s">
        <v>17</v>
      </c>
      <c r="L851" s="5" t="s">
        <v>17</v>
      </c>
      <c r="M851" s="5" t="s">
        <v>17</v>
      </c>
      <c r="N851" s="8">
        <f>IF(OR(LOOKUP(A851,characters!A:A,characters!B:B)=-1, LOOKUP(A851,characters!A:A,characters!B:B)+0.1&gt;=B851),1,0)</f>
        <v/>
      </c>
    </row>
    <row r="852" spans="1:14">
      <c r="A852" s="4" t="s">
        <v>107</v>
      </c>
      <c r="B852" s="7">
        <v>2</v>
      </c>
      <c r="C852" s="6">
        <f>IF(N852=1,1.0,0)</f>
        <v/>
      </c>
      <c r="D852" s="5" t="s">
        <v>17</v>
      </c>
      <c r="E852" s="6">
        <f>IF(N852=1,0.9,0)</f>
        <v/>
      </c>
      <c r="F852" s="6">
        <f>IF(N852=1,0.9,0)</f>
        <v/>
      </c>
      <c r="G852" s="6">
        <f>IF(N852=1,0.8,0)</f>
        <v/>
      </c>
      <c r="H852" s="5" t="s">
        <v>17</v>
      </c>
      <c r="I852" s="5" t="s">
        <v>17</v>
      </c>
      <c r="J852" s="5" t="s">
        <v>17</v>
      </c>
      <c r="K852" s="5" t="s">
        <v>17</v>
      </c>
      <c r="L852" s="5" t="s">
        <v>17</v>
      </c>
      <c r="M852" s="5" t="s">
        <v>17</v>
      </c>
      <c r="N852" s="8">
        <f>IF(OR(LOOKUP(A852,characters!A:A,characters!B:B)=-1, LOOKUP(A852,characters!A:A,characters!B:B)+0.1&gt;=B852),1,0)</f>
        <v/>
      </c>
    </row>
    <row r="853" spans="1:14">
      <c r="A853" s="4" t="s">
        <v>86</v>
      </c>
      <c r="B853" s="7">
        <v>2</v>
      </c>
      <c r="C853" s="5" t="s">
        <v>17</v>
      </c>
      <c r="D853" s="6">
        <f>IF(N853=1,0.9,0)</f>
        <v/>
      </c>
      <c r="E853" s="6">
        <f>IF(N853=1,1.0,0)</f>
        <v/>
      </c>
      <c r="F853" s="6">
        <f>IF(N853=1,1.0,0)</f>
        <v/>
      </c>
      <c r="G853" s="5" t="s">
        <v>17</v>
      </c>
      <c r="H853" s="5" t="s">
        <v>17</v>
      </c>
      <c r="I853" s="5" t="s">
        <v>17</v>
      </c>
      <c r="J853" s="5" t="s">
        <v>17</v>
      </c>
      <c r="K853" s="5" t="s">
        <v>17</v>
      </c>
      <c r="L853" s="5" t="s">
        <v>17</v>
      </c>
      <c r="M853" s="5" t="s">
        <v>17</v>
      </c>
      <c r="N853" s="8">
        <f>IF(OR(LOOKUP(A853,characters!A:A,characters!B:B)=-1, LOOKUP(A853,characters!A:A,characters!B:B)+0.1&gt;=B853),1,0)</f>
        <v/>
      </c>
    </row>
    <row r="854" spans="1:14">
      <c r="A854" s="4" t="s">
        <v>72</v>
      </c>
      <c r="B854" s="7">
        <v>3</v>
      </c>
      <c r="C854" s="6">
        <f>IF(N854=1,1.0,0)</f>
        <v/>
      </c>
      <c r="D854" s="6">
        <f>IF(N854=1,1.0,0)</f>
        <v/>
      </c>
      <c r="E854" s="5" t="s">
        <v>17</v>
      </c>
      <c r="F854" s="5" t="s">
        <v>17</v>
      </c>
      <c r="G854" s="5" t="s">
        <v>17</v>
      </c>
      <c r="H854" s="5" t="s">
        <v>17</v>
      </c>
      <c r="I854" s="6">
        <f>IF(N854=1,0.8,0)</f>
        <v/>
      </c>
      <c r="J854" s="5" t="s">
        <v>17</v>
      </c>
      <c r="K854" s="6">
        <f>IF(N854=1,0.9,0)</f>
        <v/>
      </c>
      <c r="L854" s="6">
        <f>IF(N854=1,0.9,0)</f>
        <v/>
      </c>
      <c r="M854" s="5" t="s">
        <v>17</v>
      </c>
      <c r="N854" s="8">
        <f>IF(OR(LOOKUP(A854,characters!A:A,characters!B:B)=-1, LOOKUP(A854,characters!A:A,characters!B:B)+0.1&gt;=B854),1,0)</f>
        <v/>
      </c>
    </row>
    <row r="856" spans="1:14">
      <c r="A856" s="3" t="s">
        <v>23</v>
      </c>
      <c r="B856" s="3" t="s">
        <v>9</v>
      </c>
      <c r="C856" s="3" t="s">
        <v>14</v>
      </c>
      <c r="D856" s="3" t="s">
        <v>11</v>
      </c>
      <c r="E856" s="3" t="s">
        <v>13</v>
      </c>
      <c r="F856" s="3" t="s">
        <v>12</v>
      </c>
      <c r="G856" s="3" t="s">
        <v>109</v>
      </c>
      <c r="H856" s="3" t="s">
        <v>27</v>
      </c>
    </row>
    <row r="857" spans="1:14">
      <c r="A857" s="4" t="s">
        <v>16</v>
      </c>
      <c r="B857" s="5" t="s">
        <v>17</v>
      </c>
      <c r="C857" s="6">
        <f>IF(SUM(I858:I864)=0,0,SUM(C858:C864)/SUM(I858:I864))</f>
        <v/>
      </c>
      <c r="D857" s="6">
        <f>IF(SUM(I858:I864)=0,0,SUM(D858:D864)/SUM(I858:I864))</f>
        <v/>
      </c>
      <c r="E857" s="6">
        <f>IF(SUM(I858:I864)=0,0,SUM(E858:E864)/SUM(I858:I864))</f>
        <v/>
      </c>
      <c r="F857" s="6">
        <f>IF(SUM(I858:I864)=0,0,SUM(F858:F864)/SUM(I858:I864))</f>
        <v/>
      </c>
      <c r="G857" s="6">
        <f>IF(SUM(I858:I864)=0,0,SUM(G858:G864)/SUM(I858:I864))</f>
        <v/>
      </c>
      <c r="H857" s="6">
        <f>IF(SUM(I858:I864)=0,0,SUM(H858:H864)/SUM(I858:I864))</f>
        <v/>
      </c>
    </row>
    <row r="858" spans="1:14">
      <c r="A858" s="4" t="s">
        <v>76</v>
      </c>
      <c r="B858" s="7">
        <v>1</v>
      </c>
      <c r="C858" s="6">
        <f>IF(I858=1,1.0,0)</f>
        <v/>
      </c>
      <c r="D858" s="6">
        <f>IF(I858=1,0.9,0)</f>
        <v/>
      </c>
      <c r="E858" s="5" t="s">
        <v>17</v>
      </c>
      <c r="F858" s="5" t="s">
        <v>17</v>
      </c>
      <c r="G858" s="5" t="s">
        <v>17</v>
      </c>
      <c r="H858" s="5" t="s">
        <v>17</v>
      </c>
      <c r="I858" s="8">
        <f>IF(OR(LOOKUP(A858,characters!A:A,characters!B:B)=-1, LOOKUP(A858,characters!A:A,characters!B:B)+0.1&gt;=B858),1,0)</f>
        <v/>
      </c>
    </row>
    <row r="859" spans="1:14">
      <c r="A859" s="4" t="s">
        <v>107</v>
      </c>
      <c r="B859" s="7">
        <v>2</v>
      </c>
      <c r="C859" s="5" t="s">
        <v>17</v>
      </c>
      <c r="D859" s="5" t="s">
        <v>17</v>
      </c>
      <c r="E859" s="6">
        <f>IF(I859=1,1.0,0)</f>
        <v/>
      </c>
      <c r="F859" s="6">
        <f>IF(I859=1,0.9,0)</f>
        <v/>
      </c>
      <c r="G859" s="5" t="s">
        <v>17</v>
      </c>
      <c r="H859" s="5" t="s">
        <v>17</v>
      </c>
      <c r="I859" s="8">
        <f>IF(OR(LOOKUP(A859,characters!A:A,characters!B:B)=-1, LOOKUP(A859,characters!A:A,characters!B:B)+0.1&gt;=B859),1,0)</f>
        <v/>
      </c>
    </row>
    <row r="860" spans="1:14">
      <c r="A860" s="4" t="s">
        <v>86</v>
      </c>
      <c r="B860" s="7">
        <v>2</v>
      </c>
      <c r="C860" s="5" t="s">
        <v>17</v>
      </c>
      <c r="D860" s="5" t="s">
        <v>17</v>
      </c>
      <c r="E860" s="6">
        <f>IF(I860=1,1.0,0)</f>
        <v/>
      </c>
      <c r="F860" s="6">
        <f>IF(I860=1,0.99,0)</f>
        <v/>
      </c>
      <c r="G860" s="5" t="s">
        <v>17</v>
      </c>
      <c r="H860" s="5" t="s">
        <v>17</v>
      </c>
      <c r="I860" s="8">
        <f>IF(OR(LOOKUP(A860,characters!A:A,characters!B:B)=-1, LOOKUP(A860,characters!A:A,characters!B:B)+0.1&gt;=B860),1,0)</f>
        <v/>
      </c>
    </row>
    <row r="861" spans="1:14">
      <c r="A861" s="4" t="s">
        <v>117</v>
      </c>
      <c r="B861" s="7">
        <v>1</v>
      </c>
      <c r="C861" s="5" t="s">
        <v>17</v>
      </c>
      <c r="D861" s="5" t="s">
        <v>17</v>
      </c>
      <c r="E861" s="5" t="s">
        <v>17</v>
      </c>
      <c r="F861" s="5" t="s">
        <v>17</v>
      </c>
      <c r="G861" s="6">
        <f>IF(I861=1,1.0,0)</f>
        <v/>
      </c>
      <c r="H861" s="5" t="s">
        <v>17</v>
      </c>
      <c r="I861" s="8">
        <f>IF(OR(LOOKUP(A861,characters!A:A,characters!B:B)=-1, LOOKUP(A861,characters!A:A,characters!B:B)+0.1&gt;=B861),1,0)</f>
        <v/>
      </c>
    </row>
    <row r="862" spans="1:14">
      <c r="A862" s="4" t="s">
        <v>91</v>
      </c>
      <c r="B862" s="7">
        <v>0</v>
      </c>
      <c r="C862" s="5" t="s">
        <v>17</v>
      </c>
      <c r="D862" s="5" t="s">
        <v>17</v>
      </c>
      <c r="E862" s="6">
        <f>IF(I862=1,0.99,0)</f>
        <v/>
      </c>
      <c r="F862" s="6">
        <f>IF(I862=1,1.0,0)</f>
        <v/>
      </c>
      <c r="G862" s="5" t="s">
        <v>17</v>
      </c>
      <c r="H862" s="5" t="s">
        <v>17</v>
      </c>
      <c r="I862" s="8">
        <f>IF(OR(LOOKUP(A862,characters!A:A,characters!B:B)=-1, LOOKUP(A862,characters!A:A,characters!B:B)+0.1&gt;=B862),1,0)</f>
        <v/>
      </c>
    </row>
    <row r="863" spans="1:14">
      <c r="A863" s="4" t="s">
        <v>120</v>
      </c>
      <c r="B863" s="7">
        <v>0</v>
      </c>
      <c r="C863" s="5" t="s">
        <v>17</v>
      </c>
      <c r="D863" s="6">
        <f>IF(I863=1,1.0,0)</f>
        <v/>
      </c>
      <c r="E863" s="5" t="s">
        <v>17</v>
      </c>
      <c r="F863" s="5" t="s">
        <v>17</v>
      </c>
      <c r="G863" s="5" t="s">
        <v>17</v>
      </c>
      <c r="H863" s="5" t="s">
        <v>17</v>
      </c>
      <c r="I863" s="8">
        <f>IF(OR(LOOKUP(A863,characters!A:A,characters!B:B)=-1, LOOKUP(A863,characters!A:A,characters!B:B)+0.1&gt;=B863),1,0)</f>
        <v/>
      </c>
    </row>
    <row r="864" spans="1:14">
      <c r="A864" s="4" t="s">
        <v>72</v>
      </c>
      <c r="B864" s="7">
        <v>3</v>
      </c>
      <c r="C864" s="5" t="s">
        <v>17</v>
      </c>
      <c r="D864" s="6">
        <f>IF(I864=1,1.0,0)</f>
        <v/>
      </c>
      <c r="E864" s="5" t="s">
        <v>17</v>
      </c>
      <c r="F864" s="5" t="s">
        <v>17</v>
      </c>
      <c r="G864" s="5" t="s">
        <v>17</v>
      </c>
      <c r="H864" s="6">
        <f>IF(I864=1,0.9,0)</f>
        <v/>
      </c>
      <c r="I864" s="8">
        <f>IF(OR(LOOKUP(A864,characters!A:A,characters!B:B)=-1, LOOKUP(A864,characters!A:A,characters!B:B)+0.1&gt;=B864),1,0)</f>
        <v/>
      </c>
    </row>
    <row r="866" spans="1:6">
      <c r="A866" s="3" t="s">
        <v>24</v>
      </c>
      <c r="B866" s="3" t="s">
        <v>9</v>
      </c>
      <c r="C866" s="3" t="s">
        <v>10</v>
      </c>
      <c r="D866" s="3" t="s">
        <v>27</v>
      </c>
      <c r="E866" s="3" t="s">
        <v>11</v>
      </c>
    </row>
    <row r="867" spans="1:6">
      <c r="A867" s="4" t="s">
        <v>16</v>
      </c>
      <c r="B867" s="5" t="s">
        <v>17</v>
      </c>
      <c r="C867" s="6">
        <f>IF(SUM(F868:F874)=0,0,SUM(C868:C874)/SUM(F868:F874))</f>
        <v/>
      </c>
      <c r="D867" s="6">
        <f>IF(SUM(F868:F874)=0,0,SUM(D868:D874)/SUM(F868:F874))</f>
        <v/>
      </c>
      <c r="E867" s="6">
        <f>IF(SUM(F868:F874)=0,0,SUM(E868:E874)/SUM(F868:F874))</f>
        <v/>
      </c>
    </row>
    <row r="868" spans="1:6">
      <c r="A868" s="4" t="s">
        <v>76</v>
      </c>
      <c r="B868" s="7">
        <v>1</v>
      </c>
      <c r="C868" s="6">
        <f>IF(F868=1,1.0,0)</f>
        <v/>
      </c>
      <c r="D868" s="5" t="s">
        <v>17</v>
      </c>
      <c r="E868" s="5" t="s">
        <v>17</v>
      </c>
      <c r="F868" s="8">
        <f>IF(OR(LOOKUP(A868,characters!A:A,characters!B:B)=-1, LOOKUP(A868,characters!A:A,characters!B:B)+0.1&gt;=B868),1,0)</f>
        <v/>
      </c>
    </row>
    <row r="869" spans="1:6">
      <c r="A869" s="4" t="s">
        <v>107</v>
      </c>
      <c r="B869" s="7">
        <v>2</v>
      </c>
      <c r="C869" s="6">
        <f>IF(F869=1,1.0,0)</f>
        <v/>
      </c>
      <c r="D869" s="6">
        <f>IF(F869=1,0.99,0)</f>
        <v/>
      </c>
      <c r="E869" s="5" t="s">
        <v>17</v>
      </c>
      <c r="F869" s="8">
        <f>IF(OR(LOOKUP(A869,characters!A:A,characters!B:B)=-1, LOOKUP(A869,characters!A:A,characters!B:B)+0.1&gt;=B869),1,0)</f>
        <v/>
      </c>
    </row>
    <row r="870" spans="1:6">
      <c r="A870" s="4" t="s">
        <v>86</v>
      </c>
      <c r="B870" s="7">
        <v>2</v>
      </c>
      <c r="C870" s="6">
        <f>IF(F870=1,0.9,0)</f>
        <v/>
      </c>
      <c r="D870" s="5" t="s">
        <v>17</v>
      </c>
      <c r="E870" s="6">
        <f>IF(F870=1,1.0,0)</f>
        <v/>
      </c>
      <c r="F870" s="8">
        <f>IF(OR(LOOKUP(A870,characters!A:A,characters!B:B)=-1, LOOKUP(A870,characters!A:A,characters!B:B)+0.1&gt;=B870),1,0)</f>
        <v/>
      </c>
    </row>
    <row r="871" spans="1:6">
      <c r="A871" s="4" t="s">
        <v>117</v>
      </c>
      <c r="B871" s="7">
        <v>1</v>
      </c>
      <c r="C871" s="6">
        <f>IF(F871=1,1.0,0)</f>
        <v/>
      </c>
      <c r="D871" s="5" t="s">
        <v>17</v>
      </c>
      <c r="E871" s="5" t="s">
        <v>17</v>
      </c>
      <c r="F871" s="8">
        <f>IF(OR(LOOKUP(A871,characters!A:A,characters!B:B)=-1, LOOKUP(A871,characters!A:A,characters!B:B)+0.1&gt;=B871),1,0)</f>
        <v/>
      </c>
    </row>
    <row r="872" spans="1:6">
      <c r="A872" s="4" t="s">
        <v>91</v>
      </c>
      <c r="B872" s="7">
        <v>0</v>
      </c>
      <c r="C872" s="6">
        <f>IF(F872=1,1.0,0)</f>
        <v/>
      </c>
      <c r="D872" s="5" t="s">
        <v>17</v>
      </c>
      <c r="E872" s="6">
        <f>IF(F872=1,0.99,0)</f>
        <v/>
      </c>
      <c r="F872" s="8">
        <f>IF(OR(LOOKUP(A872,characters!A:A,characters!B:B)=-1, LOOKUP(A872,characters!A:A,characters!B:B)+0.1&gt;=B872),1,0)</f>
        <v/>
      </c>
    </row>
    <row r="873" spans="1:6">
      <c r="A873" s="4" t="s">
        <v>120</v>
      </c>
      <c r="B873" s="7">
        <v>0</v>
      </c>
      <c r="C873" s="5" t="s">
        <v>17</v>
      </c>
      <c r="D873" s="5" t="s">
        <v>17</v>
      </c>
      <c r="E873" s="6">
        <f>IF(F873=1,1.0,0)</f>
        <v/>
      </c>
      <c r="F873" s="8">
        <f>IF(OR(LOOKUP(A873,characters!A:A,characters!B:B)=-1, LOOKUP(A873,characters!A:A,characters!B:B)+0.1&gt;=B873),1,0)</f>
        <v/>
      </c>
    </row>
    <row r="874" spans="1:6">
      <c r="A874" s="4" t="s">
        <v>72</v>
      </c>
      <c r="B874" s="7">
        <v>3</v>
      </c>
      <c r="C874" s="6">
        <f>IF(F874=1,1.0,0)</f>
        <v/>
      </c>
      <c r="D874" s="5" t="s">
        <v>17</v>
      </c>
      <c r="E874" s="5" t="s">
        <v>17</v>
      </c>
      <c r="F874" s="8">
        <f>IF(OR(LOOKUP(A874,characters!A:A,characters!B:B)=-1, LOOKUP(A874,characters!A:A,characters!B:B)+0.1&gt;=B874),1,0)</f>
        <v/>
      </c>
    </row>
    <row r="881" spans="1:12">
      <c r="A881" s="3" t="s">
        <v>121</v>
      </c>
    </row>
    <row r="882" spans="1:12">
      <c r="A882" s="3" t="s">
        <v>8</v>
      </c>
      <c r="B882" s="3" t="s">
        <v>9</v>
      </c>
      <c r="C882" s="3" t="s">
        <v>14</v>
      </c>
      <c r="D882" s="3" t="s">
        <v>10</v>
      </c>
      <c r="E882" s="3" t="s">
        <v>11</v>
      </c>
      <c r="F882" s="3" t="s">
        <v>15</v>
      </c>
      <c r="G882" s="3" t="s">
        <v>34</v>
      </c>
      <c r="H882" s="3" t="s">
        <v>35</v>
      </c>
      <c r="I882" s="3" t="s">
        <v>12</v>
      </c>
      <c r="J882" s="3" t="s">
        <v>13</v>
      </c>
      <c r="K882" s="3" t="s">
        <v>28</v>
      </c>
    </row>
    <row r="883" spans="1:12">
      <c r="A883" s="4" t="s">
        <v>16</v>
      </c>
      <c r="B883" s="5" t="s">
        <v>17</v>
      </c>
      <c r="C883" s="6">
        <f>IF(SUM(L884:L889)=0,0,SUM(C884:C889)/SUM(L884:L889))</f>
        <v/>
      </c>
      <c r="D883" s="6">
        <f>IF(SUM(L884:L889)=0,0,SUM(D884:D889)/SUM(L884:L889))</f>
        <v/>
      </c>
      <c r="E883" s="6">
        <f>IF(SUM(L884:L889)=0,0,SUM(E884:E889)/SUM(L884:L889))</f>
        <v/>
      </c>
      <c r="F883" s="6">
        <f>IF(SUM(L884:L889)=0,0,SUM(F884:F889)/SUM(L884:L889))</f>
        <v/>
      </c>
      <c r="G883" s="6">
        <f>IF(SUM(L884:L889)=0,0,SUM(G884:G889)/SUM(L884:L889))</f>
        <v/>
      </c>
      <c r="H883" s="6">
        <f>IF(SUM(L884:L889)=0,0,SUM(H884:H889)/SUM(L884:L889))</f>
        <v/>
      </c>
      <c r="I883" s="6">
        <f>IF(SUM(L884:L889)=0,0,SUM(I884:I889)/SUM(L884:L889))</f>
        <v/>
      </c>
      <c r="J883" s="6">
        <f>IF(SUM(L884:L889)=0,0,SUM(J884:J889)/SUM(L884:L889))</f>
        <v/>
      </c>
      <c r="K883" s="6">
        <f>IF(SUM(L884:L889)=0,0,SUM(K884:K889)/SUM(L884:L889))</f>
        <v/>
      </c>
    </row>
    <row r="884" spans="1:12">
      <c r="A884" s="4" t="s">
        <v>76</v>
      </c>
      <c r="B884" s="7">
        <v>0</v>
      </c>
      <c r="C884" s="6">
        <f>IF(L884=1,1.0,0)</f>
        <v/>
      </c>
      <c r="D884" s="6">
        <f>IF(L884=1,0.9,0)</f>
        <v/>
      </c>
      <c r="E884" s="6">
        <f>IF(L884=1,0.8,0)</f>
        <v/>
      </c>
      <c r="F884" s="6">
        <f>IF(L884=1,0.7,0)</f>
        <v/>
      </c>
      <c r="G884" s="5" t="s">
        <v>17</v>
      </c>
      <c r="H884" s="5" t="s">
        <v>17</v>
      </c>
      <c r="I884" s="5" t="s">
        <v>17</v>
      </c>
      <c r="J884" s="5" t="s">
        <v>17</v>
      </c>
      <c r="K884" s="5" t="s">
        <v>17</v>
      </c>
      <c r="L884" s="8">
        <f>IF(OR(LOOKUP(A884,characters!A:A,characters!B:B)=-1, LOOKUP(A884,characters!A:A,characters!B:B)+0.1&gt;=B884),1,0)</f>
        <v/>
      </c>
    </row>
    <row r="885" spans="1:12">
      <c r="A885" s="4" t="s">
        <v>70</v>
      </c>
      <c r="B885" s="7">
        <v>0</v>
      </c>
      <c r="C885" s="6">
        <f>IF(L885=1,1.0,0)</f>
        <v/>
      </c>
      <c r="D885" s="6">
        <f>IF(L885=1,0.9,0)</f>
        <v/>
      </c>
      <c r="E885" s="6">
        <f>IF(L885=1,0.8,0)</f>
        <v/>
      </c>
      <c r="F885" s="5" t="s">
        <v>17</v>
      </c>
      <c r="G885" s="5" t="s">
        <v>17</v>
      </c>
      <c r="H885" s="5" t="s">
        <v>17</v>
      </c>
      <c r="I885" s="5" t="s">
        <v>17</v>
      </c>
      <c r="J885" s="5" t="s">
        <v>17</v>
      </c>
      <c r="K885" s="5" t="s">
        <v>17</v>
      </c>
      <c r="L885" s="8">
        <f>IF(OR(LOOKUP(A885,characters!A:A,characters!B:B)=-1, LOOKUP(A885,characters!A:A,characters!B:B)+0.1&gt;=B885),1,0)</f>
        <v/>
      </c>
    </row>
    <row r="886" spans="1:12">
      <c r="A886" s="4" t="s">
        <v>41</v>
      </c>
      <c r="B886" s="7">
        <v>0</v>
      </c>
      <c r="C886" s="6">
        <f>IF(L886=1,1.0,0)</f>
        <v/>
      </c>
      <c r="D886" s="6">
        <f>IF(L886=1,1.0,0)</f>
        <v/>
      </c>
      <c r="E886" s="5" t="s">
        <v>17</v>
      </c>
      <c r="F886" s="6">
        <f>IF(L886=1,0.9,0)</f>
        <v/>
      </c>
      <c r="G886" s="6">
        <f>IF(L886=1,0.9,0)</f>
        <v/>
      </c>
      <c r="H886" s="6">
        <f>IF(L886=1,0.9,0)</f>
        <v/>
      </c>
      <c r="I886" s="5" t="s">
        <v>17</v>
      </c>
      <c r="J886" s="5" t="s">
        <v>17</v>
      </c>
      <c r="K886" s="6">
        <f>IF(L886=1,0.8,0)</f>
        <v/>
      </c>
      <c r="L886" s="8">
        <f>IF(OR(LOOKUP(A886,characters!A:A,characters!B:B)=-1, LOOKUP(A886,characters!A:A,characters!B:B)+0.1&gt;=B886),1,0)</f>
        <v/>
      </c>
    </row>
    <row r="887" spans="1:12">
      <c r="A887" s="4" t="s">
        <v>53</v>
      </c>
      <c r="B887" s="7">
        <v>2</v>
      </c>
      <c r="C887" s="6">
        <f>IF(L887=1,1.0,0)</f>
        <v/>
      </c>
      <c r="D887" s="6">
        <f>IF(L887=1,1.0,0)</f>
        <v/>
      </c>
      <c r="E887" s="6">
        <f>IF(L887=1,0.89,0)</f>
        <v/>
      </c>
      <c r="F887" s="6">
        <f>IF(L887=1,0.9,0)</f>
        <v/>
      </c>
      <c r="G887" s="5" t="s">
        <v>17</v>
      </c>
      <c r="H887" s="5" t="s">
        <v>17</v>
      </c>
      <c r="I887" s="5" t="s">
        <v>17</v>
      </c>
      <c r="J887" s="5" t="s">
        <v>17</v>
      </c>
      <c r="K887" s="5" t="s">
        <v>17</v>
      </c>
      <c r="L887" s="8">
        <f>IF(OR(LOOKUP(A887,characters!A:A,characters!B:B)=-1, LOOKUP(A887,characters!A:A,characters!B:B)+0.1&gt;=B887),1,0)</f>
        <v/>
      </c>
    </row>
    <row r="888" spans="1:12">
      <c r="A888" s="4" t="s">
        <v>75</v>
      </c>
      <c r="B888" s="7">
        <v>2</v>
      </c>
      <c r="C888" s="6">
        <f>IF(L888=1,1.0,0)</f>
        <v/>
      </c>
      <c r="D888" s="6">
        <f>IF(L888=1,1.0,0)</f>
        <v/>
      </c>
      <c r="E888" s="6">
        <f>IF(L888=1,0.9,0)</f>
        <v/>
      </c>
      <c r="F888" s="6">
        <f>IF(L888=1,0.8,0)</f>
        <v/>
      </c>
      <c r="G888" s="5" t="s">
        <v>17</v>
      </c>
      <c r="H888" s="5" t="s">
        <v>17</v>
      </c>
      <c r="I888" s="5" t="s">
        <v>17</v>
      </c>
      <c r="J888" s="5" t="s">
        <v>17</v>
      </c>
      <c r="K888" s="5" t="s">
        <v>17</v>
      </c>
      <c r="L888" s="8">
        <f>IF(OR(LOOKUP(A888,characters!A:A,characters!B:B)=-1, LOOKUP(A888,characters!A:A,characters!B:B)+0.1&gt;=B888),1,0)</f>
        <v/>
      </c>
    </row>
    <row r="889" spans="1:12">
      <c r="A889" s="4" t="s">
        <v>90</v>
      </c>
      <c r="B889" s="7">
        <v>3</v>
      </c>
      <c r="C889" s="6">
        <f>IF(L889=1,1.0,0)</f>
        <v/>
      </c>
      <c r="D889" s="6">
        <f>IF(L889=1,1.0,0)</f>
        <v/>
      </c>
      <c r="E889" s="6">
        <f>IF(L889=1,0.8,0)</f>
        <v/>
      </c>
      <c r="F889" s="5" t="s">
        <v>17</v>
      </c>
      <c r="G889" s="5" t="s">
        <v>17</v>
      </c>
      <c r="H889" s="5" t="s">
        <v>17</v>
      </c>
      <c r="I889" s="6">
        <f>IF(L889=1,0.9,0)</f>
        <v/>
      </c>
      <c r="J889" s="6">
        <f>IF(L889=1,0.9,0)</f>
        <v/>
      </c>
      <c r="K889" s="5" t="s">
        <v>17</v>
      </c>
      <c r="L889" s="8">
        <f>IF(OR(LOOKUP(A889,characters!A:A,characters!B:B)=-1, LOOKUP(A889,characters!A:A,characters!B:B)+0.1&gt;=B889),1,0)</f>
        <v/>
      </c>
    </row>
    <row r="891" spans="1:12">
      <c r="A891" s="3" t="s">
        <v>30</v>
      </c>
      <c r="B891" s="3" t="s">
        <v>9</v>
      </c>
      <c r="C891" s="3" t="s">
        <v>64</v>
      </c>
      <c r="D891" s="3" t="s">
        <v>11</v>
      </c>
      <c r="E891" s="3" t="s">
        <v>65</v>
      </c>
      <c r="F891" s="3" t="s">
        <v>63</v>
      </c>
      <c r="G891" s="3" t="s">
        <v>46</v>
      </c>
      <c r="H891" s="3" t="s">
        <v>27</v>
      </c>
      <c r="I891" s="3" t="s">
        <v>45</v>
      </c>
    </row>
    <row r="892" spans="1:12">
      <c r="A892" s="4" t="s">
        <v>16</v>
      </c>
      <c r="B892" s="5" t="s">
        <v>17</v>
      </c>
      <c r="C892" s="6">
        <f>IF(SUM(J893:J898)=0,0,SUM(C893:C898)/SUM(J893:J898))</f>
        <v/>
      </c>
      <c r="D892" s="6">
        <f>IF(SUM(J893:J898)=0,0,SUM(D893:D898)/SUM(J893:J898))</f>
        <v/>
      </c>
      <c r="E892" s="6">
        <f>IF(SUM(J893:J898)=0,0,SUM(E893:E898)/SUM(J893:J898))</f>
        <v/>
      </c>
      <c r="F892" s="6">
        <f>IF(SUM(J893:J898)=0,0,SUM(F893:F898)/SUM(J893:J898))</f>
        <v/>
      </c>
      <c r="G892" s="6">
        <f>IF(SUM(J893:J898)=0,0,SUM(G893:G898)/SUM(J893:J898))</f>
        <v/>
      </c>
      <c r="H892" s="6">
        <f>IF(SUM(J893:J898)=0,0,SUM(H893:H898)/SUM(J893:J898))</f>
        <v/>
      </c>
      <c r="I892" s="6">
        <f>IF(SUM(J893:J898)=0,0,SUM(I893:I898)/SUM(J893:J898))</f>
        <v/>
      </c>
    </row>
    <row r="893" spans="1:12">
      <c r="A893" s="4" t="s">
        <v>76</v>
      </c>
      <c r="B893" s="7">
        <v>0</v>
      </c>
      <c r="C893" s="6">
        <f>IF(J893=1,1.0,0)</f>
        <v/>
      </c>
      <c r="D893" s="6">
        <f>IF(J893=1,0.9,0)</f>
        <v/>
      </c>
      <c r="E893" s="5" t="s">
        <v>17</v>
      </c>
      <c r="F893" s="5" t="s">
        <v>17</v>
      </c>
      <c r="G893" s="5" t="s">
        <v>17</v>
      </c>
      <c r="H893" s="5" t="s">
        <v>17</v>
      </c>
      <c r="I893" s="5" t="s">
        <v>17</v>
      </c>
      <c r="J893" s="8">
        <f>IF(OR(LOOKUP(A893,characters!A:A,characters!B:B)=-1, LOOKUP(A893,characters!A:A,characters!B:B)+0.1&gt;=B893),1,0)</f>
        <v/>
      </c>
    </row>
    <row r="894" spans="1:12">
      <c r="A894" s="4" t="s">
        <v>70</v>
      </c>
      <c r="B894" s="7">
        <v>0</v>
      </c>
      <c r="C894" s="5" t="s">
        <v>17</v>
      </c>
      <c r="D894" s="5" t="s">
        <v>17</v>
      </c>
      <c r="E894" s="6">
        <f>IF(J894=1,1.0,0)</f>
        <v/>
      </c>
      <c r="F894" s="5" t="s">
        <v>17</v>
      </c>
      <c r="G894" s="5" t="s">
        <v>17</v>
      </c>
      <c r="H894" s="5" t="s">
        <v>17</v>
      </c>
      <c r="I894" s="5" t="s">
        <v>17</v>
      </c>
      <c r="J894" s="8">
        <f>IF(OR(LOOKUP(A894,characters!A:A,characters!B:B)=-1, LOOKUP(A894,characters!A:A,characters!B:B)+0.1&gt;=B894),1,0)</f>
        <v/>
      </c>
    </row>
    <row r="895" spans="1:12">
      <c r="A895" s="4" t="s">
        <v>53</v>
      </c>
      <c r="B895" s="7">
        <v>2</v>
      </c>
      <c r="C895" s="5" t="s">
        <v>17</v>
      </c>
      <c r="D895" s="6">
        <f>IF(J895=1,0.9,0)</f>
        <v/>
      </c>
      <c r="E895" s="5" t="s">
        <v>17</v>
      </c>
      <c r="F895" s="6">
        <f>IF(J895=1,1.0,0)</f>
        <v/>
      </c>
      <c r="G895" s="5" t="s">
        <v>17</v>
      </c>
      <c r="H895" s="5" t="s">
        <v>17</v>
      </c>
      <c r="I895" s="5" t="s">
        <v>17</v>
      </c>
      <c r="J895" s="8">
        <f>IF(OR(LOOKUP(A895,characters!A:A,characters!B:B)=-1, LOOKUP(A895,characters!A:A,characters!B:B)+0.1&gt;=B895),1,0)</f>
        <v/>
      </c>
    </row>
    <row r="896" spans="1:12">
      <c r="A896" s="4" t="s">
        <v>75</v>
      </c>
      <c r="B896" s="7">
        <v>2</v>
      </c>
      <c r="C896" s="6">
        <f>IF(J896=1,1.0,0)</f>
        <v/>
      </c>
      <c r="D896" s="6">
        <f>IF(J896=1,0.9,0)</f>
        <v/>
      </c>
      <c r="E896" s="5" t="s">
        <v>17</v>
      </c>
      <c r="F896" s="5" t="s">
        <v>17</v>
      </c>
      <c r="G896" s="5" t="s">
        <v>17</v>
      </c>
      <c r="H896" s="5" t="s">
        <v>17</v>
      </c>
      <c r="I896" s="5" t="s">
        <v>17</v>
      </c>
      <c r="J896" s="8">
        <f>IF(OR(LOOKUP(A896,characters!A:A,characters!B:B)=-1, LOOKUP(A896,characters!A:A,characters!B:B)+0.1&gt;=B896),1,0)</f>
        <v/>
      </c>
    </row>
    <row r="897" spans="1:10">
      <c r="A897" s="4" t="s">
        <v>41</v>
      </c>
      <c r="B897" s="7">
        <v>0</v>
      </c>
      <c r="C897" s="5" t="s">
        <v>17</v>
      </c>
      <c r="D897" s="5" t="s">
        <v>17</v>
      </c>
      <c r="E897" s="5" t="s">
        <v>17</v>
      </c>
      <c r="F897" s="5" t="s">
        <v>17</v>
      </c>
      <c r="G897" s="6">
        <f>IF(J897=1,1.0,0)</f>
        <v/>
      </c>
      <c r="H897" s="6">
        <f>IF(J897=1,0.9,0)</f>
        <v/>
      </c>
      <c r="I897" s="5" t="s">
        <v>17</v>
      </c>
      <c r="J897" s="8">
        <f>IF(OR(LOOKUP(A897,characters!A:A,characters!B:B)=-1, LOOKUP(A897,characters!A:A,characters!B:B)+0.1&gt;=B897),1,0)</f>
        <v/>
      </c>
    </row>
    <row r="898" spans="1:10">
      <c r="A898" s="4" t="s">
        <v>90</v>
      </c>
      <c r="B898" s="7">
        <v>3</v>
      </c>
      <c r="C898" s="5" t="s">
        <v>17</v>
      </c>
      <c r="D898" s="6">
        <f>IF(J898=1,0.9,0)</f>
        <v/>
      </c>
      <c r="E898" s="5" t="s">
        <v>17</v>
      </c>
      <c r="F898" s="5" t="s">
        <v>17</v>
      </c>
      <c r="G898" s="5" t="s">
        <v>17</v>
      </c>
      <c r="H898" s="5" t="s">
        <v>17</v>
      </c>
      <c r="I898" s="6">
        <f>IF(J898=1,1.0,0)</f>
        <v/>
      </c>
      <c r="J898" s="8">
        <f>IF(OR(LOOKUP(A898,characters!A:A,characters!B:B)=-1, LOOKUP(A898,characters!A:A,characters!B:B)+0.1&gt;=B898),1,0)</f>
        <v/>
      </c>
    </row>
    <row r="900" spans="1:10">
      <c r="A900" s="3" t="s">
        <v>31</v>
      </c>
      <c r="B900" s="3" t="s">
        <v>9</v>
      </c>
      <c r="C900" s="3" t="s">
        <v>11</v>
      </c>
      <c r="D900" s="3" t="s">
        <v>32</v>
      </c>
      <c r="E900" s="3" t="s">
        <v>15</v>
      </c>
    </row>
    <row r="901" spans="1:10">
      <c r="A901" s="4" t="s">
        <v>16</v>
      </c>
      <c r="B901" s="5" t="s">
        <v>17</v>
      </c>
      <c r="C901" s="6">
        <f>IF(SUM(F902:F907)=0,0,SUM(C902:C907)/SUM(F902:F907))</f>
        <v/>
      </c>
      <c r="D901" s="6">
        <f>IF(SUM(F902:F907)=0,0,SUM(D902:D907)/SUM(F902:F907))</f>
        <v/>
      </c>
      <c r="E901" s="6">
        <f>IF(SUM(F902:F907)=0,0,SUM(E902:E907)/SUM(F902:F907))</f>
        <v/>
      </c>
    </row>
    <row r="902" spans="1:10">
      <c r="A902" s="4" t="s">
        <v>76</v>
      </c>
      <c r="B902" s="7">
        <v>0</v>
      </c>
      <c r="C902" s="6">
        <f>IF(F902=1,1.0,0)</f>
        <v/>
      </c>
      <c r="D902" s="5" t="s">
        <v>17</v>
      </c>
      <c r="E902" s="5" t="s">
        <v>17</v>
      </c>
      <c r="F902" s="8">
        <f>IF(OR(LOOKUP(A902,characters!A:A,characters!B:B)=-1, LOOKUP(A902,characters!A:A,characters!B:B)+0.1&gt;=B902),1,0)</f>
        <v/>
      </c>
    </row>
    <row r="903" spans="1:10">
      <c r="A903" s="4" t="s">
        <v>70</v>
      </c>
      <c r="B903" s="7">
        <v>0</v>
      </c>
      <c r="C903" s="5" t="s">
        <v>17</v>
      </c>
      <c r="D903" s="6">
        <f>IF(F903=1,1.0,0)</f>
        <v/>
      </c>
      <c r="E903" s="5" t="s">
        <v>17</v>
      </c>
      <c r="F903" s="8">
        <f>IF(OR(LOOKUP(A903,characters!A:A,characters!B:B)=-1, LOOKUP(A903,characters!A:A,characters!B:B)+0.1&gt;=B903),1,0)</f>
        <v/>
      </c>
    </row>
    <row r="904" spans="1:10">
      <c r="A904" s="4" t="s">
        <v>53</v>
      </c>
      <c r="B904" s="7">
        <v>2</v>
      </c>
      <c r="C904" s="6">
        <f>IF(F904=1,0.99,0)</f>
        <v/>
      </c>
      <c r="D904" s="5" t="s">
        <v>17</v>
      </c>
      <c r="E904" s="6">
        <f>IF(F904=1,1.0,0)</f>
        <v/>
      </c>
      <c r="F904" s="8">
        <f>IF(OR(LOOKUP(A904,characters!A:A,characters!B:B)=-1, LOOKUP(A904,characters!A:A,characters!B:B)+0.1&gt;=B904),1,0)</f>
        <v/>
      </c>
    </row>
    <row r="905" spans="1:10">
      <c r="A905" s="4" t="s">
        <v>75</v>
      </c>
      <c r="B905" s="7">
        <v>2</v>
      </c>
      <c r="C905" s="6">
        <f>IF(F905=1,1.0,0)</f>
        <v/>
      </c>
      <c r="D905" s="5" t="s">
        <v>17</v>
      </c>
      <c r="E905" s="5" t="s">
        <v>17</v>
      </c>
      <c r="F905" s="8">
        <f>IF(OR(LOOKUP(A905,characters!A:A,characters!B:B)=-1, LOOKUP(A905,characters!A:A,characters!B:B)+0.1&gt;=B905),1,0)</f>
        <v/>
      </c>
    </row>
    <row r="906" spans="1:10">
      <c r="A906" s="4" t="s">
        <v>41</v>
      </c>
      <c r="B906" s="7">
        <v>0</v>
      </c>
      <c r="C906" s="5" t="s">
        <v>17</v>
      </c>
      <c r="D906" s="6">
        <f>IF(F906=1,1.0,0)</f>
        <v/>
      </c>
      <c r="E906" s="5" t="s">
        <v>17</v>
      </c>
      <c r="F906" s="8">
        <f>IF(OR(LOOKUP(A906,characters!A:A,characters!B:B)=-1, LOOKUP(A906,characters!A:A,characters!B:B)+0.1&gt;=B906),1,0)</f>
        <v/>
      </c>
    </row>
    <row r="907" spans="1:10">
      <c r="A907" s="4" t="s">
        <v>90</v>
      </c>
      <c r="B907" s="7">
        <v>3</v>
      </c>
      <c r="C907" s="6">
        <f>IF(F907=1,1.0,0)</f>
        <v/>
      </c>
      <c r="D907" s="5" t="s">
        <v>17</v>
      </c>
      <c r="E907" s="5" t="s">
        <v>17</v>
      </c>
      <c r="F907" s="8">
        <f>IF(OR(LOOKUP(A907,characters!A:A,characters!B:B)=-1, LOOKUP(A907,characters!A:A,characters!B:B)+0.1&gt;=B907),1,0)</f>
        <v/>
      </c>
    </row>
    <row r="914" spans="1:9">
      <c r="A914" s="3" t="s">
        <v>122</v>
      </c>
    </row>
    <row r="915" spans="1:9">
      <c r="A915" s="3" t="s">
        <v>8</v>
      </c>
      <c r="B915" s="3" t="s">
        <v>9</v>
      </c>
      <c r="C915" s="3" t="s">
        <v>10</v>
      </c>
      <c r="D915" s="3" t="s">
        <v>27</v>
      </c>
      <c r="E915" s="3" t="s">
        <v>28</v>
      </c>
      <c r="F915" s="3" t="s">
        <v>26</v>
      </c>
      <c r="G915" s="3" t="s">
        <v>11</v>
      </c>
      <c r="H915" s="3" t="s">
        <v>15</v>
      </c>
    </row>
    <row r="916" spans="1:9">
      <c r="A916" s="4" t="s">
        <v>16</v>
      </c>
      <c r="B916" s="5" t="s">
        <v>17</v>
      </c>
      <c r="C916" s="6">
        <f>IF(SUM(I917:I922)=0,0,SUM(C917:C922)/SUM(I917:I922))</f>
        <v/>
      </c>
      <c r="D916" s="6">
        <f>IF(SUM(I917:I922)=0,0,SUM(D917:D922)/SUM(I917:I922))</f>
        <v/>
      </c>
      <c r="E916" s="6">
        <f>IF(SUM(I917:I922)=0,0,SUM(E917:E922)/SUM(I917:I922))</f>
        <v/>
      </c>
      <c r="F916" s="6">
        <f>IF(SUM(I917:I922)=0,0,SUM(F917:F922)/SUM(I917:I922))</f>
        <v/>
      </c>
      <c r="G916" s="6">
        <f>IF(SUM(I917:I922)=0,0,SUM(G917:G922)/SUM(I917:I922))</f>
        <v/>
      </c>
      <c r="H916" s="6">
        <f>IF(SUM(I917:I922)=0,0,SUM(H917:H922)/SUM(I917:I922))</f>
        <v/>
      </c>
    </row>
    <row r="917" spans="1:9">
      <c r="A917" s="4" t="s">
        <v>96</v>
      </c>
      <c r="B917" s="7">
        <v>0</v>
      </c>
      <c r="C917" s="6">
        <f>IF(I917=1,1.0,0)</f>
        <v/>
      </c>
      <c r="D917" s="6">
        <f>IF(I917=1,0.9,0)</f>
        <v/>
      </c>
      <c r="E917" s="6">
        <f>IF(I917=1,0.8,0)</f>
        <v/>
      </c>
      <c r="F917" s="6">
        <f>IF(I917=1,0.8,0)</f>
        <v/>
      </c>
      <c r="G917" s="5" t="s">
        <v>17</v>
      </c>
      <c r="H917" s="5" t="s">
        <v>17</v>
      </c>
      <c r="I917" s="8">
        <f>IF(OR(LOOKUP(A917,characters!A:A,characters!B:B)=-1, LOOKUP(A917,characters!A:A,characters!B:B)+0.1&gt;=B917),1,0)</f>
        <v/>
      </c>
    </row>
    <row r="918" spans="1:9">
      <c r="A918" s="4" t="s">
        <v>102</v>
      </c>
      <c r="B918" s="7">
        <v>0</v>
      </c>
      <c r="C918" s="6">
        <f>IF(I918=1,1.0,0)</f>
        <v/>
      </c>
      <c r="D918" s="5" t="s">
        <v>17</v>
      </c>
      <c r="E918" s="5" t="s">
        <v>17</v>
      </c>
      <c r="F918" s="5" t="s">
        <v>17</v>
      </c>
      <c r="G918" s="6">
        <f>IF(I918=1,0.89,0)</f>
        <v/>
      </c>
      <c r="H918" s="6">
        <f>IF(I918=1,0.9,0)</f>
        <v/>
      </c>
      <c r="I918" s="8">
        <f>IF(OR(LOOKUP(A918,characters!A:A,characters!B:B)=-1, LOOKUP(A918,characters!A:A,characters!B:B)+0.1&gt;=B918),1,0)</f>
        <v/>
      </c>
    </row>
    <row r="919" spans="1:9">
      <c r="A919" s="4" t="s">
        <v>95</v>
      </c>
      <c r="B919" s="7">
        <v>2</v>
      </c>
      <c r="C919" s="6">
        <f>IF(I919=1,1.0,0)</f>
        <v/>
      </c>
      <c r="D919" s="6">
        <f>IF(I919=1,0.9,0)</f>
        <v/>
      </c>
      <c r="E919" s="6">
        <f>IF(I919=1,0.8,0)</f>
        <v/>
      </c>
      <c r="F919" s="6">
        <f>IF(I919=1,0.8,0)</f>
        <v/>
      </c>
      <c r="G919" s="5" t="s">
        <v>17</v>
      </c>
      <c r="H919" s="5" t="s">
        <v>17</v>
      </c>
      <c r="I919" s="8">
        <f>IF(OR(LOOKUP(A919,characters!A:A,characters!B:B)=-1, LOOKUP(A919,characters!A:A,characters!B:B)+0.1&gt;=B919),1,0)</f>
        <v/>
      </c>
    </row>
    <row r="920" spans="1:9">
      <c r="A920" s="4" t="s">
        <v>117</v>
      </c>
      <c r="B920" s="7">
        <v>2</v>
      </c>
      <c r="C920" s="6">
        <f>IF(I920=1,1.0,0)</f>
        <v/>
      </c>
      <c r="D920" s="6">
        <f>IF(I920=1,0.8,0)</f>
        <v/>
      </c>
      <c r="E920" s="6">
        <f>IF(I920=1,0.7,0)</f>
        <v/>
      </c>
      <c r="F920" s="6">
        <f>IF(I920=1,0.8,0)</f>
        <v/>
      </c>
      <c r="G920" s="6">
        <f>IF(I920=1,0.9,0)</f>
        <v/>
      </c>
      <c r="H920" s="5" t="s">
        <v>17</v>
      </c>
      <c r="I920" s="8">
        <f>IF(OR(LOOKUP(A920,characters!A:A,characters!B:B)=-1, LOOKUP(A920,characters!A:A,characters!B:B)+0.1&gt;=B920),1,0)</f>
        <v/>
      </c>
    </row>
    <row r="921" spans="1:9">
      <c r="A921" s="4" t="s">
        <v>97</v>
      </c>
      <c r="B921" s="7">
        <v>2</v>
      </c>
      <c r="C921" s="6">
        <f>IF(I921=1,1.0,0)</f>
        <v/>
      </c>
      <c r="D921" s="6">
        <f>IF(I921=1,0.9,0)</f>
        <v/>
      </c>
      <c r="E921" s="6">
        <f>IF(I921=1,0.8,0)</f>
        <v/>
      </c>
      <c r="F921" s="6">
        <f>IF(I921=1,0.7,0)</f>
        <v/>
      </c>
      <c r="G921" s="5" t="s">
        <v>17</v>
      </c>
      <c r="H921" s="5" t="s">
        <v>17</v>
      </c>
      <c r="I921" s="8">
        <f>IF(OR(LOOKUP(A921,characters!A:A,characters!B:B)=-1, LOOKUP(A921,characters!A:A,characters!B:B)+0.1&gt;=B921),1,0)</f>
        <v/>
      </c>
    </row>
    <row r="922" spans="1:9">
      <c r="A922" s="4" t="s">
        <v>98</v>
      </c>
      <c r="B922" s="7">
        <v>2</v>
      </c>
      <c r="C922" s="6">
        <f>IF(I922=1,1.0,0)</f>
        <v/>
      </c>
      <c r="D922" s="6">
        <f>IF(I922=1,0.9,0)</f>
        <v/>
      </c>
      <c r="E922" s="6">
        <f>IF(I922=1,0.8,0)</f>
        <v/>
      </c>
      <c r="F922" s="6">
        <f>IF(I922=1,0.8,0)</f>
        <v/>
      </c>
      <c r="G922" s="5" t="s">
        <v>17</v>
      </c>
      <c r="H922" s="5" t="s">
        <v>17</v>
      </c>
      <c r="I922" s="8">
        <f>IF(OR(LOOKUP(A922,characters!A:A,characters!B:B)=-1, LOOKUP(A922,characters!A:A,characters!B:B)+0.1&gt;=B922),1,0)</f>
        <v/>
      </c>
    </row>
    <row r="924" spans="1:9">
      <c r="A924" s="3" t="s">
        <v>23</v>
      </c>
      <c r="B924" s="3" t="s">
        <v>9</v>
      </c>
      <c r="C924" s="3" t="s">
        <v>109</v>
      </c>
      <c r="D924" s="3" t="s">
        <v>27</v>
      </c>
    </row>
    <row r="925" spans="1:9">
      <c r="A925" s="4" t="s">
        <v>16</v>
      </c>
      <c r="B925" s="5" t="s">
        <v>17</v>
      </c>
      <c r="C925" s="6">
        <f>IF(SUM(E926:E931)=0,0,SUM(C926:C931)/SUM(E926:E931))</f>
        <v/>
      </c>
      <c r="D925" s="6">
        <f>IF(SUM(E926:E931)=0,0,SUM(D926:D931)/SUM(E926:E931))</f>
        <v/>
      </c>
    </row>
    <row r="926" spans="1:9">
      <c r="A926" s="4" t="s">
        <v>95</v>
      </c>
      <c r="B926" s="7">
        <v>2</v>
      </c>
      <c r="C926" s="6">
        <f>IF(E926=1,1.0,0)</f>
        <v/>
      </c>
      <c r="D926" s="6">
        <f>IF(E926=1,0.9,0)</f>
        <v/>
      </c>
      <c r="E926" s="8">
        <f>IF(OR(LOOKUP(A926,characters!A:A,characters!B:B)=-1, LOOKUP(A926,characters!A:A,characters!B:B)+0.1&gt;=B926),1,0)</f>
        <v/>
      </c>
    </row>
    <row r="927" spans="1:9">
      <c r="A927" s="4" t="s">
        <v>96</v>
      </c>
      <c r="B927" s="7">
        <v>0</v>
      </c>
      <c r="C927" s="6">
        <f>IF(E927=1,1.0,0)</f>
        <v/>
      </c>
      <c r="D927" s="6">
        <f>IF(E927=1,0.9,0)</f>
        <v/>
      </c>
      <c r="E927" s="8">
        <f>IF(OR(LOOKUP(A927,characters!A:A,characters!B:B)=-1, LOOKUP(A927,characters!A:A,characters!B:B)+0.1&gt;=B927),1,0)</f>
        <v/>
      </c>
    </row>
    <row r="928" spans="1:9">
      <c r="A928" s="4" t="s">
        <v>102</v>
      </c>
      <c r="B928" s="7">
        <v>0</v>
      </c>
      <c r="C928" s="6">
        <f>IF(E928=1,1.0,0)</f>
        <v/>
      </c>
      <c r="D928" s="5" t="s">
        <v>17</v>
      </c>
      <c r="E928" s="8">
        <f>IF(OR(LOOKUP(A928,characters!A:A,characters!B:B)=-1, LOOKUP(A928,characters!A:A,characters!B:B)+0.1&gt;=B928),1,0)</f>
        <v/>
      </c>
    </row>
    <row r="929" spans="1:5">
      <c r="A929" s="4" t="s">
        <v>117</v>
      </c>
      <c r="B929" s="7">
        <v>2</v>
      </c>
      <c r="C929" s="6">
        <f>IF(E929=1,1.0,0)</f>
        <v/>
      </c>
      <c r="D929" s="5" t="s">
        <v>17</v>
      </c>
      <c r="E929" s="8">
        <f>IF(OR(LOOKUP(A929,characters!A:A,characters!B:B)=-1, LOOKUP(A929,characters!A:A,characters!B:B)+0.1&gt;=B929),1,0)</f>
        <v/>
      </c>
    </row>
    <row r="930" spans="1:5">
      <c r="A930" s="4" t="s">
        <v>97</v>
      </c>
      <c r="B930" s="7">
        <v>2</v>
      </c>
      <c r="C930" s="6">
        <f>IF(E930=1,1.0,0)</f>
        <v/>
      </c>
      <c r="D930" s="6">
        <f>IF(E930=1,0.9,0)</f>
        <v/>
      </c>
      <c r="E930" s="8">
        <f>IF(OR(LOOKUP(A930,characters!A:A,characters!B:B)=-1, LOOKUP(A930,characters!A:A,characters!B:B)+0.1&gt;=B930),1,0)</f>
        <v/>
      </c>
    </row>
    <row r="931" spans="1:5">
      <c r="A931" s="4" t="s">
        <v>98</v>
      </c>
      <c r="B931" s="7">
        <v>2</v>
      </c>
      <c r="C931" s="6">
        <f>IF(E931=1,1.0,0)</f>
        <v/>
      </c>
      <c r="D931" s="6">
        <f>IF(E931=1,0.9,0)</f>
        <v/>
      </c>
      <c r="E931" s="8">
        <f>IF(OR(LOOKUP(A931,characters!A:A,characters!B:B)=-1, LOOKUP(A931,characters!A:A,characters!B:B)+0.1&gt;=B931),1,0)</f>
        <v/>
      </c>
    </row>
    <row r="933" spans="1:5">
      <c r="A933" s="3" t="s">
        <v>24</v>
      </c>
      <c r="B933" s="3" t="s">
        <v>9</v>
      </c>
      <c r="C933" s="3" t="s">
        <v>10</v>
      </c>
    </row>
    <row r="934" spans="1:5">
      <c r="A934" s="4" t="s">
        <v>16</v>
      </c>
      <c r="B934" s="5" t="s">
        <v>17</v>
      </c>
      <c r="C934" s="6">
        <f>IF(SUM(D935:D940)=0,0,SUM(C935:C940)/SUM(D935:D940))</f>
        <v/>
      </c>
    </row>
    <row r="935" spans="1:5">
      <c r="A935" s="4" t="s">
        <v>95</v>
      </c>
      <c r="B935" s="7">
        <v>2</v>
      </c>
      <c r="C935" s="6">
        <f>IF(D935=1,1.0,0)</f>
        <v/>
      </c>
      <c r="D935" s="8">
        <f>IF(OR(LOOKUP(A935,characters!A:A,characters!B:B)=-1, LOOKUP(A935,characters!A:A,characters!B:B)+0.1&gt;=B935),1,0)</f>
        <v/>
      </c>
    </row>
    <row r="936" spans="1:5">
      <c r="A936" s="4" t="s">
        <v>96</v>
      </c>
      <c r="B936" s="7">
        <v>0</v>
      </c>
      <c r="C936" s="6">
        <f>IF(D936=1,1.0,0)</f>
        <v/>
      </c>
      <c r="D936" s="8">
        <f>IF(OR(LOOKUP(A936,characters!A:A,characters!B:B)=-1, LOOKUP(A936,characters!A:A,characters!B:B)+0.1&gt;=B936),1,0)</f>
        <v/>
      </c>
    </row>
    <row r="937" spans="1:5">
      <c r="A937" s="4" t="s">
        <v>102</v>
      </c>
      <c r="B937" s="7">
        <v>0</v>
      </c>
      <c r="C937" s="6">
        <f>IF(D937=1,1.0,0)</f>
        <v/>
      </c>
      <c r="D937" s="8">
        <f>IF(OR(LOOKUP(A937,characters!A:A,characters!B:B)=-1, LOOKUP(A937,characters!A:A,characters!B:B)+0.1&gt;=B937),1,0)</f>
        <v/>
      </c>
    </row>
    <row r="938" spans="1:5">
      <c r="A938" s="4" t="s">
        <v>117</v>
      </c>
      <c r="B938" s="7">
        <v>2</v>
      </c>
      <c r="C938" s="6">
        <f>IF(D938=1,1.0,0)</f>
        <v/>
      </c>
      <c r="D938" s="8">
        <f>IF(OR(LOOKUP(A938,characters!A:A,characters!B:B)=-1, LOOKUP(A938,characters!A:A,characters!B:B)+0.1&gt;=B938),1,0)</f>
        <v/>
      </c>
    </row>
    <row r="939" spans="1:5">
      <c r="A939" s="4" t="s">
        <v>97</v>
      </c>
      <c r="B939" s="7">
        <v>2</v>
      </c>
      <c r="C939" s="6">
        <f>IF(D939=1,1.0,0)</f>
        <v/>
      </c>
      <c r="D939" s="8">
        <f>IF(OR(LOOKUP(A939,characters!A:A,characters!B:B)=-1, LOOKUP(A939,characters!A:A,characters!B:B)+0.1&gt;=B939),1,0)</f>
        <v/>
      </c>
    </row>
    <row r="940" spans="1:5">
      <c r="A940" s="4" t="s">
        <v>98</v>
      </c>
      <c r="B940" s="7">
        <v>2</v>
      </c>
      <c r="C940" s="6">
        <f>IF(D940=1,1.0,0)</f>
        <v/>
      </c>
      <c r="D940" s="8">
        <f>IF(OR(LOOKUP(A940,characters!A:A,characters!B:B)=-1, LOOKUP(A940,characters!A:A,characters!B:B)+0.1&gt;=B940),1,0)</f>
        <v/>
      </c>
    </row>
    <row r="947" spans="1:11">
      <c r="A947" s="3" t="s">
        <v>123</v>
      </c>
    </row>
    <row r="948" spans="1:11">
      <c r="A948" s="3" t="s">
        <v>8</v>
      </c>
      <c r="B948" s="3" t="s">
        <v>9</v>
      </c>
      <c r="C948" s="3" t="s">
        <v>10</v>
      </c>
      <c r="D948" s="3" t="s">
        <v>13</v>
      </c>
      <c r="E948" s="3" t="s">
        <v>12</v>
      </c>
      <c r="F948" s="3" t="s">
        <v>11</v>
      </c>
      <c r="G948" s="3" t="s">
        <v>14</v>
      </c>
      <c r="H948" s="3" t="s">
        <v>15</v>
      </c>
      <c r="I948" s="3" t="s">
        <v>26</v>
      </c>
      <c r="J948" s="3" t="s">
        <v>28</v>
      </c>
    </row>
    <row r="949" spans="1:11">
      <c r="A949" s="4" t="s">
        <v>16</v>
      </c>
      <c r="B949" s="5" t="s">
        <v>17</v>
      </c>
      <c r="C949" s="6">
        <f>IF(SUM(K950:K961)=0,0,SUM(C950:C961)/SUM(K950:K961))</f>
        <v/>
      </c>
      <c r="D949" s="6">
        <f>IF(SUM(K950:K961)=0,0,SUM(D950:D961)/SUM(K950:K961))</f>
        <v/>
      </c>
      <c r="E949" s="6">
        <f>IF(SUM(K950:K961)=0,0,SUM(E950:E961)/SUM(K950:K961))</f>
        <v/>
      </c>
      <c r="F949" s="6">
        <f>IF(SUM(K950:K961)=0,0,SUM(F950:F961)/SUM(K950:K961))</f>
        <v/>
      </c>
      <c r="G949" s="6">
        <f>IF(SUM(K950:K961)=0,0,SUM(G950:G961)/SUM(K950:K961))</f>
        <v/>
      </c>
      <c r="H949" s="6">
        <f>IF(SUM(K950:K961)=0,0,SUM(H950:H961)/SUM(K950:K961))</f>
        <v/>
      </c>
      <c r="I949" s="6">
        <f>IF(SUM(K950:K961)=0,0,SUM(I950:I961)/SUM(K950:K961))</f>
        <v/>
      </c>
      <c r="J949" s="6">
        <f>IF(SUM(K950:K961)=0,0,SUM(J950:J961)/SUM(K950:K961))</f>
        <v/>
      </c>
    </row>
    <row r="950" spans="1:11">
      <c r="A950" s="4" t="s">
        <v>22</v>
      </c>
      <c r="B950" s="7">
        <v>0</v>
      </c>
      <c r="C950" s="6">
        <f>IF(K950=1,1.0,0)</f>
        <v/>
      </c>
      <c r="D950" s="6">
        <f>IF(K950=1,0.9,0)</f>
        <v/>
      </c>
      <c r="E950" s="6">
        <f>IF(K950=1,0.9,0)</f>
        <v/>
      </c>
      <c r="F950" s="6">
        <f>IF(K950=1,0.8,0)</f>
        <v/>
      </c>
      <c r="G950" s="5" t="s">
        <v>17</v>
      </c>
      <c r="H950" s="5" t="s">
        <v>17</v>
      </c>
      <c r="I950" s="5" t="s">
        <v>17</v>
      </c>
      <c r="J950" s="5" t="s">
        <v>17</v>
      </c>
      <c r="K950" s="8">
        <f>IF(OR(LOOKUP(A950,characters!A:A,characters!B:B)=-1, LOOKUP(A950,characters!A:A,characters!B:B)+0.1&gt;=B950),1,0)</f>
        <v/>
      </c>
    </row>
    <row r="951" spans="1:11">
      <c r="A951" s="4" t="s">
        <v>36</v>
      </c>
      <c r="B951" s="7">
        <v>0</v>
      </c>
      <c r="C951" s="6">
        <f>IF(K951=1,0.99,0)</f>
        <v/>
      </c>
      <c r="D951" s="6">
        <f>IF(K951=1,0.89,0)</f>
        <v/>
      </c>
      <c r="E951" s="6">
        <f>IF(K951=1,0.79,0)</f>
        <v/>
      </c>
      <c r="F951" s="5" t="s">
        <v>17</v>
      </c>
      <c r="G951" s="5" t="s">
        <v>17</v>
      </c>
      <c r="H951" s="5" t="s">
        <v>17</v>
      </c>
      <c r="I951" s="6">
        <f>IF(K951=1,1.0,0)</f>
        <v/>
      </c>
      <c r="J951" s="6">
        <f>IF(K951=1,0.69,0)</f>
        <v/>
      </c>
      <c r="K951" s="8">
        <f>IF(OR(LOOKUP(A951,characters!A:A,characters!B:B)=-1, LOOKUP(A951,characters!A:A,characters!B:B)+0.1&gt;=B951),1,0)</f>
        <v/>
      </c>
    </row>
    <row r="952" spans="1:11">
      <c r="A952" s="4" t="s">
        <v>85</v>
      </c>
      <c r="B952" s="7">
        <v>0</v>
      </c>
      <c r="C952" s="6">
        <f>IF(K952=1,1.0,0)</f>
        <v/>
      </c>
      <c r="D952" s="6">
        <f>IF(K952=1,1.0,0)</f>
        <v/>
      </c>
      <c r="E952" s="6">
        <f>IF(K952=1,1.0,0)</f>
        <v/>
      </c>
      <c r="F952" s="6">
        <f>IF(K952=1,0.9,0)</f>
        <v/>
      </c>
      <c r="G952" s="5" t="s">
        <v>17</v>
      </c>
      <c r="H952" s="5" t="s">
        <v>17</v>
      </c>
      <c r="I952" s="5" t="s">
        <v>17</v>
      </c>
      <c r="J952" s="5" t="s">
        <v>17</v>
      </c>
      <c r="K952" s="8">
        <f>IF(OR(LOOKUP(A952,characters!A:A,characters!B:B)=-1, LOOKUP(A952,characters!A:A,characters!B:B)+0.1&gt;=B952),1,0)</f>
        <v/>
      </c>
    </row>
    <row r="953" spans="1:11">
      <c r="A953" s="4" t="s">
        <v>55</v>
      </c>
      <c r="B953" s="7">
        <v>0</v>
      </c>
      <c r="C953" s="6">
        <f>IF(K953=1,1.0,0)</f>
        <v/>
      </c>
      <c r="D953" s="6">
        <f>IF(K953=1,0.9,0)</f>
        <v/>
      </c>
      <c r="E953" s="6">
        <f>IF(K953=1,0.9,0)</f>
        <v/>
      </c>
      <c r="F953" s="6">
        <f>IF(K953=1,0.8,0)</f>
        <v/>
      </c>
      <c r="G953" s="5" t="s">
        <v>17</v>
      </c>
      <c r="H953" s="5" t="s">
        <v>17</v>
      </c>
      <c r="I953" s="5" t="s">
        <v>17</v>
      </c>
      <c r="J953" s="5" t="s">
        <v>17</v>
      </c>
      <c r="K953" s="8">
        <f>IF(OR(LOOKUP(A953,characters!A:A,characters!B:B)=-1, LOOKUP(A953,characters!A:A,characters!B:B)+0.1&gt;=B953),1,0)</f>
        <v/>
      </c>
    </row>
    <row r="954" spans="1:11">
      <c r="A954" s="4" t="s">
        <v>80</v>
      </c>
      <c r="B954" s="7">
        <v>0</v>
      </c>
      <c r="C954" s="6">
        <f>IF(K954=1,1.0,0)</f>
        <v/>
      </c>
      <c r="D954" s="6">
        <f>IF(K954=1,0.9,0)</f>
        <v/>
      </c>
      <c r="E954" s="6">
        <f>IF(K954=1,0.9,0)</f>
        <v/>
      </c>
      <c r="F954" s="6">
        <f>IF(K954=1,0.8,0)</f>
        <v/>
      </c>
      <c r="G954" s="5" t="s">
        <v>17</v>
      </c>
      <c r="H954" s="5" t="s">
        <v>17</v>
      </c>
      <c r="I954" s="5" t="s">
        <v>17</v>
      </c>
      <c r="J954" s="5" t="s">
        <v>17</v>
      </c>
      <c r="K954" s="8">
        <f>IF(OR(LOOKUP(A954,characters!A:A,characters!B:B)=-1, LOOKUP(A954,characters!A:A,characters!B:B)+0.1&gt;=B954),1,0)</f>
        <v/>
      </c>
    </row>
    <row r="955" spans="1:11">
      <c r="A955" s="4" t="s">
        <v>57</v>
      </c>
      <c r="B955" s="7">
        <v>0</v>
      </c>
      <c r="C955" s="6">
        <f>IF(K955=1,1.0,0)</f>
        <v/>
      </c>
      <c r="D955" s="6">
        <f>IF(K955=1,0.99,0)</f>
        <v/>
      </c>
      <c r="E955" s="6">
        <f>IF(K955=1,1.0,0)</f>
        <v/>
      </c>
      <c r="F955" s="6">
        <f>IF(K955=1,0.89,0)</f>
        <v/>
      </c>
      <c r="G955" s="5" t="s">
        <v>17</v>
      </c>
      <c r="H955" s="5" t="s">
        <v>17</v>
      </c>
      <c r="I955" s="5" t="s">
        <v>17</v>
      </c>
      <c r="J955" s="5" t="s">
        <v>17</v>
      </c>
      <c r="K955" s="8">
        <f>IF(OR(LOOKUP(A955,characters!A:A,characters!B:B)=-1, LOOKUP(A955,characters!A:A,characters!B:B)+0.1&gt;=B955),1,0)</f>
        <v/>
      </c>
    </row>
    <row r="956" spans="1:11">
      <c r="A956" s="4" t="s">
        <v>21</v>
      </c>
      <c r="B956" s="7">
        <v>0</v>
      </c>
      <c r="C956" s="6">
        <f>IF(K956=1,1.0,0)</f>
        <v/>
      </c>
      <c r="D956" s="6">
        <f>IF(K956=1,0.9,0)</f>
        <v/>
      </c>
      <c r="E956" s="6">
        <f>IF(K956=1,0.9,0)</f>
        <v/>
      </c>
      <c r="F956" s="6">
        <f>IF(K956=1,0.8,0)</f>
        <v/>
      </c>
      <c r="G956" s="5" t="s">
        <v>17</v>
      </c>
      <c r="H956" s="5" t="s">
        <v>17</v>
      </c>
      <c r="I956" s="5" t="s">
        <v>17</v>
      </c>
      <c r="J956" s="5" t="s">
        <v>17</v>
      </c>
      <c r="K956" s="8">
        <f>IF(OR(LOOKUP(A956,characters!A:A,characters!B:B)=-1, LOOKUP(A956,characters!A:A,characters!B:B)+0.1&gt;=B956),1,0)</f>
        <v/>
      </c>
    </row>
    <row r="957" spans="1:11">
      <c r="A957" s="4" t="s">
        <v>90</v>
      </c>
      <c r="B957" s="7">
        <v>0</v>
      </c>
      <c r="C957" s="6">
        <f>IF(K957=1,1.0,0)</f>
        <v/>
      </c>
      <c r="D957" s="6">
        <f>IF(K957=1,0.9,0)</f>
        <v/>
      </c>
      <c r="E957" s="6">
        <f>IF(K957=1,0.9,0)</f>
        <v/>
      </c>
      <c r="F957" s="6">
        <f>IF(K957=1,0.8,0)</f>
        <v/>
      </c>
      <c r="G957" s="6">
        <f>IF(K957=1,1.0,0)</f>
        <v/>
      </c>
      <c r="H957" s="5" t="s">
        <v>17</v>
      </c>
      <c r="I957" s="5" t="s">
        <v>17</v>
      </c>
      <c r="J957" s="5" t="s">
        <v>17</v>
      </c>
      <c r="K957" s="8">
        <f>IF(OR(LOOKUP(A957,characters!A:A,characters!B:B)=-1, LOOKUP(A957,characters!A:A,characters!B:B)+0.1&gt;=B957),1,0)</f>
        <v/>
      </c>
    </row>
    <row r="958" spans="1:11">
      <c r="A958" s="4" t="s">
        <v>76</v>
      </c>
      <c r="B958" s="7">
        <v>1</v>
      </c>
      <c r="C958" s="6">
        <f>IF(K958=1,0.9,0)</f>
        <v/>
      </c>
      <c r="D958" s="5" t="s">
        <v>17</v>
      </c>
      <c r="E958" s="5" t="s">
        <v>17</v>
      </c>
      <c r="F958" s="6">
        <f>IF(K958=1,0.8,0)</f>
        <v/>
      </c>
      <c r="G958" s="6">
        <f>IF(K958=1,1.0,0)</f>
        <v/>
      </c>
      <c r="H958" s="6">
        <f>IF(K958=1,0.7,0)</f>
        <v/>
      </c>
      <c r="I958" s="5" t="s">
        <v>17</v>
      </c>
      <c r="J958" s="5" t="s">
        <v>17</v>
      </c>
      <c r="K958" s="8">
        <f>IF(OR(LOOKUP(A958,characters!A:A,characters!B:B)=-1, LOOKUP(A958,characters!A:A,characters!B:B)+0.1&gt;=B958),1,0)</f>
        <v/>
      </c>
    </row>
    <row r="959" spans="1:11">
      <c r="A959" s="4" t="s">
        <v>58</v>
      </c>
      <c r="B959" s="7">
        <v>1</v>
      </c>
      <c r="C959" s="6">
        <f>IF(K959=1,1.0,0)</f>
        <v/>
      </c>
      <c r="D959" s="6">
        <f>IF(K959=1,0.9,0)</f>
        <v/>
      </c>
      <c r="E959" s="6">
        <f>IF(K959=1,0.9,0)</f>
        <v/>
      </c>
      <c r="F959" s="6">
        <f>IF(K959=1,0.8,0)</f>
        <v/>
      </c>
      <c r="G959" s="5" t="s">
        <v>17</v>
      </c>
      <c r="H959" s="5" t="s">
        <v>17</v>
      </c>
      <c r="I959" s="5" t="s">
        <v>17</v>
      </c>
      <c r="J959" s="5" t="s">
        <v>17</v>
      </c>
      <c r="K959" s="8">
        <f>IF(OR(LOOKUP(A959,characters!A:A,characters!B:B)=-1, LOOKUP(A959,characters!A:A,characters!B:B)+0.1&gt;=B959),1,0)</f>
        <v/>
      </c>
    </row>
    <row r="960" spans="1:11">
      <c r="A960" s="4" t="s">
        <v>52</v>
      </c>
      <c r="B960" s="7">
        <v>2</v>
      </c>
      <c r="C960" s="6">
        <f>IF(K960=1,1.0,0)</f>
        <v/>
      </c>
      <c r="D960" s="6">
        <f>IF(K960=1,0.89,0)</f>
        <v/>
      </c>
      <c r="E960" s="6">
        <f>IF(K960=1,0.89,0)</f>
        <v/>
      </c>
      <c r="F960" s="6">
        <f>IF(K960=1,0.79,0)</f>
        <v/>
      </c>
      <c r="G960" s="5" t="s">
        <v>17</v>
      </c>
      <c r="H960" s="6">
        <f>IF(K960=1,0.9,0)</f>
        <v/>
      </c>
      <c r="I960" s="5" t="s">
        <v>17</v>
      </c>
      <c r="J960" s="5" t="s">
        <v>17</v>
      </c>
      <c r="K960" s="8">
        <f>IF(OR(LOOKUP(A960,characters!A:A,characters!B:B)=-1, LOOKUP(A960,characters!A:A,characters!B:B)+0.1&gt;=B960),1,0)</f>
        <v/>
      </c>
    </row>
    <row r="961" spans="1:11">
      <c r="A961" s="4" t="s">
        <v>53</v>
      </c>
      <c r="B961" s="7">
        <v>3</v>
      </c>
      <c r="C961" s="6">
        <f>IF(K961=1,1.0,0)</f>
        <v/>
      </c>
      <c r="D961" s="5" t="s">
        <v>17</v>
      </c>
      <c r="E961" s="5" t="s">
        <v>17</v>
      </c>
      <c r="F961" s="6">
        <f>IF(K961=1,0.89,0)</f>
        <v/>
      </c>
      <c r="G961" s="6">
        <f>IF(K961=1,1.0,0)</f>
        <v/>
      </c>
      <c r="H961" s="6">
        <f>IF(K961=1,0.9,0)</f>
        <v/>
      </c>
      <c r="I961" s="5" t="s">
        <v>17</v>
      </c>
      <c r="J961" s="5" t="s">
        <v>17</v>
      </c>
      <c r="K961" s="8">
        <f>IF(OR(LOOKUP(A961,characters!A:A,characters!B:B)=-1, LOOKUP(A961,characters!A:A,characters!B:B)+0.1&gt;=B961),1,0)</f>
        <v/>
      </c>
    </row>
    <row r="963" spans="1:11">
      <c r="A963" s="3" t="s">
        <v>23</v>
      </c>
      <c r="B963" s="3" t="s">
        <v>9</v>
      </c>
      <c r="C963" s="3" t="s">
        <v>12</v>
      </c>
      <c r="D963" s="3" t="s">
        <v>13</v>
      </c>
      <c r="E963" s="3" t="s">
        <v>26</v>
      </c>
      <c r="F963" s="3" t="s">
        <v>14</v>
      </c>
      <c r="G963" s="3" t="s">
        <v>11</v>
      </c>
    </row>
    <row r="964" spans="1:11">
      <c r="A964" s="4" t="s">
        <v>16</v>
      </c>
      <c r="B964" s="5" t="s">
        <v>17</v>
      </c>
      <c r="C964" s="6">
        <f>IF(SUM(H965:H976)=0,0,SUM(C965:C976)/SUM(H965:H976))</f>
        <v/>
      </c>
      <c r="D964" s="6">
        <f>IF(SUM(H965:H976)=0,0,SUM(D965:D976)/SUM(H965:H976))</f>
        <v/>
      </c>
      <c r="E964" s="6">
        <f>IF(SUM(H965:H976)=0,0,SUM(E965:E976)/SUM(H965:H976))</f>
        <v/>
      </c>
      <c r="F964" s="6">
        <f>IF(SUM(H965:H976)=0,0,SUM(F965:F976)/SUM(H965:H976))</f>
        <v/>
      </c>
      <c r="G964" s="6">
        <f>IF(SUM(H965:H976)=0,0,SUM(G965:G976)/SUM(H965:H976))</f>
        <v/>
      </c>
    </row>
    <row r="965" spans="1:11">
      <c r="A965" s="4" t="s">
        <v>22</v>
      </c>
      <c r="B965" s="7">
        <v>0</v>
      </c>
      <c r="C965" s="6">
        <f>IF(H965=1,1.0,0)</f>
        <v/>
      </c>
      <c r="D965" s="6">
        <f>IF(H965=1,0.99,0)</f>
        <v/>
      </c>
      <c r="E965" s="5" t="s">
        <v>17</v>
      </c>
      <c r="F965" s="5" t="s">
        <v>17</v>
      </c>
      <c r="G965" s="5" t="s">
        <v>17</v>
      </c>
      <c r="H965" s="8">
        <f>IF(OR(LOOKUP(A965,characters!A:A,characters!B:B)=-1, LOOKUP(A965,characters!A:A,characters!B:B)+0.1&gt;=B965),1,0)</f>
        <v/>
      </c>
    </row>
    <row r="966" spans="1:11">
      <c r="A966" s="4" t="s">
        <v>36</v>
      </c>
      <c r="B966" s="7">
        <v>0</v>
      </c>
      <c r="C966" s="5" t="s">
        <v>17</v>
      </c>
      <c r="D966" s="6">
        <f>IF(H966=1,1.0,0)</f>
        <v/>
      </c>
      <c r="E966" s="6">
        <f>IF(H966=1,1.0,0)</f>
        <v/>
      </c>
      <c r="F966" s="5" t="s">
        <v>17</v>
      </c>
      <c r="G966" s="5" t="s">
        <v>17</v>
      </c>
      <c r="H966" s="8">
        <f>IF(OR(LOOKUP(A966,characters!A:A,characters!B:B)=-1, LOOKUP(A966,characters!A:A,characters!B:B)+0.1&gt;=B966),1,0)</f>
        <v/>
      </c>
    </row>
    <row r="967" spans="1:11">
      <c r="A967" s="4" t="s">
        <v>76</v>
      </c>
      <c r="B967" s="7">
        <v>1</v>
      </c>
      <c r="C967" s="5" t="s">
        <v>17</v>
      </c>
      <c r="D967" s="5" t="s">
        <v>17</v>
      </c>
      <c r="E967" s="5" t="s">
        <v>17</v>
      </c>
      <c r="F967" s="6">
        <f>IF(H967=1,1.0,0)</f>
        <v/>
      </c>
      <c r="G967" s="6">
        <f>IF(H967=1,0.9,0)</f>
        <v/>
      </c>
      <c r="H967" s="8">
        <f>IF(OR(LOOKUP(A967,characters!A:A,characters!B:B)=-1, LOOKUP(A967,characters!A:A,characters!B:B)+0.1&gt;=B967),1,0)</f>
        <v/>
      </c>
    </row>
    <row r="968" spans="1:11">
      <c r="A968" s="4" t="s">
        <v>85</v>
      </c>
      <c r="B968" s="7">
        <v>0</v>
      </c>
      <c r="C968" s="6">
        <f>IF(H968=1,1.0,0)</f>
        <v/>
      </c>
      <c r="D968" s="6">
        <f>IF(H968=1,0.99,0)</f>
        <v/>
      </c>
      <c r="E968" s="5" t="s">
        <v>17</v>
      </c>
      <c r="F968" s="5" t="s">
        <v>17</v>
      </c>
      <c r="G968" s="5" t="s">
        <v>17</v>
      </c>
      <c r="H968" s="8">
        <f>IF(OR(LOOKUP(A968,characters!A:A,characters!B:B)=-1, LOOKUP(A968,characters!A:A,characters!B:B)+0.1&gt;=B968),1,0)</f>
        <v/>
      </c>
    </row>
    <row r="969" spans="1:11">
      <c r="A969" s="4" t="s">
        <v>55</v>
      </c>
      <c r="B969" s="7">
        <v>0</v>
      </c>
      <c r="C969" s="6">
        <f>IF(H969=1,1.0,0)</f>
        <v/>
      </c>
      <c r="D969" s="6">
        <f>IF(H969=1,0.99,0)</f>
        <v/>
      </c>
      <c r="E969" s="5" t="s">
        <v>17</v>
      </c>
      <c r="F969" s="5" t="s">
        <v>17</v>
      </c>
      <c r="G969" s="5" t="s">
        <v>17</v>
      </c>
      <c r="H969" s="8">
        <f>IF(OR(LOOKUP(A969,characters!A:A,characters!B:B)=-1, LOOKUP(A969,characters!A:A,characters!B:B)+0.1&gt;=B969),1,0)</f>
        <v/>
      </c>
    </row>
    <row r="970" spans="1:11">
      <c r="A970" s="4" t="s">
        <v>80</v>
      </c>
      <c r="B970" s="7">
        <v>0</v>
      </c>
      <c r="C970" s="6">
        <f>IF(H970=1,1.0,0)</f>
        <v/>
      </c>
      <c r="D970" s="6">
        <f>IF(H970=1,0.99,0)</f>
        <v/>
      </c>
      <c r="E970" s="5" t="s">
        <v>17</v>
      </c>
      <c r="F970" s="5" t="s">
        <v>17</v>
      </c>
      <c r="G970" s="5" t="s">
        <v>17</v>
      </c>
      <c r="H970" s="8">
        <f>IF(OR(LOOKUP(A970,characters!A:A,characters!B:B)=-1, LOOKUP(A970,characters!A:A,characters!B:B)+0.1&gt;=B970),1,0)</f>
        <v/>
      </c>
    </row>
    <row r="971" spans="1:11">
      <c r="A971" s="4" t="s">
        <v>53</v>
      </c>
      <c r="B971" s="7">
        <v>3</v>
      </c>
      <c r="C971" s="5" t="s">
        <v>17</v>
      </c>
      <c r="D971" s="5" t="s">
        <v>17</v>
      </c>
      <c r="E971" s="5" t="s">
        <v>17</v>
      </c>
      <c r="F971" s="6">
        <f>IF(H971=1,1.0,0)</f>
        <v/>
      </c>
      <c r="G971" s="6">
        <f>IF(H971=1,0.9,0)</f>
        <v/>
      </c>
      <c r="H971" s="8">
        <f>IF(OR(LOOKUP(A971,characters!A:A,characters!B:B)=-1, LOOKUP(A971,characters!A:A,characters!B:B)+0.1&gt;=B971),1,0)</f>
        <v/>
      </c>
    </row>
    <row r="972" spans="1:11">
      <c r="A972" s="4" t="s">
        <v>57</v>
      </c>
      <c r="B972" s="7">
        <v>0</v>
      </c>
      <c r="C972" s="6">
        <f>IF(H972=1,1.0,0)</f>
        <v/>
      </c>
      <c r="D972" s="6">
        <f>IF(H972=1,0.99,0)</f>
        <v/>
      </c>
      <c r="E972" s="5" t="s">
        <v>17</v>
      </c>
      <c r="F972" s="5" t="s">
        <v>17</v>
      </c>
      <c r="G972" s="5" t="s">
        <v>17</v>
      </c>
      <c r="H972" s="8">
        <f>IF(OR(LOOKUP(A972,characters!A:A,characters!B:B)=-1, LOOKUP(A972,characters!A:A,characters!B:B)+0.1&gt;=B972),1,0)</f>
        <v/>
      </c>
    </row>
    <row r="973" spans="1:11">
      <c r="A973" s="4" t="s">
        <v>21</v>
      </c>
      <c r="B973" s="7">
        <v>0</v>
      </c>
      <c r="C973" s="6">
        <f>IF(H973=1,1.0,0)</f>
        <v/>
      </c>
      <c r="D973" s="6">
        <f>IF(H973=1,0.99,0)</f>
        <v/>
      </c>
      <c r="E973" s="5" t="s">
        <v>17</v>
      </c>
      <c r="F973" s="5" t="s">
        <v>17</v>
      </c>
      <c r="G973" s="5" t="s">
        <v>17</v>
      </c>
      <c r="H973" s="8">
        <f>IF(OR(LOOKUP(A973,characters!A:A,characters!B:B)=-1, LOOKUP(A973,characters!A:A,characters!B:B)+0.1&gt;=B973),1,0)</f>
        <v/>
      </c>
    </row>
    <row r="974" spans="1:11">
      <c r="A974" s="4" t="s">
        <v>58</v>
      </c>
      <c r="B974" s="7">
        <v>1</v>
      </c>
      <c r="C974" s="6">
        <f>IF(H974=1,1.0,0)</f>
        <v/>
      </c>
      <c r="D974" s="6">
        <f>IF(H974=1,0.99,0)</f>
        <v/>
      </c>
      <c r="E974" s="5" t="s">
        <v>17</v>
      </c>
      <c r="F974" s="5" t="s">
        <v>17</v>
      </c>
      <c r="G974" s="5" t="s">
        <v>17</v>
      </c>
      <c r="H974" s="8">
        <f>IF(OR(LOOKUP(A974,characters!A:A,characters!B:B)=-1, LOOKUP(A974,characters!A:A,characters!B:B)+0.1&gt;=B974),1,0)</f>
        <v/>
      </c>
    </row>
    <row r="975" spans="1:11">
      <c r="A975" s="4" t="s">
        <v>52</v>
      </c>
      <c r="B975" s="7">
        <v>2</v>
      </c>
      <c r="C975" s="6">
        <f>IF(H975=1,1.0,0)</f>
        <v/>
      </c>
      <c r="D975" s="6">
        <f>IF(H975=1,0.99,0)</f>
        <v/>
      </c>
      <c r="E975" s="5" t="s">
        <v>17</v>
      </c>
      <c r="F975" s="5" t="s">
        <v>17</v>
      </c>
      <c r="G975" s="5" t="s">
        <v>17</v>
      </c>
      <c r="H975" s="8">
        <f>IF(OR(LOOKUP(A975,characters!A:A,characters!B:B)=-1, LOOKUP(A975,characters!A:A,characters!B:B)+0.1&gt;=B975),1,0)</f>
        <v/>
      </c>
    </row>
    <row r="976" spans="1:11">
      <c r="A976" s="4" t="s">
        <v>90</v>
      </c>
      <c r="B976" s="7">
        <v>0</v>
      </c>
      <c r="C976" s="6">
        <f>IF(H976=1,1.0,0)</f>
        <v/>
      </c>
      <c r="D976" s="5" t="s">
        <v>17</v>
      </c>
      <c r="E976" s="5" t="s">
        <v>17</v>
      </c>
      <c r="F976" s="6">
        <f>IF(H976=1,0.9,0)</f>
        <v/>
      </c>
      <c r="G976" s="5" t="s">
        <v>17</v>
      </c>
      <c r="H976" s="8">
        <f>IF(OR(LOOKUP(A976,characters!A:A,characters!B:B)=-1, LOOKUP(A976,characters!A:A,characters!B:B)+0.1&gt;=B976),1,0)</f>
        <v/>
      </c>
    </row>
    <row r="978" spans="1:6">
      <c r="A978" s="3" t="s">
        <v>24</v>
      </c>
      <c r="B978" s="3" t="s">
        <v>9</v>
      </c>
      <c r="C978" s="3" t="s">
        <v>11</v>
      </c>
      <c r="D978" s="3" t="s">
        <v>10</v>
      </c>
      <c r="E978" s="3" t="s">
        <v>26</v>
      </c>
    </row>
    <row r="979" spans="1:6">
      <c r="A979" s="4" t="s">
        <v>16</v>
      </c>
      <c r="B979" s="5" t="s">
        <v>17</v>
      </c>
      <c r="C979" s="6">
        <f>IF(SUM(F980:F991)=0,0,SUM(C980:C991)/SUM(F980:F991))</f>
        <v/>
      </c>
      <c r="D979" s="6">
        <f>IF(SUM(F980:F991)=0,0,SUM(D980:D991)/SUM(F980:F991))</f>
        <v/>
      </c>
      <c r="E979" s="6">
        <f>IF(SUM(F980:F991)=0,0,SUM(E980:E991)/SUM(F980:F991))</f>
        <v/>
      </c>
    </row>
    <row r="980" spans="1:6">
      <c r="A980" s="4" t="s">
        <v>22</v>
      </c>
      <c r="B980" s="7">
        <v>0</v>
      </c>
      <c r="C980" s="6">
        <f>IF(F980=1,1.0,0)</f>
        <v/>
      </c>
      <c r="D980" s="6">
        <f>IF(F980=1,0.9,0)</f>
        <v/>
      </c>
      <c r="E980" s="5" t="s">
        <v>17</v>
      </c>
      <c r="F980" s="8">
        <f>IF(OR(LOOKUP(A980,characters!A:A,characters!B:B)=-1, LOOKUP(A980,characters!A:A,characters!B:B)+0.1&gt;=B980),1,0)</f>
        <v/>
      </c>
    </row>
    <row r="981" spans="1:6">
      <c r="A981" s="4" t="s">
        <v>36</v>
      </c>
      <c r="B981" s="7">
        <v>0</v>
      </c>
      <c r="C981" s="5" t="s">
        <v>17</v>
      </c>
      <c r="D981" s="6">
        <f>IF(F981=1,1.0,0)</f>
        <v/>
      </c>
      <c r="E981" s="6">
        <f>IF(F981=1,0.99,0)</f>
        <v/>
      </c>
      <c r="F981" s="8">
        <f>IF(OR(LOOKUP(A981,characters!A:A,characters!B:B)=-1, LOOKUP(A981,characters!A:A,characters!B:B)+0.1&gt;=B981),1,0)</f>
        <v/>
      </c>
    </row>
    <row r="982" spans="1:6">
      <c r="A982" s="4" t="s">
        <v>76</v>
      </c>
      <c r="B982" s="7">
        <v>1</v>
      </c>
      <c r="C982" s="5" t="s">
        <v>17</v>
      </c>
      <c r="D982" s="6">
        <f>IF(F982=1,1.0,0)</f>
        <v/>
      </c>
      <c r="E982" s="5" t="s">
        <v>17</v>
      </c>
      <c r="F982" s="8">
        <f>IF(OR(LOOKUP(A982,characters!A:A,characters!B:B)=-1, LOOKUP(A982,characters!A:A,characters!B:B)+0.1&gt;=B982),1,0)</f>
        <v/>
      </c>
    </row>
    <row r="983" spans="1:6">
      <c r="A983" s="4" t="s">
        <v>85</v>
      </c>
      <c r="B983" s="7">
        <v>0</v>
      </c>
      <c r="C983" s="6">
        <f>IF(F983=1,0.99,0)</f>
        <v/>
      </c>
      <c r="D983" s="6">
        <f>IF(F983=1,1.0,0)</f>
        <v/>
      </c>
      <c r="E983" s="5" t="s">
        <v>17</v>
      </c>
      <c r="F983" s="8">
        <f>IF(OR(LOOKUP(A983,characters!A:A,characters!B:B)=-1, LOOKUP(A983,characters!A:A,characters!B:B)+0.1&gt;=B983),1,0)</f>
        <v/>
      </c>
    </row>
    <row r="984" spans="1:6">
      <c r="A984" s="4" t="s">
        <v>55</v>
      </c>
      <c r="B984" s="7">
        <v>0</v>
      </c>
      <c r="C984" s="6">
        <f>IF(F984=1,0.9,0)</f>
        <v/>
      </c>
      <c r="D984" s="6">
        <f>IF(F984=1,1.0,0)</f>
        <v/>
      </c>
      <c r="E984" s="5" t="s">
        <v>17</v>
      </c>
      <c r="F984" s="8">
        <f>IF(OR(LOOKUP(A984,characters!A:A,characters!B:B)=-1, LOOKUP(A984,characters!A:A,characters!B:B)+0.1&gt;=B984),1,0)</f>
        <v/>
      </c>
    </row>
    <row r="985" spans="1:6">
      <c r="A985" s="4" t="s">
        <v>80</v>
      </c>
      <c r="B985" s="7">
        <v>0</v>
      </c>
      <c r="C985" s="6">
        <f>IF(F985=1,0.99,0)</f>
        <v/>
      </c>
      <c r="D985" s="6">
        <f>IF(F985=1,1.0,0)</f>
        <v/>
      </c>
      <c r="E985" s="5" t="s">
        <v>17</v>
      </c>
      <c r="F985" s="8">
        <f>IF(OR(LOOKUP(A985,characters!A:A,characters!B:B)=-1, LOOKUP(A985,characters!A:A,characters!B:B)+0.1&gt;=B985),1,0)</f>
        <v/>
      </c>
    </row>
    <row r="986" spans="1:6">
      <c r="A986" s="4" t="s">
        <v>53</v>
      </c>
      <c r="B986" s="7">
        <v>3</v>
      </c>
      <c r="C986" s="5" t="s">
        <v>17</v>
      </c>
      <c r="D986" s="6">
        <f>IF(F986=1,1.0,0)</f>
        <v/>
      </c>
      <c r="E986" s="5" t="s">
        <v>17</v>
      </c>
      <c r="F986" s="8">
        <f>IF(OR(LOOKUP(A986,characters!A:A,characters!B:B)=-1, LOOKUP(A986,characters!A:A,characters!B:B)+0.1&gt;=B986),1,0)</f>
        <v/>
      </c>
    </row>
    <row r="987" spans="1:6">
      <c r="A987" s="4" t="s">
        <v>57</v>
      </c>
      <c r="B987" s="7">
        <v>0</v>
      </c>
      <c r="C987" s="6">
        <f>IF(F987=1,1.0,0)</f>
        <v/>
      </c>
      <c r="D987" s="5" t="s">
        <v>17</v>
      </c>
      <c r="E987" s="5" t="s">
        <v>17</v>
      </c>
      <c r="F987" s="8">
        <f>IF(OR(LOOKUP(A987,characters!A:A,characters!B:B)=-1, LOOKUP(A987,characters!A:A,characters!B:B)+0.1&gt;=B987),1,0)</f>
        <v/>
      </c>
    </row>
    <row r="988" spans="1:6">
      <c r="A988" s="4" t="s">
        <v>21</v>
      </c>
      <c r="B988" s="7">
        <v>0</v>
      </c>
      <c r="C988" s="6">
        <f>IF(F988=1,0.99,0)</f>
        <v/>
      </c>
      <c r="D988" s="6">
        <f>IF(F988=1,1.0,0)</f>
        <v/>
      </c>
      <c r="E988" s="5" t="s">
        <v>17</v>
      </c>
      <c r="F988" s="8">
        <f>IF(OR(LOOKUP(A988,characters!A:A,characters!B:B)=-1, LOOKUP(A988,characters!A:A,characters!B:B)+0.1&gt;=B988),1,0)</f>
        <v/>
      </c>
    </row>
    <row r="989" spans="1:6">
      <c r="A989" s="4" t="s">
        <v>58</v>
      </c>
      <c r="B989" s="7">
        <v>1</v>
      </c>
      <c r="C989" s="6">
        <f>IF(F989=1,0.9,0)</f>
        <v/>
      </c>
      <c r="D989" s="6">
        <f>IF(F989=1,1.0,0)</f>
        <v/>
      </c>
      <c r="E989" s="5" t="s">
        <v>17</v>
      </c>
      <c r="F989" s="8">
        <f>IF(OR(LOOKUP(A989,characters!A:A,characters!B:B)=-1, LOOKUP(A989,characters!A:A,characters!B:B)+0.1&gt;=B989),1,0)</f>
        <v/>
      </c>
    </row>
    <row r="990" spans="1:6">
      <c r="A990" s="4" t="s">
        <v>52</v>
      </c>
      <c r="B990" s="7">
        <v>2</v>
      </c>
      <c r="C990" s="6">
        <f>IF(F990=1,0.99,0)</f>
        <v/>
      </c>
      <c r="D990" s="6">
        <f>IF(F990=1,1.0,0)</f>
        <v/>
      </c>
      <c r="E990" s="5" t="s">
        <v>17</v>
      </c>
      <c r="F990" s="8">
        <f>IF(OR(LOOKUP(A990,characters!A:A,characters!B:B)=-1, LOOKUP(A990,characters!A:A,characters!B:B)+0.1&gt;=B990),1,0)</f>
        <v/>
      </c>
    </row>
    <row r="991" spans="1:6">
      <c r="A991" s="4" t="s">
        <v>90</v>
      </c>
      <c r="B991" s="7">
        <v>0</v>
      </c>
      <c r="C991" s="5" t="s">
        <v>17</v>
      </c>
      <c r="D991" s="6">
        <f>IF(F991=1,1.0,0)</f>
        <v/>
      </c>
      <c r="E991" s="5" t="s">
        <v>17</v>
      </c>
      <c r="F991" s="8">
        <f>IF(OR(LOOKUP(A991,characters!A:A,characters!B:B)=-1, LOOKUP(A991,characters!A:A,characters!B:B)+0.1&gt;=B991),1,0)</f>
        <v/>
      </c>
    </row>
    <row r="998" spans="1:7">
      <c r="A998" s="3" t="s">
        <v>124</v>
      </c>
    </row>
    <row r="999" spans="1:7">
      <c r="A999" s="3" t="s">
        <v>8</v>
      </c>
      <c r="B999" s="3" t="s">
        <v>9</v>
      </c>
      <c r="C999" s="3" t="s">
        <v>12</v>
      </c>
      <c r="D999" s="3" t="s">
        <v>13</v>
      </c>
      <c r="E999" s="3" t="s">
        <v>11</v>
      </c>
      <c r="F999" s="3" t="s">
        <v>10</v>
      </c>
    </row>
    <row r="1000" spans="1:7">
      <c r="A1000" s="4" t="s">
        <v>16</v>
      </c>
      <c r="B1000" s="5" t="s">
        <v>17</v>
      </c>
      <c r="C1000" s="6">
        <f>IF(SUM(G1001:G1006)=0,0,SUM(C1001:C1006)/SUM(G1001:G1006))</f>
        <v/>
      </c>
      <c r="D1000" s="6">
        <f>IF(SUM(G1001:G1006)=0,0,SUM(D1001:D1006)/SUM(G1001:G1006))</f>
        <v/>
      </c>
      <c r="E1000" s="6">
        <f>IF(SUM(G1001:G1006)=0,0,SUM(E1001:E1006)/SUM(G1001:G1006))</f>
        <v/>
      </c>
      <c r="F1000" s="6">
        <f>IF(SUM(G1001:G1006)=0,0,SUM(F1001:F1006)/SUM(G1001:G1006))</f>
        <v/>
      </c>
    </row>
    <row r="1001" spans="1:7">
      <c r="A1001" s="4" t="s">
        <v>51</v>
      </c>
      <c r="B1001" s="7">
        <v>0</v>
      </c>
      <c r="C1001" s="6">
        <f>IF(G1001=1,1.0,0)</f>
        <v/>
      </c>
      <c r="D1001" s="6">
        <f>IF(G1001=1,1.0,0)</f>
        <v/>
      </c>
      <c r="E1001" s="6">
        <f>IF(G1001=1,0.9,0)</f>
        <v/>
      </c>
      <c r="F1001" s="6">
        <f>IF(G1001=1,1.0,0)</f>
        <v/>
      </c>
      <c r="G1001" s="8">
        <f>IF(OR(LOOKUP(A1001,characters!A:A,characters!B:B)=-1, LOOKUP(A1001,characters!A:A,characters!B:B)+0.1&gt;=B1001),1,0)</f>
        <v/>
      </c>
    </row>
    <row r="1002" spans="1:7">
      <c r="A1002" s="4" t="s">
        <v>86</v>
      </c>
      <c r="B1002" s="7">
        <v>0</v>
      </c>
      <c r="C1002" s="6">
        <f>IF(G1002=1,1.0,0)</f>
        <v/>
      </c>
      <c r="D1002" s="6">
        <f>IF(G1002=1,1.0,0)</f>
        <v/>
      </c>
      <c r="E1002" s="6">
        <f>IF(G1002=1,0.9,0)</f>
        <v/>
      </c>
      <c r="F1002" s="5" t="s">
        <v>17</v>
      </c>
      <c r="G1002" s="8">
        <f>IF(OR(LOOKUP(A1002,characters!A:A,characters!B:B)=-1, LOOKUP(A1002,characters!A:A,characters!B:B)+0.1&gt;=B1002),1,0)</f>
        <v/>
      </c>
    </row>
    <row r="1003" spans="1:7">
      <c r="A1003" s="4" t="s">
        <v>62</v>
      </c>
      <c r="B1003" s="7">
        <v>0</v>
      </c>
      <c r="C1003" s="6">
        <f>IF(G1003=1,1.0,0)</f>
        <v/>
      </c>
      <c r="D1003" s="6">
        <f>IF(G1003=1,0.99,0)</f>
        <v/>
      </c>
      <c r="E1003" s="6">
        <f>IF(G1003=1,0.89,0)</f>
        <v/>
      </c>
      <c r="F1003" s="6">
        <f>IF(G1003=1,0.79,0)</f>
        <v/>
      </c>
      <c r="G1003" s="8">
        <f>IF(OR(LOOKUP(A1003,characters!A:A,characters!B:B)=-1, LOOKUP(A1003,characters!A:A,characters!B:B)+0.1&gt;=B1003),1,0)</f>
        <v/>
      </c>
    </row>
    <row r="1004" spans="1:7">
      <c r="A1004" s="4" t="s">
        <v>88</v>
      </c>
      <c r="B1004" s="7">
        <v>0</v>
      </c>
      <c r="C1004" s="6">
        <f>IF(G1004=1,0.9,0)</f>
        <v/>
      </c>
      <c r="D1004" s="6">
        <f>IF(G1004=1,0.9,0)</f>
        <v/>
      </c>
      <c r="E1004" s="6">
        <f>IF(G1004=1,0.8,0)</f>
        <v/>
      </c>
      <c r="F1004" s="6">
        <f>IF(G1004=1,1.0,0)</f>
        <v/>
      </c>
      <c r="G1004" s="8">
        <f>IF(OR(LOOKUP(A1004,characters!A:A,characters!B:B)=-1, LOOKUP(A1004,characters!A:A,characters!B:B)+0.1&gt;=B1004),1,0)</f>
        <v/>
      </c>
    </row>
    <row r="1005" spans="1:7">
      <c r="A1005" s="4" t="s">
        <v>92</v>
      </c>
      <c r="B1005" s="7">
        <v>0</v>
      </c>
      <c r="C1005" s="6">
        <f>IF(G1005=1,0.9,0)</f>
        <v/>
      </c>
      <c r="D1005" s="6">
        <f>IF(G1005=1,0.8,0)</f>
        <v/>
      </c>
      <c r="E1005" s="6">
        <f>IF(G1005=1,0.7,0)</f>
        <v/>
      </c>
      <c r="F1005" s="6">
        <f>IF(G1005=1,1.0,0)</f>
        <v/>
      </c>
      <c r="G1005" s="8">
        <f>IF(OR(LOOKUP(A1005,characters!A:A,characters!B:B)=-1, LOOKUP(A1005,characters!A:A,characters!B:B)+0.1&gt;=B1005),1,0)</f>
        <v/>
      </c>
    </row>
    <row r="1006" spans="1:7">
      <c r="A1006" s="4" t="s">
        <v>61</v>
      </c>
      <c r="B1006" s="7">
        <v>1</v>
      </c>
      <c r="C1006" s="6">
        <f>IF(G1006=1,1.0,0)</f>
        <v/>
      </c>
      <c r="D1006" s="6">
        <f>IF(G1006=1,1.0,0)</f>
        <v/>
      </c>
      <c r="E1006" s="6">
        <f>IF(G1006=1,0.9,0)</f>
        <v/>
      </c>
      <c r="F1006" s="5" t="s">
        <v>17</v>
      </c>
      <c r="G1006" s="8">
        <f>IF(OR(LOOKUP(A1006,characters!A:A,characters!B:B)=-1, LOOKUP(A1006,characters!A:A,characters!B:B)+0.1&gt;=B1006),1,0)</f>
        <v/>
      </c>
    </row>
    <row r="1008" spans="1:7">
      <c r="A1008" s="3" t="s">
        <v>23</v>
      </c>
      <c r="B1008" s="3" t="s">
        <v>9</v>
      </c>
      <c r="C1008" s="3" t="s">
        <v>12</v>
      </c>
      <c r="D1008" s="3" t="s">
        <v>13</v>
      </c>
    </row>
    <row r="1009" spans="1:5">
      <c r="A1009" s="4" t="s">
        <v>16</v>
      </c>
      <c r="B1009" s="5" t="s">
        <v>17</v>
      </c>
      <c r="C1009" s="6">
        <f>IF(SUM(E1010:E1015)=0,0,SUM(C1010:C1015)/SUM(E1010:E1015))</f>
        <v/>
      </c>
      <c r="D1009" s="6">
        <f>IF(SUM(E1010:E1015)=0,0,SUM(D1010:D1015)/SUM(E1010:E1015))</f>
        <v/>
      </c>
    </row>
    <row r="1010" spans="1:5">
      <c r="A1010" s="4" t="s">
        <v>51</v>
      </c>
      <c r="B1010" s="7">
        <v>0</v>
      </c>
      <c r="C1010" s="6">
        <f>IF(E1010=1,1.0,0)</f>
        <v/>
      </c>
      <c r="D1010" s="6">
        <f>IF(E1010=1,0.99,0)</f>
        <v/>
      </c>
      <c r="E1010" s="8">
        <f>IF(OR(LOOKUP(A1010,characters!A:A,characters!B:B)=-1, LOOKUP(A1010,characters!A:A,characters!B:B)+0.1&gt;=B1010),1,0)</f>
        <v/>
      </c>
    </row>
    <row r="1011" spans="1:5">
      <c r="A1011" s="4" t="s">
        <v>86</v>
      </c>
      <c r="B1011" s="7">
        <v>0</v>
      </c>
      <c r="C1011" s="6">
        <f>IF(E1011=1,0.99,0)</f>
        <v/>
      </c>
      <c r="D1011" s="6">
        <f>IF(E1011=1,1.0,0)</f>
        <v/>
      </c>
      <c r="E1011" s="8">
        <f>IF(OR(LOOKUP(A1011,characters!A:A,characters!B:B)=-1, LOOKUP(A1011,characters!A:A,characters!B:B)+0.1&gt;=B1011),1,0)</f>
        <v/>
      </c>
    </row>
    <row r="1012" spans="1:5">
      <c r="A1012" s="4" t="s">
        <v>62</v>
      </c>
      <c r="B1012" s="7">
        <v>0</v>
      </c>
      <c r="C1012" s="6">
        <f>IF(E1012=1,1.0,0)</f>
        <v/>
      </c>
      <c r="D1012" s="6">
        <f>IF(E1012=1,0.99,0)</f>
        <v/>
      </c>
      <c r="E1012" s="8">
        <f>IF(OR(LOOKUP(A1012,characters!A:A,characters!B:B)=-1, LOOKUP(A1012,characters!A:A,characters!B:B)+0.1&gt;=B1012),1,0)</f>
        <v/>
      </c>
    </row>
    <row r="1013" spans="1:5">
      <c r="A1013" s="4" t="s">
        <v>88</v>
      </c>
      <c r="B1013" s="7">
        <v>0</v>
      </c>
      <c r="C1013" s="6">
        <f>IF(E1013=1,1.0,0)</f>
        <v/>
      </c>
      <c r="D1013" s="6">
        <f>IF(E1013=1,0.99,0)</f>
        <v/>
      </c>
      <c r="E1013" s="8">
        <f>IF(OR(LOOKUP(A1013,characters!A:A,characters!B:B)=-1, LOOKUP(A1013,characters!A:A,characters!B:B)+0.1&gt;=B1013),1,0)</f>
        <v/>
      </c>
    </row>
    <row r="1014" spans="1:5">
      <c r="A1014" s="4" t="s">
        <v>92</v>
      </c>
      <c r="B1014" s="7">
        <v>0</v>
      </c>
      <c r="C1014" s="6">
        <f>IF(E1014=1,1.0,0)</f>
        <v/>
      </c>
      <c r="D1014" s="6">
        <f>IF(E1014=1,0.9,0)</f>
        <v/>
      </c>
      <c r="E1014" s="8">
        <f>IF(OR(LOOKUP(A1014,characters!A:A,characters!B:B)=-1, LOOKUP(A1014,characters!A:A,characters!B:B)+0.1&gt;=B1014),1,0)</f>
        <v/>
      </c>
    </row>
    <row r="1015" spans="1:5">
      <c r="A1015" s="4" t="s">
        <v>61</v>
      </c>
      <c r="B1015" s="7">
        <v>1</v>
      </c>
      <c r="C1015" s="6">
        <f>IF(E1015=1,1.0,0)</f>
        <v/>
      </c>
      <c r="D1015" s="6">
        <f>IF(E1015=1,0.9,0)</f>
        <v/>
      </c>
      <c r="E1015" s="8">
        <f>IF(OR(LOOKUP(A1015,characters!A:A,characters!B:B)=-1, LOOKUP(A1015,characters!A:A,characters!B:B)+0.1&gt;=B1015),1,0)</f>
        <v/>
      </c>
    </row>
    <row r="1017" spans="1:5">
      <c r="A1017" s="3" t="s">
        <v>24</v>
      </c>
      <c r="B1017" s="3" t="s">
        <v>9</v>
      </c>
      <c r="C1017" s="3" t="s">
        <v>11</v>
      </c>
      <c r="D1017" s="3" t="s">
        <v>10</v>
      </c>
    </row>
    <row r="1018" spans="1:5">
      <c r="A1018" s="4" t="s">
        <v>16</v>
      </c>
      <c r="B1018" s="5" t="s">
        <v>17</v>
      </c>
      <c r="C1018" s="6">
        <f>IF(SUM(E1019:E1024)=0,0,SUM(C1019:C1024)/SUM(E1019:E1024))</f>
        <v/>
      </c>
      <c r="D1018" s="6">
        <f>IF(SUM(E1019:E1024)=0,0,SUM(D1019:D1024)/SUM(E1019:E1024))</f>
        <v/>
      </c>
    </row>
    <row r="1019" spans="1:5">
      <c r="A1019" s="4" t="s">
        <v>51</v>
      </c>
      <c r="B1019" s="7">
        <v>0</v>
      </c>
      <c r="C1019" s="6">
        <f>IF(E1019=1,1.0,0)</f>
        <v/>
      </c>
      <c r="D1019" s="5" t="s">
        <v>17</v>
      </c>
      <c r="E1019" s="8">
        <f>IF(OR(LOOKUP(A1019,characters!A:A,characters!B:B)=-1, LOOKUP(A1019,characters!A:A,characters!B:B)+0.1&gt;=B1019),1,0)</f>
        <v/>
      </c>
    </row>
    <row r="1020" spans="1:5">
      <c r="A1020" s="4" t="s">
        <v>86</v>
      </c>
      <c r="B1020" s="7">
        <v>0</v>
      </c>
      <c r="C1020" s="6">
        <f>IF(E1020=1,1.0,0)</f>
        <v/>
      </c>
      <c r="D1020" s="6">
        <f>IF(E1020=1,0.9,0)</f>
        <v/>
      </c>
      <c r="E1020" s="8">
        <f>IF(OR(LOOKUP(A1020,characters!A:A,characters!B:B)=-1, LOOKUP(A1020,characters!A:A,characters!B:B)+0.1&gt;=B1020),1,0)</f>
        <v/>
      </c>
    </row>
    <row r="1021" spans="1:5">
      <c r="A1021" s="4" t="s">
        <v>62</v>
      </c>
      <c r="B1021" s="7">
        <v>0</v>
      </c>
      <c r="C1021" s="6">
        <f>IF(E1021=1,1.0,0)</f>
        <v/>
      </c>
      <c r="D1021" s="5" t="s">
        <v>17</v>
      </c>
      <c r="E1021" s="8">
        <f>IF(OR(LOOKUP(A1021,characters!A:A,characters!B:B)=-1, LOOKUP(A1021,characters!A:A,characters!B:B)+0.1&gt;=B1021),1,0)</f>
        <v/>
      </c>
    </row>
    <row r="1022" spans="1:5">
      <c r="A1022" s="4" t="s">
        <v>88</v>
      </c>
      <c r="B1022" s="7">
        <v>0</v>
      </c>
      <c r="C1022" s="6">
        <f>IF(E1022=1,1.0,0)</f>
        <v/>
      </c>
      <c r="D1022" s="6">
        <f>IF(E1022=1,0.9,0)</f>
        <v/>
      </c>
      <c r="E1022" s="8">
        <f>IF(OR(LOOKUP(A1022,characters!A:A,characters!B:B)=-1, LOOKUP(A1022,characters!A:A,characters!B:B)+0.1&gt;=B1022),1,0)</f>
        <v/>
      </c>
    </row>
    <row r="1023" spans="1:5">
      <c r="A1023" s="4" t="s">
        <v>92</v>
      </c>
      <c r="B1023" s="7">
        <v>0</v>
      </c>
      <c r="C1023" s="6">
        <f>IF(E1023=1,1.0,0)</f>
        <v/>
      </c>
      <c r="D1023" s="6">
        <f>IF(E1023=1,1.0,0)</f>
        <v/>
      </c>
      <c r="E1023" s="8">
        <f>IF(OR(LOOKUP(A1023,characters!A:A,characters!B:B)=-1, LOOKUP(A1023,characters!A:A,characters!B:B)+0.1&gt;=B1023),1,0)</f>
        <v/>
      </c>
    </row>
    <row r="1024" spans="1:5">
      <c r="A1024" s="4" t="s">
        <v>61</v>
      </c>
      <c r="B1024" s="7">
        <v>1</v>
      </c>
      <c r="C1024" s="6">
        <f>IF(E1024=1,1.0,0)</f>
        <v/>
      </c>
      <c r="D1024" s="5" t="s">
        <v>17</v>
      </c>
      <c r="E1024" s="8">
        <f>IF(OR(LOOKUP(A1024,characters!A:A,characters!B:B)=-1, LOOKUP(A1024,characters!A:A,characters!B:B)+0.1&gt;=B1024),1,0)</f>
        <v/>
      </c>
    </row>
    <row r="1031" spans="1:9">
      <c r="A1031" s="3" t="s">
        <v>125</v>
      </c>
    </row>
    <row r="1032" spans="1:9">
      <c r="A1032" s="3" t="s">
        <v>8</v>
      </c>
      <c r="B1032" s="3" t="s">
        <v>9</v>
      </c>
      <c r="C1032" s="3" t="s">
        <v>14</v>
      </c>
      <c r="D1032" s="3" t="s">
        <v>10</v>
      </c>
      <c r="E1032" s="3" t="s">
        <v>11</v>
      </c>
      <c r="F1032" s="3" t="s">
        <v>15</v>
      </c>
      <c r="G1032" s="3" t="s">
        <v>27</v>
      </c>
      <c r="H1032" s="3" t="s">
        <v>26</v>
      </c>
    </row>
    <row r="1033" spans="1:9">
      <c r="A1033" s="4" t="s">
        <v>16</v>
      </c>
      <c r="B1033" s="5" t="s">
        <v>17</v>
      </c>
      <c r="C1033" s="6">
        <f>IF(SUM(I1034:I1039)=0,0,SUM(C1034:C1039)/SUM(I1034:I1039))</f>
        <v/>
      </c>
      <c r="D1033" s="6">
        <f>IF(SUM(I1034:I1039)=0,0,SUM(D1034:D1039)/SUM(I1034:I1039))</f>
        <v/>
      </c>
      <c r="E1033" s="6">
        <f>IF(SUM(I1034:I1039)=0,0,SUM(E1034:E1039)/SUM(I1034:I1039))</f>
        <v/>
      </c>
      <c r="F1033" s="6">
        <f>IF(SUM(I1034:I1039)=0,0,SUM(F1034:F1039)/SUM(I1034:I1039))</f>
        <v/>
      </c>
      <c r="G1033" s="6">
        <f>IF(SUM(I1034:I1039)=0,0,SUM(G1034:G1039)/SUM(I1034:I1039))</f>
        <v/>
      </c>
      <c r="H1033" s="6">
        <f>IF(SUM(I1034:I1039)=0,0,SUM(H1034:H1039)/SUM(I1034:I1039))</f>
        <v/>
      </c>
    </row>
    <row r="1034" spans="1:9">
      <c r="A1034" s="4" t="s">
        <v>76</v>
      </c>
      <c r="B1034" s="7">
        <v>0</v>
      </c>
      <c r="C1034" s="6">
        <f>IF(I1034=1,1.0,0)</f>
        <v/>
      </c>
      <c r="D1034" s="6">
        <f>IF(I1034=1,0.9,0)</f>
        <v/>
      </c>
      <c r="E1034" s="6">
        <f>IF(I1034=1,0.8,0)</f>
        <v/>
      </c>
      <c r="F1034" s="6">
        <f>IF(I1034=1,0.7,0)</f>
        <v/>
      </c>
      <c r="G1034" s="5" t="s">
        <v>17</v>
      </c>
      <c r="H1034" s="5" t="s">
        <v>17</v>
      </c>
      <c r="I1034" s="8">
        <f>IF(OR(LOOKUP(A1034,characters!A:A,characters!B:B)=-1, LOOKUP(A1034,characters!A:A,characters!B:B)+0.1&gt;=B1034),1,0)</f>
        <v/>
      </c>
    </row>
    <row r="1035" spans="1:9">
      <c r="A1035" s="4" t="s">
        <v>82</v>
      </c>
      <c r="B1035" s="7">
        <v>0</v>
      </c>
      <c r="C1035" s="6">
        <f>IF(I1035=1,1.0,0)</f>
        <v/>
      </c>
      <c r="D1035" s="6">
        <f>IF(I1035=1,0.9,0)</f>
        <v/>
      </c>
      <c r="E1035" s="6">
        <f>IF(I1035=1,0.8,0)</f>
        <v/>
      </c>
      <c r="F1035" s="6">
        <f>IF(I1035=1,0.7,0)</f>
        <v/>
      </c>
      <c r="G1035" s="6">
        <f>IF(I1035=1,0.7,0)</f>
        <v/>
      </c>
      <c r="H1035" s="6">
        <f>IF(I1035=1,0.7,0)</f>
        <v/>
      </c>
      <c r="I1035" s="8">
        <f>IF(OR(LOOKUP(A1035,characters!A:A,characters!B:B)=-1, LOOKUP(A1035,characters!A:A,characters!B:B)+0.1&gt;=B1035),1,0)</f>
        <v/>
      </c>
    </row>
    <row r="1036" spans="1:9">
      <c r="A1036" s="4" t="s">
        <v>70</v>
      </c>
      <c r="B1036" s="7">
        <v>0</v>
      </c>
      <c r="C1036" s="6">
        <f>IF(I1036=1,1.0,0)</f>
        <v/>
      </c>
      <c r="D1036" s="6">
        <f>IF(I1036=1,0.9,0)</f>
        <v/>
      </c>
      <c r="E1036" s="6">
        <f>IF(I1036=1,0.8,0)</f>
        <v/>
      </c>
      <c r="F1036" s="5" t="s">
        <v>17</v>
      </c>
      <c r="G1036" s="5" t="s">
        <v>17</v>
      </c>
      <c r="H1036" s="5" t="s">
        <v>17</v>
      </c>
      <c r="I1036" s="8">
        <f>IF(OR(LOOKUP(A1036,characters!A:A,characters!B:B)=-1, LOOKUP(A1036,characters!A:A,characters!B:B)+0.1&gt;=B1036),1,0)</f>
        <v/>
      </c>
    </row>
    <row r="1037" spans="1:9">
      <c r="A1037" s="4" t="s">
        <v>20</v>
      </c>
      <c r="B1037" s="7">
        <v>0</v>
      </c>
      <c r="C1037" s="6">
        <f>IF(I1037=1,1.0,0)</f>
        <v/>
      </c>
      <c r="D1037" s="6">
        <f>IF(I1037=1,1.0,0)</f>
        <v/>
      </c>
      <c r="E1037" s="6">
        <f>IF(I1037=1,0.9,0)</f>
        <v/>
      </c>
      <c r="F1037" s="6">
        <f>IF(I1037=1,0.8,0)</f>
        <v/>
      </c>
      <c r="G1037" s="5" t="s">
        <v>17</v>
      </c>
      <c r="H1037" s="5" t="s">
        <v>17</v>
      </c>
      <c r="I1037" s="8">
        <f>IF(OR(LOOKUP(A1037,characters!A:A,characters!B:B)=-1, LOOKUP(A1037,characters!A:A,characters!B:B)+0.1&gt;=B1037),1,0)</f>
        <v/>
      </c>
    </row>
    <row r="1038" spans="1:9">
      <c r="A1038" s="4" t="s">
        <v>53</v>
      </c>
      <c r="B1038" s="7">
        <v>0</v>
      </c>
      <c r="C1038" s="6">
        <f>IF(I1038=1,1.0,0)</f>
        <v/>
      </c>
      <c r="D1038" s="6">
        <f>IF(I1038=1,1.0,0)</f>
        <v/>
      </c>
      <c r="E1038" s="6">
        <f>IF(I1038=1,0.89,0)</f>
        <v/>
      </c>
      <c r="F1038" s="6">
        <f>IF(I1038=1,0.9,0)</f>
        <v/>
      </c>
      <c r="G1038" s="5" t="s">
        <v>17</v>
      </c>
      <c r="H1038" s="5" t="s">
        <v>17</v>
      </c>
      <c r="I1038" s="8">
        <f>IF(OR(LOOKUP(A1038,characters!A:A,characters!B:B)=-1, LOOKUP(A1038,characters!A:A,characters!B:B)+0.1&gt;=B1038),1,0)</f>
        <v/>
      </c>
    </row>
    <row r="1039" spans="1:9">
      <c r="A1039" s="4" t="s">
        <v>75</v>
      </c>
      <c r="B1039" s="7">
        <v>0</v>
      </c>
      <c r="C1039" s="6">
        <f>IF(I1039=1,1.0,0)</f>
        <v/>
      </c>
      <c r="D1039" s="6">
        <f>IF(I1039=1,1.0,0)</f>
        <v/>
      </c>
      <c r="E1039" s="6">
        <f>IF(I1039=1,0.9,0)</f>
        <v/>
      </c>
      <c r="F1039" s="6">
        <f>IF(I1039=1,0.8,0)</f>
        <v/>
      </c>
      <c r="G1039" s="5" t="s">
        <v>17</v>
      </c>
      <c r="H1039" s="5" t="s">
        <v>17</v>
      </c>
      <c r="I1039" s="8">
        <f>IF(OR(LOOKUP(A1039,characters!A:A,characters!B:B)=-1, LOOKUP(A1039,characters!A:A,characters!B:B)+0.1&gt;=B1039),1,0)</f>
        <v/>
      </c>
    </row>
    <row r="1041" spans="1:5">
      <c r="A1041" s="3" t="s">
        <v>23</v>
      </c>
      <c r="B1041" s="3" t="s">
        <v>9</v>
      </c>
      <c r="C1041" s="3" t="s">
        <v>14</v>
      </c>
      <c r="D1041" s="3" t="s">
        <v>11</v>
      </c>
    </row>
    <row r="1042" spans="1:5">
      <c r="A1042" s="4" t="s">
        <v>16</v>
      </c>
      <c r="B1042" s="5" t="s">
        <v>17</v>
      </c>
      <c r="C1042" s="6">
        <f>IF(SUM(E1043:E1048)=0,0,SUM(C1043:C1048)/SUM(E1043:E1048))</f>
        <v/>
      </c>
      <c r="D1042" s="6">
        <f>IF(SUM(E1043:E1048)=0,0,SUM(D1043:D1048)/SUM(E1043:E1048))</f>
        <v/>
      </c>
    </row>
    <row r="1043" spans="1:5">
      <c r="A1043" s="4" t="s">
        <v>76</v>
      </c>
      <c r="B1043" s="7">
        <v>0</v>
      </c>
      <c r="C1043" s="6">
        <f>IF(E1043=1,1.0,0)</f>
        <v/>
      </c>
      <c r="D1043" s="6">
        <f>IF(E1043=1,0.9,0)</f>
        <v/>
      </c>
      <c r="E1043" s="8">
        <f>IF(OR(LOOKUP(A1043,characters!A:A,characters!B:B)=-1, LOOKUP(A1043,characters!A:A,characters!B:B)+0.1&gt;=B1043),1,0)</f>
        <v/>
      </c>
    </row>
    <row r="1044" spans="1:5">
      <c r="A1044" s="4" t="s">
        <v>82</v>
      </c>
      <c r="B1044" s="7">
        <v>0</v>
      </c>
      <c r="C1044" s="6">
        <f>IF(E1044=1,0.9,0)</f>
        <v/>
      </c>
      <c r="D1044" s="6">
        <f>IF(E1044=1,1.0,0)</f>
        <v/>
      </c>
      <c r="E1044" s="8">
        <f>IF(OR(LOOKUP(A1044,characters!A:A,characters!B:B)=-1, LOOKUP(A1044,characters!A:A,characters!B:B)+0.1&gt;=B1044),1,0)</f>
        <v/>
      </c>
    </row>
    <row r="1045" spans="1:5">
      <c r="A1045" s="4" t="s">
        <v>70</v>
      </c>
      <c r="B1045" s="7">
        <v>0</v>
      </c>
      <c r="C1045" s="6">
        <f>IF(E1045=1,1.0,0)</f>
        <v/>
      </c>
      <c r="D1045" s="5" t="s">
        <v>17</v>
      </c>
      <c r="E1045" s="8">
        <f>IF(OR(LOOKUP(A1045,characters!A:A,characters!B:B)=-1, LOOKUP(A1045,characters!A:A,characters!B:B)+0.1&gt;=B1045),1,0)</f>
        <v/>
      </c>
    </row>
    <row r="1046" spans="1:5">
      <c r="A1046" s="4" t="s">
        <v>20</v>
      </c>
      <c r="B1046" s="7">
        <v>0</v>
      </c>
      <c r="C1046" s="5" t="s">
        <v>17</v>
      </c>
      <c r="D1046" s="6">
        <f>IF(E1046=1,1.0,0)</f>
        <v/>
      </c>
      <c r="E1046" s="8">
        <f>IF(OR(LOOKUP(A1046,characters!A:A,characters!B:B)=-1, LOOKUP(A1046,characters!A:A,characters!B:B)+0.1&gt;=B1046),1,0)</f>
        <v/>
      </c>
    </row>
    <row r="1047" spans="1:5">
      <c r="A1047" s="4" t="s">
        <v>53</v>
      </c>
      <c r="B1047" s="7">
        <v>0</v>
      </c>
      <c r="C1047" s="6">
        <f>IF(E1047=1,1.0,0)</f>
        <v/>
      </c>
      <c r="D1047" s="6">
        <f>IF(E1047=1,0.9,0)</f>
        <v/>
      </c>
      <c r="E1047" s="8">
        <f>IF(OR(LOOKUP(A1047,characters!A:A,characters!B:B)=-1, LOOKUP(A1047,characters!A:A,characters!B:B)+0.1&gt;=B1047),1,0)</f>
        <v/>
      </c>
    </row>
    <row r="1048" spans="1:5">
      <c r="A1048" s="4" t="s">
        <v>75</v>
      </c>
      <c r="B1048" s="7">
        <v>0</v>
      </c>
      <c r="C1048" s="6">
        <f>IF(E1048=1,1.0,0)</f>
        <v/>
      </c>
      <c r="D1048" s="6">
        <f>IF(E1048=1,0.99,0)</f>
        <v/>
      </c>
      <c r="E1048" s="8">
        <f>IF(OR(LOOKUP(A1048,characters!A:A,characters!B:B)=-1, LOOKUP(A1048,characters!A:A,characters!B:B)+0.1&gt;=B1048),1,0)</f>
        <v/>
      </c>
    </row>
    <row r="1050" spans="1:5">
      <c r="A1050" s="3" t="s">
        <v>24</v>
      </c>
      <c r="B1050" s="3" t="s">
        <v>9</v>
      </c>
      <c r="C1050" s="3" t="s">
        <v>10</v>
      </c>
    </row>
    <row r="1051" spans="1:5">
      <c r="A1051" s="4" t="s">
        <v>16</v>
      </c>
      <c r="B1051" s="5" t="s">
        <v>17</v>
      </c>
      <c r="C1051" s="6">
        <f>IF(SUM(D1052:D1057)=0,0,SUM(C1052:C1057)/SUM(D1052:D1057))</f>
        <v/>
      </c>
    </row>
    <row r="1052" spans="1:5">
      <c r="A1052" s="4" t="s">
        <v>76</v>
      </c>
      <c r="B1052" s="7">
        <v>0</v>
      </c>
      <c r="C1052" s="6">
        <f>IF(D1052=1,1.0,0)</f>
        <v/>
      </c>
      <c r="D1052" s="8">
        <f>IF(OR(LOOKUP(A1052,characters!A:A,characters!B:B)=-1, LOOKUP(A1052,characters!A:A,characters!B:B)+0.1&gt;=B1052),1,0)</f>
        <v/>
      </c>
    </row>
    <row r="1053" spans="1:5">
      <c r="A1053" s="4" t="s">
        <v>82</v>
      </c>
      <c r="B1053" s="7">
        <v>0</v>
      </c>
      <c r="C1053" s="6">
        <f>IF(D1053=1,1.0,0)</f>
        <v/>
      </c>
      <c r="D1053" s="8">
        <f>IF(OR(LOOKUP(A1053,characters!A:A,characters!B:B)=-1, LOOKUP(A1053,characters!A:A,characters!B:B)+0.1&gt;=B1053),1,0)</f>
        <v/>
      </c>
    </row>
    <row r="1054" spans="1:5">
      <c r="A1054" s="4" t="s">
        <v>70</v>
      </c>
      <c r="B1054" s="7">
        <v>0</v>
      </c>
      <c r="C1054" s="6">
        <f>IF(D1054=1,1.0,0)</f>
        <v/>
      </c>
      <c r="D1054" s="8">
        <f>IF(OR(LOOKUP(A1054,characters!A:A,characters!B:B)=-1, LOOKUP(A1054,characters!A:A,characters!B:B)+0.1&gt;=B1054),1,0)</f>
        <v/>
      </c>
    </row>
    <row r="1055" spans="1:5">
      <c r="A1055" s="4" t="s">
        <v>20</v>
      </c>
      <c r="B1055" s="7">
        <v>0</v>
      </c>
      <c r="C1055" s="6">
        <f>IF(D1055=1,1.0,0)</f>
        <v/>
      </c>
      <c r="D1055" s="8">
        <f>IF(OR(LOOKUP(A1055,characters!A:A,characters!B:B)=-1, LOOKUP(A1055,characters!A:A,characters!B:B)+0.1&gt;=B1055),1,0)</f>
        <v/>
      </c>
    </row>
    <row r="1056" spans="1:5">
      <c r="A1056" s="4" t="s">
        <v>53</v>
      </c>
      <c r="B1056" s="7">
        <v>0</v>
      </c>
      <c r="C1056" s="6">
        <f>IF(D1056=1,1.0,0)</f>
        <v/>
      </c>
      <c r="D1056" s="8">
        <f>IF(OR(LOOKUP(A1056,characters!A:A,characters!B:B)=-1, LOOKUP(A1056,characters!A:A,characters!B:B)+0.1&gt;=B1056),1,0)</f>
        <v/>
      </c>
    </row>
    <row r="1057" spans="1:10">
      <c r="A1057" s="4" t="s">
        <v>75</v>
      </c>
      <c r="B1057" s="7">
        <v>0</v>
      </c>
      <c r="C1057" s="6">
        <f>IF(D1057=1,1.0,0)</f>
        <v/>
      </c>
      <c r="D1057" s="8">
        <f>IF(OR(LOOKUP(A1057,characters!A:A,characters!B:B)=-1, LOOKUP(A1057,characters!A:A,characters!B:B)+0.1&gt;=B1057),1,0)</f>
        <v/>
      </c>
    </row>
    <row r="1064" spans="1:10">
      <c r="A1064" s="3" t="s">
        <v>126</v>
      </c>
    </row>
    <row r="1065" spans="1:10">
      <c r="A1065" s="3" t="s">
        <v>8</v>
      </c>
      <c r="B1065" s="3" t="s">
        <v>9</v>
      </c>
      <c r="C1065" s="3" t="s">
        <v>13</v>
      </c>
      <c r="D1065" s="3" t="s">
        <v>12</v>
      </c>
      <c r="E1065" s="3" t="s">
        <v>10</v>
      </c>
      <c r="F1065" s="3" t="s">
        <v>11</v>
      </c>
      <c r="G1065" s="3" t="s">
        <v>14</v>
      </c>
      <c r="H1065" s="3" t="s">
        <v>15</v>
      </c>
      <c r="I1065" s="3" t="s">
        <v>27</v>
      </c>
    </row>
    <row r="1066" spans="1:10">
      <c r="A1066" s="4" t="s">
        <v>16</v>
      </c>
      <c r="B1066" s="5" t="s">
        <v>17</v>
      </c>
      <c r="C1066" s="6">
        <f>IF(SUM(J1067:J1083)=0,0,SUM(C1067:C1083)/SUM(J1067:J1083))</f>
        <v/>
      </c>
      <c r="D1066" s="6">
        <f>IF(SUM(J1067:J1083)=0,0,SUM(D1067:D1083)/SUM(J1067:J1083))</f>
        <v/>
      </c>
      <c r="E1066" s="6">
        <f>IF(SUM(J1067:J1083)=0,0,SUM(E1067:E1083)/SUM(J1067:J1083))</f>
        <v/>
      </c>
      <c r="F1066" s="6">
        <f>IF(SUM(J1067:J1083)=0,0,SUM(F1067:F1083)/SUM(J1067:J1083))</f>
        <v/>
      </c>
      <c r="G1066" s="6">
        <f>IF(SUM(J1067:J1083)=0,0,SUM(G1067:G1083)/SUM(J1067:J1083))</f>
        <v/>
      </c>
      <c r="H1066" s="6">
        <f>IF(SUM(J1067:J1083)=0,0,SUM(H1067:H1083)/SUM(J1067:J1083))</f>
        <v/>
      </c>
      <c r="I1066" s="6">
        <f>IF(SUM(J1067:J1083)=0,0,SUM(I1067:I1083)/SUM(J1067:J1083))</f>
        <v/>
      </c>
    </row>
    <row r="1067" spans="1:10">
      <c r="A1067" s="4" t="s">
        <v>18</v>
      </c>
      <c r="B1067" s="7">
        <v>0</v>
      </c>
      <c r="C1067" s="6">
        <f>IF(J1067=1,0.9,0)</f>
        <v/>
      </c>
      <c r="D1067" s="6">
        <f>IF(J1067=1,0.9,0)</f>
        <v/>
      </c>
      <c r="E1067" s="6">
        <f>IF(J1067=1,1.0,0)</f>
        <v/>
      </c>
      <c r="F1067" s="6">
        <f>IF(J1067=1,0.8,0)</f>
        <v/>
      </c>
      <c r="G1067" s="5" t="s">
        <v>17</v>
      </c>
      <c r="H1067" s="5" t="s">
        <v>17</v>
      </c>
      <c r="I1067" s="5" t="s">
        <v>17</v>
      </c>
      <c r="J1067" s="8">
        <f>IF(OR(LOOKUP(A1067,characters!A:A,characters!B:B)=-1, LOOKUP(A1067,characters!A:A,characters!B:B)+0.1&gt;=B1067),1,0)</f>
        <v/>
      </c>
    </row>
    <row r="1068" spans="1:10">
      <c r="A1068" s="4" t="s">
        <v>107</v>
      </c>
      <c r="B1068" s="7">
        <v>0</v>
      </c>
      <c r="C1068" s="6">
        <f>IF(J1068=1,0.9,0)</f>
        <v/>
      </c>
      <c r="D1068" s="6">
        <f>IF(J1068=1,0.9,0)</f>
        <v/>
      </c>
      <c r="E1068" s="6">
        <f>IF(J1068=1,1.0,0)</f>
        <v/>
      </c>
      <c r="F1068" s="5" t="s">
        <v>17</v>
      </c>
      <c r="G1068" s="5" t="s">
        <v>17</v>
      </c>
      <c r="H1068" s="5" t="s">
        <v>17</v>
      </c>
      <c r="I1068" s="6">
        <f>IF(J1068=1,0.8,0)</f>
        <v/>
      </c>
      <c r="J1068" s="8">
        <f>IF(OR(LOOKUP(A1068,characters!A:A,characters!B:B)=-1, LOOKUP(A1068,characters!A:A,characters!B:B)+0.1&gt;=B1068),1,0)</f>
        <v/>
      </c>
    </row>
    <row r="1069" spans="1:10">
      <c r="A1069" s="4" t="s">
        <v>85</v>
      </c>
      <c r="B1069" s="7">
        <v>0</v>
      </c>
      <c r="C1069" s="6">
        <f>IF(J1069=1,1.0,0)</f>
        <v/>
      </c>
      <c r="D1069" s="6">
        <f>IF(J1069=1,1.0,0)</f>
        <v/>
      </c>
      <c r="E1069" s="6">
        <f>IF(J1069=1,1.0,0)</f>
        <v/>
      </c>
      <c r="F1069" s="6">
        <f>IF(J1069=1,0.9,0)</f>
        <v/>
      </c>
      <c r="G1069" s="5" t="s">
        <v>17</v>
      </c>
      <c r="H1069" s="5" t="s">
        <v>17</v>
      </c>
      <c r="I1069" s="5" t="s">
        <v>17</v>
      </c>
      <c r="J1069" s="8">
        <f>IF(OR(LOOKUP(A1069,characters!A:A,characters!B:B)=-1, LOOKUP(A1069,characters!A:A,characters!B:B)+0.1&gt;=B1069),1,0)</f>
        <v/>
      </c>
    </row>
    <row r="1070" spans="1:10">
      <c r="A1070" s="4" t="s">
        <v>86</v>
      </c>
      <c r="B1070" s="7">
        <v>0</v>
      </c>
      <c r="C1070" s="6">
        <f>IF(J1070=1,1.0,0)</f>
        <v/>
      </c>
      <c r="D1070" s="6">
        <f>IF(J1070=1,1.0,0)</f>
        <v/>
      </c>
      <c r="E1070" s="5" t="s">
        <v>17</v>
      </c>
      <c r="F1070" s="6">
        <f>IF(J1070=1,0.9,0)</f>
        <v/>
      </c>
      <c r="G1070" s="5" t="s">
        <v>17</v>
      </c>
      <c r="H1070" s="5" t="s">
        <v>17</v>
      </c>
      <c r="I1070" s="5" t="s">
        <v>17</v>
      </c>
      <c r="J1070" s="8">
        <f>IF(OR(LOOKUP(A1070,characters!A:A,characters!B:B)=-1, LOOKUP(A1070,characters!A:A,characters!B:B)+0.1&gt;=B1070),1,0)</f>
        <v/>
      </c>
    </row>
    <row r="1071" spans="1:10">
      <c r="A1071" s="4" t="s">
        <v>87</v>
      </c>
      <c r="B1071" s="7">
        <v>0</v>
      </c>
      <c r="C1071" s="6">
        <f>IF(J1071=1,0.9,0)</f>
        <v/>
      </c>
      <c r="D1071" s="6">
        <f>IF(J1071=1,0.9,0)</f>
        <v/>
      </c>
      <c r="E1071" s="6">
        <f>IF(J1071=1,1.0,0)</f>
        <v/>
      </c>
      <c r="F1071" s="6">
        <f>IF(J1071=1,0.8,0)</f>
        <v/>
      </c>
      <c r="G1071" s="5" t="s">
        <v>17</v>
      </c>
      <c r="H1071" s="5" t="s">
        <v>17</v>
      </c>
      <c r="I1071" s="5" t="s">
        <v>17</v>
      </c>
      <c r="J1071" s="8">
        <f>IF(OR(LOOKUP(A1071,characters!A:A,characters!B:B)=-1, LOOKUP(A1071,characters!A:A,characters!B:B)+0.1&gt;=B1071),1,0)</f>
        <v/>
      </c>
    </row>
    <row r="1072" spans="1:10">
      <c r="A1072" s="4" t="s">
        <v>91</v>
      </c>
      <c r="B1072" s="7">
        <v>0</v>
      </c>
      <c r="C1072" s="6">
        <f>IF(J1072=1,0.9,0)</f>
        <v/>
      </c>
      <c r="D1072" s="6">
        <f>IF(J1072=1,0.9,0)</f>
        <v/>
      </c>
      <c r="E1072" s="6">
        <f>IF(J1072=1,1.0,0)</f>
        <v/>
      </c>
      <c r="F1072" s="6">
        <f>IF(J1072=1,0.8,0)</f>
        <v/>
      </c>
      <c r="G1072" s="5" t="s">
        <v>17</v>
      </c>
      <c r="H1072" s="5" t="s">
        <v>17</v>
      </c>
      <c r="I1072" s="5" t="s">
        <v>17</v>
      </c>
      <c r="J1072" s="8">
        <f>IF(OR(LOOKUP(A1072,characters!A:A,characters!B:B)=-1, LOOKUP(A1072,characters!A:A,characters!B:B)+0.1&gt;=B1072),1,0)</f>
        <v/>
      </c>
    </row>
    <row r="1073" spans="1:12">
      <c r="A1073" s="4" t="s">
        <v>88</v>
      </c>
      <c r="B1073" s="7">
        <v>0</v>
      </c>
      <c r="C1073" s="6">
        <f>IF(J1073=1,0.9,0)</f>
        <v/>
      </c>
      <c r="D1073" s="6">
        <f>IF(J1073=1,0.9,0)</f>
        <v/>
      </c>
      <c r="E1073" s="6">
        <f>IF(J1073=1,1.0,0)</f>
        <v/>
      </c>
      <c r="F1073" s="6">
        <f>IF(J1073=1,0.8,0)</f>
        <v/>
      </c>
      <c r="G1073" s="5" t="s">
        <v>17</v>
      </c>
      <c r="H1073" s="5" t="s">
        <v>17</v>
      </c>
      <c r="I1073" s="5" t="s">
        <v>17</v>
      </c>
      <c r="J1073" s="8">
        <f>IF(OR(LOOKUP(A1073,characters!A:A,characters!B:B)=-1, LOOKUP(A1073,characters!A:A,characters!B:B)+0.1&gt;=B1073),1,0)</f>
        <v/>
      </c>
    </row>
    <row r="1074" spans="1:12">
      <c r="A1074" s="4" t="s">
        <v>89</v>
      </c>
      <c r="B1074" s="7">
        <v>0</v>
      </c>
      <c r="C1074" s="6">
        <f>IF(J1074=1,1.0,0)</f>
        <v/>
      </c>
      <c r="D1074" s="6">
        <f>IF(J1074=1,1.0,0)</f>
        <v/>
      </c>
      <c r="E1074" s="5" t="s">
        <v>17</v>
      </c>
      <c r="F1074" s="6">
        <f>IF(J1074=1,0.9,0)</f>
        <v/>
      </c>
      <c r="G1074" s="5" t="s">
        <v>17</v>
      </c>
      <c r="H1074" s="5" t="s">
        <v>17</v>
      </c>
      <c r="I1074" s="5" t="s">
        <v>17</v>
      </c>
      <c r="J1074" s="8">
        <f>IF(OR(LOOKUP(A1074,characters!A:A,characters!B:B)=-1, LOOKUP(A1074,characters!A:A,characters!B:B)+0.1&gt;=B1074),1,0)</f>
        <v/>
      </c>
    </row>
    <row r="1075" spans="1:12">
      <c r="A1075" s="4" t="s">
        <v>52</v>
      </c>
      <c r="B1075" s="7">
        <v>0</v>
      </c>
      <c r="C1075" s="6">
        <f>IF(J1075=1,0.89,0)</f>
        <v/>
      </c>
      <c r="D1075" s="6">
        <f>IF(J1075=1,0.89,0)</f>
        <v/>
      </c>
      <c r="E1075" s="6">
        <f>IF(J1075=1,1.0,0)</f>
        <v/>
      </c>
      <c r="F1075" s="6">
        <f>IF(J1075=1,0.79,0)</f>
        <v/>
      </c>
      <c r="G1075" s="5" t="s">
        <v>17</v>
      </c>
      <c r="H1075" s="6">
        <f>IF(J1075=1,0.9,0)</f>
        <v/>
      </c>
      <c r="I1075" s="5" t="s">
        <v>17</v>
      </c>
      <c r="J1075" s="8">
        <f>IF(OR(LOOKUP(A1075,characters!A:A,characters!B:B)=-1, LOOKUP(A1075,characters!A:A,characters!B:B)+0.1&gt;=B1075),1,0)</f>
        <v/>
      </c>
    </row>
    <row r="1076" spans="1:12">
      <c r="A1076" s="4" t="s">
        <v>80</v>
      </c>
      <c r="B1076" s="7">
        <v>1</v>
      </c>
      <c r="C1076" s="6">
        <f>IF(J1076=1,0.9,0)</f>
        <v/>
      </c>
      <c r="D1076" s="6">
        <f>IF(J1076=1,0.9,0)</f>
        <v/>
      </c>
      <c r="E1076" s="6">
        <f>IF(J1076=1,1.0,0)</f>
        <v/>
      </c>
      <c r="F1076" s="6">
        <f>IF(J1076=1,0.8,0)</f>
        <v/>
      </c>
      <c r="G1076" s="5" t="s">
        <v>17</v>
      </c>
      <c r="H1076" s="5" t="s">
        <v>17</v>
      </c>
      <c r="I1076" s="5" t="s">
        <v>17</v>
      </c>
      <c r="J1076" s="8">
        <f>IF(OR(LOOKUP(A1076,characters!A:A,characters!B:B)=-1, LOOKUP(A1076,characters!A:A,characters!B:B)+0.1&gt;=B1076),1,0)</f>
        <v/>
      </c>
    </row>
    <row r="1077" spans="1:12">
      <c r="A1077" s="4" t="s">
        <v>83</v>
      </c>
      <c r="B1077" s="7">
        <v>1</v>
      </c>
      <c r="C1077" s="6">
        <f>IF(J1077=1,0.9,0)</f>
        <v/>
      </c>
      <c r="D1077" s="6">
        <f>IF(J1077=1,0.9,0)</f>
        <v/>
      </c>
      <c r="E1077" s="6">
        <f>IF(J1077=1,1.0,0)</f>
        <v/>
      </c>
      <c r="F1077" s="6">
        <f>IF(J1077=1,0.8,0)</f>
        <v/>
      </c>
      <c r="G1077" s="5" t="s">
        <v>17</v>
      </c>
      <c r="H1077" s="5" t="s">
        <v>17</v>
      </c>
      <c r="I1077" s="5" t="s">
        <v>17</v>
      </c>
      <c r="J1077" s="8">
        <f>IF(OR(LOOKUP(A1077,characters!A:A,characters!B:B)=-1, LOOKUP(A1077,characters!A:A,characters!B:B)+0.1&gt;=B1077),1,0)</f>
        <v/>
      </c>
    </row>
    <row r="1078" spans="1:12">
      <c r="A1078" s="4" t="s">
        <v>92</v>
      </c>
      <c r="B1078" s="7">
        <v>1</v>
      </c>
      <c r="C1078" s="6">
        <f>IF(J1078=1,0.8,0)</f>
        <v/>
      </c>
      <c r="D1078" s="6">
        <f>IF(J1078=1,0.9,0)</f>
        <v/>
      </c>
      <c r="E1078" s="6">
        <f>IF(J1078=1,1.0,0)</f>
        <v/>
      </c>
      <c r="F1078" s="6">
        <f>IF(J1078=1,0.7,0)</f>
        <v/>
      </c>
      <c r="G1078" s="5" t="s">
        <v>17</v>
      </c>
      <c r="H1078" s="5" t="s">
        <v>17</v>
      </c>
      <c r="I1078" s="5" t="s">
        <v>17</v>
      </c>
      <c r="J1078" s="8">
        <f>IF(OR(LOOKUP(A1078,characters!A:A,characters!B:B)=-1, LOOKUP(A1078,characters!A:A,characters!B:B)+0.1&gt;=B1078),1,0)</f>
        <v/>
      </c>
    </row>
    <row r="1079" spans="1:12">
      <c r="A1079" s="4" t="s">
        <v>84</v>
      </c>
      <c r="B1079" s="7">
        <v>1</v>
      </c>
      <c r="C1079" s="6">
        <f>IF(J1079=1,0.9,0)</f>
        <v/>
      </c>
      <c r="D1079" s="6">
        <f>IF(J1079=1,0.7,0)</f>
        <v/>
      </c>
      <c r="E1079" s="6">
        <f>IF(J1079=1,1.0,0)</f>
        <v/>
      </c>
      <c r="F1079" s="6">
        <f>IF(J1079=1,0.8,0)</f>
        <v/>
      </c>
      <c r="G1079" s="5" t="s">
        <v>17</v>
      </c>
      <c r="H1079" s="5" t="s">
        <v>17</v>
      </c>
      <c r="I1079" s="5" t="s">
        <v>17</v>
      </c>
      <c r="J1079" s="8">
        <f>IF(OR(LOOKUP(A1079,characters!A:A,characters!B:B)=-1, LOOKUP(A1079,characters!A:A,characters!B:B)+0.1&gt;=B1079),1,0)</f>
        <v/>
      </c>
    </row>
    <row r="1080" spans="1:12">
      <c r="A1080" s="4" t="s">
        <v>51</v>
      </c>
      <c r="B1080" s="7">
        <v>2</v>
      </c>
      <c r="C1080" s="6">
        <f>IF(J1080=1,1.0,0)</f>
        <v/>
      </c>
      <c r="D1080" s="6">
        <f>IF(J1080=1,1.0,0)</f>
        <v/>
      </c>
      <c r="E1080" s="6">
        <f>IF(J1080=1,1.0,0)</f>
        <v/>
      </c>
      <c r="F1080" s="6">
        <f>IF(J1080=1,0.9,0)</f>
        <v/>
      </c>
      <c r="G1080" s="5" t="s">
        <v>17</v>
      </c>
      <c r="H1080" s="5" t="s">
        <v>17</v>
      </c>
      <c r="I1080" s="5" t="s">
        <v>17</v>
      </c>
      <c r="J1080" s="8">
        <f>IF(OR(LOOKUP(A1080,characters!A:A,characters!B:B)=-1, LOOKUP(A1080,characters!A:A,characters!B:B)+0.1&gt;=B1080),1,0)</f>
        <v/>
      </c>
    </row>
    <row r="1081" spans="1:12">
      <c r="A1081" s="4" t="s">
        <v>21</v>
      </c>
      <c r="B1081" s="7">
        <v>2</v>
      </c>
      <c r="C1081" s="6">
        <f>IF(J1081=1,0.9,0)</f>
        <v/>
      </c>
      <c r="D1081" s="6">
        <f>IF(J1081=1,0.9,0)</f>
        <v/>
      </c>
      <c r="E1081" s="6">
        <f>IF(J1081=1,1.0,0)</f>
        <v/>
      </c>
      <c r="F1081" s="6">
        <f>IF(J1081=1,0.8,0)</f>
        <v/>
      </c>
      <c r="G1081" s="5" t="s">
        <v>17</v>
      </c>
      <c r="H1081" s="5" t="s">
        <v>17</v>
      </c>
      <c r="I1081" s="5" t="s">
        <v>17</v>
      </c>
      <c r="J1081" s="8">
        <f>IF(OR(LOOKUP(A1081,characters!A:A,characters!B:B)=-1, LOOKUP(A1081,characters!A:A,characters!B:B)+0.1&gt;=B1081),1,0)</f>
        <v/>
      </c>
    </row>
    <row r="1082" spans="1:12">
      <c r="A1082" s="4" t="s">
        <v>90</v>
      </c>
      <c r="B1082" s="7">
        <v>2</v>
      </c>
      <c r="C1082" s="6">
        <f>IF(J1082=1,0.9,0)</f>
        <v/>
      </c>
      <c r="D1082" s="6">
        <f>IF(J1082=1,0.9,0)</f>
        <v/>
      </c>
      <c r="E1082" s="6">
        <f>IF(J1082=1,1.0,0)</f>
        <v/>
      </c>
      <c r="F1082" s="6">
        <f>IF(J1082=1,0.8,0)</f>
        <v/>
      </c>
      <c r="G1082" s="6">
        <f>IF(J1082=1,1.0,0)</f>
        <v/>
      </c>
      <c r="H1082" s="5" t="s">
        <v>17</v>
      </c>
      <c r="I1082" s="5" t="s">
        <v>17</v>
      </c>
      <c r="J1082" s="8">
        <f>IF(OR(LOOKUP(A1082,characters!A:A,characters!B:B)=-1, LOOKUP(A1082,characters!A:A,characters!B:B)+0.1&gt;=B1082),1,0)</f>
        <v/>
      </c>
    </row>
    <row r="1083" spans="1:12">
      <c r="A1083" s="4" t="s">
        <v>59</v>
      </c>
      <c r="B1083" s="7">
        <v>3</v>
      </c>
      <c r="C1083" s="6">
        <f>IF(J1083=1,1.0,0)</f>
        <v/>
      </c>
      <c r="D1083" s="6">
        <f>IF(J1083=1,1.0,0)</f>
        <v/>
      </c>
      <c r="E1083" s="6">
        <f>IF(J1083=1,1.0,0)</f>
        <v/>
      </c>
      <c r="F1083" s="6">
        <f>IF(J1083=1,0.9,0)</f>
        <v/>
      </c>
      <c r="G1083" s="5" t="s">
        <v>17</v>
      </c>
      <c r="H1083" s="5" t="s">
        <v>17</v>
      </c>
      <c r="I1083" s="5" t="s">
        <v>17</v>
      </c>
      <c r="J1083" s="8">
        <f>IF(OR(LOOKUP(A1083,characters!A:A,characters!B:B)=-1, LOOKUP(A1083,characters!A:A,characters!B:B)+0.1&gt;=B1083),1,0)</f>
        <v/>
      </c>
    </row>
    <row r="1085" spans="1:12">
      <c r="A1085" s="3" t="s">
        <v>30</v>
      </c>
      <c r="B1085" s="3" t="s">
        <v>9</v>
      </c>
      <c r="C1085" s="3" t="s">
        <v>66</v>
      </c>
      <c r="D1085" s="3" t="s">
        <v>11</v>
      </c>
      <c r="E1085" s="3" t="s">
        <v>64</v>
      </c>
      <c r="F1085" s="3" t="s">
        <v>27</v>
      </c>
      <c r="G1085" s="3" t="s">
        <v>63</v>
      </c>
      <c r="H1085" s="3" t="s">
        <v>45</v>
      </c>
      <c r="I1085" s="3" t="s">
        <v>47</v>
      </c>
      <c r="J1085" s="3" t="s">
        <v>65</v>
      </c>
      <c r="K1085" s="3" t="s">
        <v>46</v>
      </c>
    </row>
    <row r="1086" spans="1:12">
      <c r="A1086" s="4" t="s">
        <v>16</v>
      </c>
      <c r="B1086" s="5" t="s">
        <v>17</v>
      </c>
      <c r="C1086" s="6">
        <f>IF(SUM(L1087:L1103)=0,0,SUM(C1087:C1103)/SUM(L1087:L1103))</f>
        <v/>
      </c>
      <c r="D1086" s="6">
        <f>IF(SUM(L1087:L1103)=0,0,SUM(D1087:D1103)/SUM(L1087:L1103))</f>
        <v/>
      </c>
      <c r="E1086" s="6">
        <f>IF(SUM(L1087:L1103)=0,0,SUM(E1087:E1103)/SUM(L1087:L1103))</f>
        <v/>
      </c>
      <c r="F1086" s="6">
        <f>IF(SUM(L1087:L1103)=0,0,SUM(F1087:F1103)/SUM(L1087:L1103))</f>
        <v/>
      </c>
      <c r="G1086" s="6">
        <f>IF(SUM(L1087:L1103)=0,0,SUM(G1087:G1103)/SUM(L1087:L1103))</f>
        <v/>
      </c>
      <c r="H1086" s="6">
        <f>IF(SUM(L1087:L1103)=0,0,SUM(H1087:H1103)/SUM(L1087:L1103))</f>
        <v/>
      </c>
      <c r="I1086" s="6">
        <f>IF(SUM(L1087:L1103)=0,0,SUM(I1087:I1103)/SUM(L1087:L1103))</f>
        <v/>
      </c>
      <c r="J1086" s="6">
        <f>IF(SUM(L1087:L1103)=0,0,SUM(J1087:J1103)/SUM(L1087:L1103))</f>
        <v/>
      </c>
      <c r="K1086" s="6">
        <f>IF(SUM(L1087:L1103)=0,0,SUM(K1087:K1103)/SUM(L1087:L1103))</f>
        <v/>
      </c>
    </row>
    <row r="1087" spans="1:12">
      <c r="A1087" s="4" t="s">
        <v>18</v>
      </c>
      <c r="B1087" s="7">
        <v>0</v>
      </c>
      <c r="C1087" s="6">
        <f>IF(L1087=1,1.0,0)</f>
        <v/>
      </c>
      <c r="D1087" s="6">
        <f>IF(L1087=1,0.9,0)</f>
        <v/>
      </c>
      <c r="E1087" s="5" t="s">
        <v>17</v>
      </c>
      <c r="F1087" s="5" t="s">
        <v>17</v>
      </c>
      <c r="G1087" s="5" t="s">
        <v>17</v>
      </c>
      <c r="H1087" s="5" t="s">
        <v>17</v>
      </c>
      <c r="I1087" s="5" t="s">
        <v>17</v>
      </c>
      <c r="J1087" s="5" t="s">
        <v>17</v>
      </c>
      <c r="K1087" s="5" t="s">
        <v>17</v>
      </c>
      <c r="L1087" s="8">
        <f>IF(OR(LOOKUP(A1087,characters!A:A,characters!B:B)=-1, LOOKUP(A1087,characters!A:A,characters!B:B)+0.1&gt;=B1087),1,0)</f>
        <v/>
      </c>
    </row>
    <row r="1088" spans="1:12">
      <c r="A1088" s="4" t="s">
        <v>107</v>
      </c>
      <c r="B1088" s="7">
        <v>0</v>
      </c>
      <c r="C1088" s="5" t="s">
        <v>17</v>
      </c>
      <c r="D1088" s="5" t="s">
        <v>17</v>
      </c>
      <c r="E1088" s="6">
        <f>IF(L1088=1,1.0,0)</f>
        <v/>
      </c>
      <c r="F1088" s="6">
        <f>IF(L1088=1,0.99,0)</f>
        <v/>
      </c>
      <c r="G1088" s="5" t="s">
        <v>17</v>
      </c>
      <c r="H1088" s="5" t="s">
        <v>17</v>
      </c>
      <c r="I1088" s="5" t="s">
        <v>17</v>
      </c>
      <c r="J1088" s="5" t="s">
        <v>17</v>
      </c>
      <c r="K1088" s="5" t="s">
        <v>17</v>
      </c>
      <c r="L1088" s="8">
        <f>IF(OR(LOOKUP(A1088,characters!A:A,characters!B:B)=-1, LOOKUP(A1088,characters!A:A,characters!B:B)+0.1&gt;=B1088),1,0)</f>
        <v/>
      </c>
    </row>
    <row r="1089" spans="1:12">
      <c r="A1089" s="4" t="s">
        <v>51</v>
      </c>
      <c r="B1089" s="7">
        <v>2</v>
      </c>
      <c r="C1089" s="5" t="s">
        <v>17</v>
      </c>
      <c r="D1089" s="6">
        <f>IF(L1089=1,0.9,0)</f>
        <v/>
      </c>
      <c r="E1089" s="5" t="s">
        <v>17</v>
      </c>
      <c r="F1089" s="5" t="s">
        <v>17</v>
      </c>
      <c r="G1089" s="6">
        <f>IF(L1089=1,1.0,0)</f>
        <v/>
      </c>
      <c r="H1089" s="5" t="s">
        <v>17</v>
      </c>
      <c r="I1089" s="5" t="s">
        <v>17</v>
      </c>
      <c r="J1089" s="5" t="s">
        <v>17</v>
      </c>
      <c r="K1089" s="5" t="s">
        <v>17</v>
      </c>
      <c r="L1089" s="8">
        <f>IF(OR(LOOKUP(A1089,characters!A:A,characters!B:B)=-1, LOOKUP(A1089,characters!A:A,characters!B:B)+0.1&gt;=B1089),1,0)</f>
        <v/>
      </c>
    </row>
    <row r="1090" spans="1:12">
      <c r="A1090" s="4" t="s">
        <v>85</v>
      </c>
      <c r="B1090" s="7">
        <v>0</v>
      </c>
      <c r="C1090" s="5" t="s">
        <v>17</v>
      </c>
      <c r="D1090" s="6">
        <f>IF(L1090=1,0.99,0)</f>
        <v/>
      </c>
      <c r="E1090" s="6">
        <f>IF(L1090=1,1.0,0)</f>
        <v/>
      </c>
      <c r="F1090" s="5" t="s">
        <v>17</v>
      </c>
      <c r="G1090" s="5" t="s">
        <v>17</v>
      </c>
      <c r="H1090" s="5" t="s">
        <v>17</v>
      </c>
      <c r="I1090" s="5" t="s">
        <v>17</v>
      </c>
      <c r="J1090" s="5" t="s">
        <v>17</v>
      </c>
      <c r="K1090" s="5" t="s">
        <v>17</v>
      </c>
      <c r="L1090" s="8">
        <f>IF(OR(LOOKUP(A1090,characters!A:A,characters!B:B)=-1, LOOKUP(A1090,characters!A:A,characters!B:B)+0.1&gt;=B1090),1,0)</f>
        <v/>
      </c>
    </row>
    <row r="1091" spans="1:12">
      <c r="A1091" s="4" t="s">
        <v>86</v>
      </c>
      <c r="B1091" s="7">
        <v>0</v>
      </c>
      <c r="C1091" s="5" t="s">
        <v>17</v>
      </c>
      <c r="D1091" s="6">
        <f>IF(L1091=1,0.9,0)</f>
        <v/>
      </c>
      <c r="E1091" s="5" t="s">
        <v>17</v>
      </c>
      <c r="F1091" s="5" t="s">
        <v>17</v>
      </c>
      <c r="G1091" s="5" t="s">
        <v>17</v>
      </c>
      <c r="H1091" s="6">
        <f>IF(L1091=1,1.0,0)</f>
        <v/>
      </c>
      <c r="I1091" s="5" t="s">
        <v>17</v>
      </c>
      <c r="J1091" s="5" t="s">
        <v>17</v>
      </c>
      <c r="K1091" s="5" t="s">
        <v>17</v>
      </c>
      <c r="L1091" s="8">
        <f>IF(OR(LOOKUP(A1091,characters!A:A,characters!B:B)=-1, LOOKUP(A1091,characters!A:A,characters!B:B)+0.1&gt;=B1091),1,0)</f>
        <v/>
      </c>
    </row>
    <row r="1092" spans="1:12">
      <c r="A1092" s="4" t="s">
        <v>59</v>
      </c>
      <c r="B1092" s="7">
        <v>3</v>
      </c>
      <c r="C1092" s="5" t="s">
        <v>17</v>
      </c>
      <c r="D1092" s="6">
        <f>IF(L1092=1,0.9,0)</f>
        <v/>
      </c>
      <c r="E1092" s="5" t="s">
        <v>17</v>
      </c>
      <c r="F1092" s="5" t="s">
        <v>17</v>
      </c>
      <c r="G1092" s="5" t="s">
        <v>17</v>
      </c>
      <c r="H1092" s="5" t="s">
        <v>17</v>
      </c>
      <c r="I1092" s="6">
        <f>IF(L1092=1,1.0,0)</f>
        <v/>
      </c>
      <c r="J1092" s="5" t="s">
        <v>17</v>
      </c>
      <c r="K1092" s="5" t="s">
        <v>17</v>
      </c>
      <c r="L1092" s="8">
        <f>IF(OR(LOOKUP(A1092,characters!A:A,characters!B:B)=-1, LOOKUP(A1092,characters!A:A,characters!B:B)+0.1&gt;=B1092),1,0)</f>
        <v/>
      </c>
    </row>
    <row r="1093" spans="1:12">
      <c r="A1093" s="4" t="s">
        <v>80</v>
      </c>
      <c r="B1093" s="7">
        <v>1</v>
      </c>
      <c r="C1093" s="5" t="s">
        <v>17</v>
      </c>
      <c r="D1093" s="6">
        <f>IF(L1093=1,0.9,0)</f>
        <v/>
      </c>
      <c r="E1093" s="5" t="s">
        <v>17</v>
      </c>
      <c r="F1093" s="5" t="s">
        <v>17</v>
      </c>
      <c r="G1093" s="5" t="s">
        <v>17</v>
      </c>
      <c r="H1093" s="5" t="s">
        <v>17</v>
      </c>
      <c r="I1093" s="5" t="s">
        <v>17</v>
      </c>
      <c r="J1093" s="6">
        <f>IF(L1093=1,1.0,0)</f>
        <v/>
      </c>
      <c r="K1093" s="5" t="s">
        <v>17</v>
      </c>
      <c r="L1093" s="8">
        <f>IF(OR(LOOKUP(A1093,characters!A:A,characters!B:B)=-1, LOOKUP(A1093,characters!A:A,characters!B:B)+0.1&gt;=B1093),1,0)</f>
        <v/>
      </c>
    </row>
    <row r="1094" spans="1:12">
      <c r="A1094" s="4" t="s">
        <v>87</v>
      </c>
      <c r="B1094" s="7">
        <v>0</v>
      </c>
      <c r="C1094" s="5" t="s">
        <v>17</v>
      </c>
      <c r="D1094" s="6">
        <f>IF(L1094=1,0.9,0)</f>
        <v/>
      </c>
      <c r="E1094" s="5" t="s">
        <v>17</v>
      </c>
      <c r="F1094" s="5" t="s">
        <v>17</v>
      </c>
      <c r="G1094" s="5" t="s">
        <v>17</v>
      </c>
      <c r="H1094" s="5" t="s">
        <v>17</v>
      </c>
      <c r="I1094" s="6">
        <f>IF(L1094=1,1.0,0)</f>
        <v/>
      </c>
      <c r="J1094" s="5" t="s">
        <v>17</v>
      </c>
      <c r="K1094" s="5" t="s">
        <v>17</v>
      </c>
      <c r="L1094" s="8">
        <f>IF(OR(LOOKUP(A1094,characters!A:A,characters!B:B)=-1, LOOKUP(A1094,characters!A:A,characters!B:B)+0.1&gt;=B1094),1,0)</f>
        <v/>
      </c>
    </row>
    <row r="1095" spans="1:12">
      <c r="A1095" s="4" t="s">
        <v>91</v>
      </c>
      <c r="B1095" s="7">
        <v>0</v>
      </c>
      <c r="C1095" s="5" t="s">
        <v>17</v>
      </c>
      <c r="D1095" s="6">
        <f>IF(L1095=1,0.99,0)</f>
        <v/>
      </c>
      <c r="E1095" s="5" t="s">
        <v>17</v>
      </c>
      <c r="F1095" s="5" t="s">
        <v>17</v>
      </c>
      <c r="G1095" s="5" t="s">
        <v>17</v>
      </c>
      <c r="H1095" s="6">
        <f>IF(L1095=1,1.0,0)</f>
        <v/>
      </c>
      <c r="I1095" s="5" t="s">
        <v>17</v>
      </c>
      <c r="J1095" s="5" t="s">
        <v>17</v>
      </c>
      <c r="K1095" s="5" t="s">
        <v>17</v>
      </c>
      <c r="L1095" s="8">
        <f>IF(OR(LOOKUP(A1095,characters!A:A,characters!B:B)=-1, LOOKUP(A1095,characters!A:A,characters!B:B)+0.1&gt;=B1095),1,0)</f>
        <v/>
      </c>
    </row>
    <row r="1096" spans="1:12">
      <c r="A1096" s="4" t="s">
        <v>83</v>
      </c>
      <c r="B1096" s="7">
        <v>1</v>
      </c>
      <c r="C1096" s="5" t="s">
        <v>17</v>
      </c>
      <c r="D1096" s="6">
        <f>IF(L1096=1,0.99,0)</f>
        <v/>
      </c>
      <c r="E1096" s="5" t="s">
        <v>17</v>
      </c>
      <c r="F1096" s="5" t="s">
        <v>17</v>
      </c>
      <c r="G1096" s="5" t="s">
        <v>17</v>
      </c>
      <c r="H1096" s="5" t="s">
        <v>17</v>
      </c>
      <c r="I1096" s="6">
        <f>IF(L1096=1,1.0,0)</f>
        <v/>
      </c>
      <c r="J1096" s="5" t="s">
        <v>17</v>
      </c>
      <c r="K1096" s="5" t="s">
        <v>17</v>
      </c>
      <c r="L1096" s="8">
        <f>IF(OR(LOOKUP(A1096,characters!A:A,characters!B:B)=-1, LOOKUP(A1096,characters!A:A,characters!B:B)+0.1&gt;=B1096),1,0)</f>
        <v/>
      </c>
    </row>
    <row r="1097" spans="1:12">
      <c r="A1097" s="4" t="s">
        <v>88</v>
      </c>
      <c r="B1097" s="7">
        <v>0</v>
      </c>
      <c r="C1097" s="5" t="s">
        <v>17</v>
      </c>
      <c r="D1097" s="5" t="s">
        <v>17</v>
      </c>
      <c r="E1097" s="5" t="s">
        <v>17</v>
      </c>
      <c r="F1097" s="5" t="s">
        <v>17</v>
      </c>
      <c r="G1097" s="5" t="s">
        <v>17</v>
      </c>
      <c r="H1097" s="5" t="s">
        <v>17</v>
      </c>
      <c r="I1097" s="5" t="s">
        <v>17</v>
      </c>
      <c r="J1097" s="5" t="s">
        <v>17</v>
      </c>
      <c r="K1097" s="6">
        <f>IF(L1097=1,1.0,0)</f>
        <v/>
      </c>
      <c r="L1097" s="8">
        <f>IF(OR(LOOKUP(A1097,characters!A:A,characters!B:B)=-1, LOOKUP(A1097,characters!A:A,characters!B:B)+0.1&gt;=B1097),1,0)</f>
        <v/>
      </c>
    </row>
    <row r="1098" spans="1:12">
      <c r="A1098" s="4" t="s">
        <v>89</v>
      </c>
      <c r="B1098" s="7">
        <v>0</v>
      </c>
      <c r="C1098" s="5" t="s">
        <v>17</v>
      </c>
      <c r="D1098" s="6">
        <f>IF(L1098=1,0.99,0)</f>
        <v/>
      </c>
      <c r="E1098" s="5" t="s">
        <v>17</v>
      </c>
      <c r="F1098" s="5" t="s">
        <v>17</v>
      </c>
      <c r="G1098" s="5" t="s">
        <v>17</v>
      </c>
      <c r="H1098" s="5" t="s">
        <v>17</v>
      </c>
      <c r="I1098" s="5" t="s">
        <v>17</v>
      </c>
      <c r="J1098" s="5" t="s">
        <v>17</v>
      </c>
      <c r="K1098" s="6">
        <f>IF(L1098=1,1.0,0)</f>
        <v/>
      </c>
      <c r="L1098" s="8">
        <f>IF(OR(LOOKUP(A1098,characters!A:A,characters!B:B)=-1, LOOKUP(A1098,characters!A:A,characters!B:B)+0.1&gt;=B1098),1,0)</f>
        <v/>
      </c>
    </row>
    <row r="1099" spans="1:12">
      <c r="A1099" s="4" t="s">
        <v>21</v>
      </c>
      <c r="B1099" s="7">
        <v>2</v>
      </c>
      <c r="C1099" s="6">
        <f>IF(L1099=1,1.0,0)</f>
        <v/>
      </c>
      <c r="D1099" s="6">
        <f>IF(L1099=1,0.99,0)</f>
        <v/>
      </c>
      <c r="E1099" s="5" t="s">
        <v>17</v>
      </c>
      <c r="F1099" s="5" t="s">
        <v>17</v>
      </c>
      <c r="G1099" s="5" t="s">
        <v>17</v>
      </c>
      <c r="H1099" s="5" t="s">
        <v>17</v>
      </c>
      <c r="I1099" s="5" t="s">
        <v>17</v>
      </c>
      <c r="J1099" s="5" t="s">
        <v>17</v>
      </c>
      <c r="K1099" s="5" t="s">
        <v>17</v>
      </c>
      <c r="L1099" s="8">
        <f>IF(OR(LOOKUP(A1099,characters!A:A,characters!B:B)=-1, LOOKUP(A1099,characters!A:A,characters!B:B)+0.1&gt;=B1099),1,0)</f>
        <v/>
      </c>
    </row>
    <row r="1100" spans="1:12">
      <c r="A1100" s="4" t="s">
        <v>92</v>
      </c>
      <c r="B1100" s="7">
        <v>1</v>
      </c>
      <c r="C1100" s="5" t="s">
        <v>17</v>
      </c>
      <c r="D1100" s="6">
        <f>IF(L1100=1,0.9,0)</f>
        <v/>
      </c>
      <c r="E1100" s="5" t="s">
        <v>17</v>
      </c>
      <c r="F1100" s="5" t="s">
        <v>17</v>
      </c>
      <c r="G1100" s="5" t="s">
        <v>17</v>
      </c>
      <c r="H1100" s="5" t="s">
        <v>17</v>
      </c>
      <c r="I1100" s="6">
        <f>IF(L1100=1,1.0,0)</f>
        <v/>
      </c>
      <c r="J1100" s="5" t="s">
        <v>17</v>
      </c>
      <c r="K1100" s="5" t="s">
        <v>17</v>
      </c>
      <c r="L1100" s="8">
        <f>IF(OR(LOOKUP(A1100,characters!A:A,characters!B:B)=-1, LOOKUP(A1100,characters!A:A,characters!B:B)+0.1&gt;=B1100),1,0)</f>
        <v/>
      </c>
    </row>
    <row r="1101" spans="1:12">
      <c r="A1101" s="4" t="s">
        <v>52</v>
      </c>
      <c r="B1101" s="7">
        <v>0</v>
      </c>
      <c r="C1101" s="5" t="s">
        <v>17</v>
      </c>
      <c r="D1101" s="6">
        <f>IF(L1101=1,0.9,0)</f>
        <v/>
      </c>
      <c r="E1101" s="5" t="s">
        <v>17</v>
      </c>
      <c r="F1101" s="5" t="s">
        <v>17</v>
      </c>
      <c r="G1101" s="6">
        <f>IF(L1101=1,1.0,0)</f>
        <v/>
      </c>
      <c r="H1101" s="5" t="s">
        <v>17</v>
      </c>
      <c r="I1101" s="5" t="s">
        <v>17</v>
      </c>
      <c r="J1101" s="5" t="s">
        <v>17</v>
      </c>
      <c r="K1101" s="5" t="s">
        <v>17</v>
      </c>
      <c r="L1101" s="8">
        <f>IF(OR(LOOKUP(A1101,characters!A:A,characters!B:B)=-1, LOOKUP(A1101,characters!A:A,characters!B:B)+0.1&gt;=B1101),1,0)</f>
        <v/>
      </c>
    </row>
    <row r="1102" spans="1:12">
      <c r="A1102" s="4" t="s">
        <v>90</v>
      </c>
      <c r="B1102" s="7">
        <v>2</v>
      </c>
      <c r="C1102" s="5" t="s">
        <v>17</v>
      </c>
      <c r="D1102" s="6">
        <f>IF(L1102=1,0.9,0)</f>
        <v/>
      </c>
      <c r="E1102" s="5" t="s">
        <v>17</v>
      </c>
      <c r="F1102" s="5" t="s">
        <v>17</v>
      </c>
      <c r="G1102" s="5" t="s">
        <v>17</v>
      </c>
      <c r="H1102" s="6">
        <f>IF(L1102=1,1.0,0)</f>
        <v/>
      </c>
      <c r="I1102" s="5" t="s">
        <v>17</v>
      </c>
      <c r="J1102" s="5" t="s">
        <v>17</v>
      </c>
      <c r="K1102" s="5" t="s">
        <v>17</v>
      </c>
      <c r="L1102" s="8">
        <f>IF(OR(LOOKUP(A1102,characters!A:A,characters!B:B)=-1, LOOKUP(A1102,characters!A:A,characters!B:B)+0.1&gt;=B1102),1,0)</f>
        <v/>
      </c>
    </row>
    <row r="1103" spans="1:12">
      <c r="A1103" s="4" t="s">
        <v>84</v>
      </c>
      <c r="B1103" s="7">
        <v>1</v>
      </c>
      <c r="C1103" s="5" t="s">
        <v>17</v>
      </c>
      <c r="D1103" s="6">
        <f>IF(L1103=1,0.99,0)</f>
        <v/>
      </c>
      <c r="E1103" s="5" t="s">
        <v>17</v>
      </c>
      <c r="F1103" s="5" t="s">
        <v>17</v>
      </c>
      <c r="G1103" s="5" t="s">
        <v>17</v>
      </c>
      <c r="H1103" s="5" t="s">
        <v>17</v>
      </c>
      <c r="I1103" s="6">
        <f>IF(L1103=1,1.0,0)</f>
        <v/>
      </c>
      <c r="J1103" s="5" t="s">
        <v>17</v>
      </c>
      <c r="K1103" s="5" t="s">
        <v>17</v>
      </c>
      <c r="L1103" s="8">
        <f>IF(OR(LOOKUP(A1103,characters!A:A,characters!B:B)=-1, LOOKUP(A1103,characters!A:A,characters!B:B)+0.1&gt;=B1103),1,0)</f>
        <v/>
      </c>
    </row>
    <row r="1105" spans="1:6">
      <c r="A1105" s="3" t="s">
        <v>31</v>
      </c>
      <c r="B1105" s="3" t="s">
        <v>9</v>
      </c>
      <c r="C1105" s="3" t="s">
        <v>11</v>
      </c>
      <c r="D1105" s="3" t="s">
        <v>27</v>
      </c>
      <c r="E1105" s="3" t="s">
        <v>32</v>
      </c>
    </row>
    <row r="1106" spans="1:6">
      <c r="A1106" s="4" t="s">
        <v>16</v>
      </c>
      <c r="B1106" s="5" t="s">
        <v>17</v>
      </c>
      <c r="C1106" s="6">
        <f>IF(SUM(F1107:F1123)=0,0,SUM(C1107:C1123)/SUM(F1107:F1123))</f>
        <v/>
      </c>
      <c r="D1106" s="6">
        <f>IF(SUM(F1107:F1123)=0,0,SUM(D1107:D1123)/SUM(F1107:F1123))</f>
        <v/>
      </c>
      <c r="E1106" s="6">
        <f>IF(SUM(F1107:F1123)=0,0,SUM(E1107:E1123)/SUM(F1107:F1123))</f>
        <v/>
      </c>
    </row>
    <row r="1107" spans="1:6">
      <c r="A1107" s="4" t="s">
        <v>18</v>
      </c>
      <c r="B1107" s="7">
        <v>0</v>
      </c>
      <c r="C1107" s="6">
        <f>IF(F1107=1,1.0,0)</f>
        <v/>
      </c>
      <c r="D1107" s="5" t="s">
        <v>17</v>
      </c>
      <c r="E1107" s="5" t="s">
        <v>17</v>
      </c>
      <c r="F1107" s="8">
        <f>IF(OR(LOOKUP(A1107,characters!A:A,characters!B:B)=-1, LOOKUP(A1107,characters!A:A,characters!B:B)+0.1&gt;=B1107),1,0)</f>
        <v/>
      </c>
    </row>
    <row r="1108" spans="1:6">
      <c r="A1108" s="4" t="s">
        <v>107</v>
      </c>
      <c r="B1108" s="7">
        <v>0</v>
      </c>
      <c r="C1108" s="5" t="s">
        <v>17</v>
      </c>
      <c r="D1108" s="6">
        <f>IF(F1108=1,1.0,0)</f>
        <v/>
      </c>
      <c r="E1108" s="5" t="s">
        <v>17</v>
      </c>
      <c r="F1108" s="8">
        <f>IF(OR(LOOKUP(A1108,characters!A:A,characters!B:B)=-1, LOOKUP(A1108,characters!A:A,characters!B:B)+0.1&gt;=B1108),1,0)</f>
        <v/>
      </c>
    </row>
    <row r="1109" spans="1:6">
      <c r="A1109" s="4" t="s">
        <v>51</v>
      </c>
      <c r="B1109" s="7">
        <v>2</v>
      </c>
      <c r="C1109" s="6">
        <f>IF(F1109=1,1.0,0)</f>
        <v/>
      </c>
      <c r="D1109" s="5" t="s">
        <v>17</v>
      </c>
      <c r="E1109" s="5" t="s">
        <v>17</v>
      </c>
      <c r="F1109" s="8">
        <f>IF(OR(LOOKUP(A1109,characters!A:A,characters!B:B)=-1, LOOKUP(A1109,characters!A:A,characters!B:B)+0.1&gt;=B1109),1,0)</f>
        <v/>
      </c>
    </row>
    <row r="1110" spans="1:6">
      <c r="A1110" s="4" t="s">
        <v>85</v>
      </c>
      <c r="B1110" s="7">
        <v>0</v>
      </c>
      <c r="C1110" s="6">
        <f>IF(F1110=1,1.0,0)</f>
        <v/>
      </c>
      <c r="D1110" s="5" t="s">
        <v>17</v>
      </c>
      <c r="E1110" s="5" t="s">
        <v>17</v>
      </c>
      <c r="F1110" s="8">
        <f>IF(OR(LOOKUP(A1110,characters!A:A,characters!B:B)=-1, LOOKUP(A1110,characters!A:A,characters!B:B)+0.1&gt;=B1110),1,0)</f>
        <v/>
      </c>
    </row>
    <row r="1111" spans="1:6">
      <c r="A1111" s="4" t="s">
        <v>86</v>
      </c>
      <c r="B1111" s="7">
        <v>0</v>
      </c>
      <c r="C1111" s="6">
        <f>IF(F1111=1,1.0,0)</f>
        <v/>
      </c>
      <c r="D1111" s="5" t="s">
        <v>17</v>
      </c>
      <c r="E1111" s="5" t="s">
        <v>17</v>
      </c>
      <c r="F1111" s="8">
        <f>IF(OR(LOOKUP(A1111,characters!A:A,characters!B:B)=-1, LOOKUP(A1111,characters!A:A,characters!B:B)+0.1&gt;=B1111),1,0)</f>
        <v/>
      </c>
    </row>
    <row r="1112" spans="1:6">
      <c r="A1112" s="4" t="s">
        <v>59</v>
      </c>
      <c r="B1112" s="7">
        <v>3</v>
      </c>
      <c r="C1112" s="6">
        <f>IF(F1112=1,1.0,0)</f>
        <v/>
      </c>
      <c r="D1112" s="5" t="s">
        <v>17</v>
      </c>
      <c r="E1112" s="5" t="s">
        <v>17</v>
      </c>
      <c r="F1112" s="8">
        <f>IF(OR(LOOKUP(A1112,characters!A:A,characters!B:B)=-1, LOOKUP(A1112,characters!A:A,characters!B:B)+0.1&gt;=B1112),1,0)</f>
        <v/>
      </c>
    </row>
    <row r="1113" spans="1:6">
      <c r="A1113" s="4" t="s">
        <v>80</v>
      </c>
      <c r="B1113" s="7">
        <v>1</v>
      </c>
      <c r="C1113" s="6">
        <f>IF(F1113=1,1.0,0)</f>
        <v/>
      </c>
      <c r="D1113" s="5" t="s">
        <v>17</v>
      </c>
      <c r="E1113" s="5" t="s">
        <v>17</v>
      </c>
      <c r="F1113" s="8">
        <f>IF(OR(LOOKUP(A1113,characters!A:A,characters!B:B)=-1, LOOKUP(A1113,characters!A:A,characters!B:B)+0.1&gt;=B1113),1,0)</f>
        <v/>
      </c>
    </row>
    <row r="1114" spans="1:6">
      <c r="A1114" s="4" t="s">
        <v>87</v>
      </c>
      <c r="B1114" s="7">
        <v>0</v>
      </c>
      <c r="C1114" s="6">
        <f>IF(F1114=1,1.0,0)</f>
        <v/>
      </c>
      <c r="D1114" s="5" t="s">
        <v>17</v>
      </c>
      <c r="E1114" s="5" t="s">
        <v>17</v>
      </c>
      <c r="F1114" s="8">
        <f>IF(OR(LOOKUP(A1114,characters!A:A,characters!B:B)=-1, LOOKUP(A1114,characters!A:A,characters!B:B)+0.1&gt;=B1114),1,0)</f>
        <v/>
      </c>
    </row>
    <row r="1115" spans="1:6">
      <c r="A1115" s="4" t="s">
        <v>91</v>
      </c>
      <c r="B1115" s="7">
        <v>0</v>
      </c>
      <c r="C1115" s="6">
        <f>IF(F1115=1,1.0,0)</f>
        <v/>
      </c>
      <c r="D1115" s="5" t="s">
        <v>17</v>
      </c>
      <c r="E1115" s="5" t="s">
        <v>17</v>
      </c>
      <c r="F1115" s="8">
        <f>IF(OR(LOOKUP(A1115,characters!A:A,characters!B:B)=-1, LOOKUP(A1115,characters!A:A,characters!B:B)+0.1&gt;=B1115),1,0)</f>
        <v/>
      </c>
    </row>
    <row r="1116" spans="1:6">
      <c r="A1116" s="4" t="s">
        <v>83</v>
      </c>
      <c r="B1116" s="7">
        <v>1</v>
      </c>
      <c r="C1116" s="6">
        <f>IF(F1116=1,1.0,0)</f>
        <v/>
      </c>
      <c r="D1116" s="5" t="s">
        <v>17</v>
      </c>
      <c r="E1116" s="5" t="s">
        <v>17</v>
      </c>
      <c r="F1116" s="8">
        <f>IF(OR(LOOKUP(A1116,characters!A:A,characters!B:B)=-1, LOOKUP(A1116,characters!A:A,characters!B:B)+0.1&gt;=B1116),1,0)</f>
        <v/>
      </c>
    </row>
    <row r="1117" spans="1:6">
      <c r="A1117" s="4" t="s">
        <v>88</v>
      </c>
      <c r="B1117" s="7">
        <v>0</v>
      </c>
      <c r="C1117" s="6">
        <f>IF(F1117=1,1.0,0)</f>
        <v/>
      </c>
      <c r="D1117" s="5" t="s">
        <v>17</v>
      </c>
      <c r="E1117" s="5" t="s">
        <v>17</v>
      </c>
      <c r="F1117" s="8">
        <f>IF(OR(LOOKUP(A1117,characters!A:A,characters!B:B)=-1, LOOKUP(A1117,characters!A:A,characters!B:B)+0.1&gt;=B1117),1,0)</f>
        <v/>
      </c>
    </row>
    <row r="1118" spans="1:6">
      <c r="A1118" s="4" t="s">
        <v>89</v>
      </c>
      <c r="B1118" s="7">
        <v>0</v>
      </c>
      <c r="C1118" s="6">
        <f>IF(F1118=1,1.0,0)</f>
        <v/>
      </c>
      <c r="D1118" s="5" t="s">
        <v>17</v>
      </c>
      <c r="E1118" s="5" t="s">
        <v>17</v>
      </c>
      <c r="F1118" s="8">
        <f>IF(OR(LOOKUP(A1118,characters!A:A,characters!B:B)=-1, LOOKUP(A1118,characters!A:A,characters!B:B)+0.1&gt;=B1118),1,0)</f>
        <v/>
      </c>
    </row>
    <row r="1119" spans="1:6">
      <c r="A1119" s="4" t="s">
        <v>21</v>
      </c>
      <c r="B1119" s="7">
        <v>2</v>
      </c>
      <c r="C1119" s="6">
        <f>IF(F1119=1,1.0,0)</f>
        <v/>
      </c>
      <c r="D1119" s="5" t="s">
        <v>17</v>
      </c>
      <c r="E1119" s="5" t="s">
        <v>17</v>
      </c>
      <c r="F1119" s="8">
        <f>IF(OR(LOOKUP(A1119,characters!A:A,characters!B:B)=-1, LOOKUP(A1119,characters!A:A,characters!B:B)+0.1&gt;=B1119),1,0)</f>
        <v/>
      </c>
    </row>
    <row r="1120" spans="1:6">
      <c r="A1120" s="4" t="s">
        <v>92</v>
      </c>
      <c r="B1120" s="7">
        <v>1</v>
      </c>
      <c r="C1120" s="6">
        <f>IF(F1120=1,1.0,0)</f>
        <v/>
      </c>
      <c r="D1120" s="5" t="s">
        <v>17</v>
      </c>
      <c r="E1120" s="6">
        <f>IF(F1120=1,0.99,0)</f>
        <v/>
      </c>
      <c r="F1120" s="8">
        <f>IF(OR(LOOKUP(A1120,characters!A:A,characters!B:B)=-1, LOOKUP(A1120,characters!A:A,characters!B:B)+0.1&gt;=B1120),1,0)</f>
        <v/>
      </c>
    </row>
    <row r="1121" spans="1:12">
      <c r="A1121" s="4" t="s">
        <v>52</v>
      </c>
      <c r="B1121" s="7">
        <v>0</v>
      </c>
      <c r="C1121" s="6">
        <f>IF(F1121=1,1.0,0)</f>
        <v/>
      </c>
      <c r="D1121" s="5" t="s">
        <v>17</v>
      </c>
      <c r="E1121" s="5" t="s">
        <v>17</v>
      </c>
      <c r="F1121" s="8">
        <f>IF(OR(LOOKUP(A1121,characters!A:A,characters!B:B)=-1, LOOKUP(A1121,characters!A:A,characters!B:B)+0.1&gt;=B1121),1,0)</f>
        <v/>
      </c>
    </row>
    <row r="1122" spans="1:12">
      <c r="A1122" s="4" t="s">
        <v>90</v>
      </c>
      <c r="B1122" s="7">
        <v>2</v>
      </c>
      <c r="C1122" s="6">
        <f>IF(F1122=1,1.0,0)</f>
        <v/>
      </c>
      <c r="D1122" s="5" t="s">
        <v>17</v>
      </c>
      <c r="E1122" s="5" t="s">
        <v>17</v>
      </c>
      <c r="F1122" s="8">
        <f>IF(OR(LOOKUP(A1122,characters!A:A,characters!B:B)=-1, LOOKUP(A1122,characters!A:A,characters!B:B)+0.1&gt;=B1122),1,0)</f>
        <v/>
      </c>
    </row>
    <row r="1123" spans="1:12">
      <c r="A1123" s="4" t="s">
        <v>84</v>
      </c>
      <c r="B1123" s="7">
        <v>1</v>
      </c>
      <c r="C1123" s="6">
        <f>IF(F1123=1,1.0,0)</f>
        <v/>
      </c>
      <c r="D1123" s="5" t="s">
        <v>17</v>
      </c>
      <c r="E1123" s="5" t="s">
        <v>17</v>
      </c>
      <c r="F1123" s="8">
        <f>IF(OR(LOOKUP(A1123,characters!A:A,characters!B:B)=-1, LOOKUP(A1123,characters!A:A,characters!B:B)+0.1&gt;=B1123),1,0)</f>
        <v/>
      </c>
    </row>
    <row r="1130" spans="1:12">
      <c r="A1130" s="3" t="s">
        <v>127</v>
      </c>
    </row>
    <row r="1131" spans="1:12">
      <c r="A1131" s="3" t="s">
        <v>8</v>
      </c>
      <c r="B1131" s="3" t="s">
        <v>9</v>
      </c>
      <c r="C1131" s="3" t="s">
        <v>10</v>
      </c>
      <c r="D1131" s="3" t="s">
        <v>28</v>
      </c>
      <c r="E1131" s="3" t="s">
        <v>13</v>
      </c>
      <c r="F1131" s="3" t="s">
        <v>34</v>
      </c>
      <c r="G1131" s="3" t="s">
        <v>35</v>
      </c>
      <c r="H1131" s="3" t="s">
        <v>27</v>
      </c>
      <c r="I1131" s="3" t="s">
        <v>26</v>
      </c>
      <c r="J1131" s="3" t="s">
        <v>11</v>
      </c>
      <c r="K1131" s="3" t="s">
        <v>15</v>
      </c>
    </row>
    <row r="1132" spans="1:12">
      <c r="A1132" s="4" t="s">
        <v>16</v>
      </c>
      <c r="B1132" s="5" t="s">
        <v>17</v>
      </c>
      <c r="C1132" s="6">
        <f>IF(SUM(L1133:L1139)=0,0,SUM(C1133:C1139)/SUM(L1133:L1139))</f>
        <v/>
      </c>
      <c r="D1132" s="6">
        <f>IF(SUM(L1133:L1139)=0,0,SUM(D1133:D1139)/SUM(L1133:L1139))</f>
        <v/>
      </c>
      <c r="E1132" s="6">
        <f>IF(SUM(L1133:L1139)=0,0,SUM(E1133:E1139)/SUM(L1133:L1139))</f>
        <v/>
      </c>
      <c r="F1132" s="6">
        <f>IF(SUM(L1133:L1139)=0,0,SUM(F1133:F1139)/SUM(L1133:L1139))</f>
        <v/>
      </c>
      <c r="G1132" s="6">
        <f>IF(SUM(L1133:L1139)=0,0,SUM(G1133:G1139)/SUM(L1133:L1139))</f>
        <v/>
      </c>
      <c r="H1132" s="6">
        <f>IF(SUM(L1133:L1139)=0,0,SUM(H1133:H1139)/SUM(L1133:L1139))</f>
        <v/>
      </c>
      <c r="I1132" s="6">
        <f>IF(SUM(L1133:L1139)=0,0,SUM(I1133:I1139)/SUM(L1133:L1139))</f>
        <v/>
      </c>
      <c r="J1132" s="6">
        <f>IF(SUM(L1133:L1139)=0,0,SUM(J1133:J1139)/SUM(L1133:L1139))</f>
        <v/>
      </c>
      <c r="K1132" s="6">
        <f>IF(SUM(L1133:L1139)=0,0,SUM(K1133:K1139)/SUM(L1133:L1139))</f>
        <v/>
      </c>
    </row>
    <row r="1133" spans="1:12">
      <c r="A1133" s="4" t="s">
        <v>37</v>
      </c>
      <c r="B1133" s="7">
        <v>0</v>
      </c>
      <c r="C1133" s="6">
        <f>IF(L1133=1,1.0,0)</f>
        <v/>
      </c>
      <c r="D1133" s="6">
        <f>IF(L1133=1,0.7,0)</f>
        <v/>
      </c>
      <c r="E1133" s="6">
        <f>IF(L1133=1,0.9,0)</f>
        <v/>
      </c>
      <c r="F1133" s="6">
        <f>IF(L1133=1,0.8,0)</f>
        <v/>
      </c>
      <c r="G1133" s="6">
        <f>IF(L1133=1,0.8,0)</f>
        <v/>
      </c>
      <c r="H1133" s="5" t="s">
        <v>17</v>
      </c>
      <c r="I1133" s="5" t="s">
        <v>17</v>
      </c>
      <c r="J1133" s="5" t="s">
        <v>17</v>
      </c>
      <c r="K1133" s="5" t="s">
        <v>17</v>
      </c>
      <c r="L1133" s="8">
        <f>IF(OR(LOOKUP(A1133,characters!A:A,characters!B:B)=-1, LOOKUP(A1133,characters!A:A,characters!B:B)+0.1&gt;=B1133),1,0)</f>
        <v/>
      </c>
    </row>
    <row r="1134" spans="1:12">
      <c r="A1134" s="4" t="s">
        <v>97</v>
      </c>
      <c r="B1134" s="7">
        <v>0</v>
      </c>
      <c r="C1134" s="6">
        <f>IF(L1134=1,1.0,0)</f>
        <v/>
      </c>
      <c r="D1134" s="6">
        <f>IF(L1134=1,0.8,0)</f>
        <v/>
      </c>
      <c r="E1134" s="5" t="s">
        <v>17</v>
      </c>
      <c r="F1134" s="5" t="s">
        <v>17</v>
      </c>
      <c r="G1134" s="5" t="s">
        <v>17</v>
      </c>
      <c r="H1134" s="6">
        <f>IF(L1134=1,0.9,0)</f>
        <v/>
      </c>
      <c r="I1134" s="6">
        <f>IF(L1134=1,0.7,0)</f>
        <v/>
      </c>
      <c r="J1134" s="5" t="s">
        <v>17</v>
      </c>
      <c r="K1134" s="5" t="s">
        <v>17</v>
      </c>
      <c r="L1134" s="8">
        <f>IF(OR(LOOKUP(A1134,characters!A:A,characters!B:B)=-1, LOOKUP(A1134,characters!A:A,characters!B:B)+0.1&gt;=B1134),1,0)</f>
        <v/>
      </c>
    </row>
    <row r="1135" spans="1:12">
      <c r="A1135" s="4" t="s">
        <v>42</v>
      </c>
      <c r="B1135" s="7">
        <v>0</v>
      </c>
      <c r="C1135" s="6">
        <f>IF(L1135=1,1.0,0)</f>
        <v/>
      </c>
      <c r="D1135" s="6">
        <f>IF(L1135=1,0.8,0)</f>
        <v/>
      </c>
      <c r="E1135" s="6">
        <f>IF(L1135=1,0.9,0)</f>
        <v/>
      </c>
      <c r="F1135" s="6">
        <f>IF(L1135=1,0.8,0)</f>
        <v/>
      </c>
      <c r="G1135" s="6">
        <f>IF(L1135=1,0.8,0)</f>
        <v/>
      </c>
      <c r="H1135" s="5" t="s">
        <v>17</v>
      </c>
      <c r="I1135" s="5" t="s">
        <v>17</v>
      </c>
      <c r="J1135" s="5" t="s">
        <v>17</v>
      </c>
      <c r="K1135" s="5" t="s">
        <v>17</v>
      </c>
      <c r="L1135" s="8">
        <f>IF(OR(LOOKUP(A1135,characters!A:A,characters!B:B)=-1, LOOKUP(A1135,characters!A:A,characters!B:B)+0.1&gt;=B1135),1,0)</f>
        <v/>
      </c>
    </row>
    <row r="1136" spans="1:12">
      <c r="A1136" s="4" t="s">
        <v>71</v>
      </c>
      <c r="B1136" s="7">
        <v>0</v>
      </c>
      <c r="C1136" s="6">
        <f>IF(L1136=1,1.0,0)</f>
        <v/>
      </c>
      <c r="D1136" s="6">
        <f>IF(L1136=1,0.8,0)</f>
        <v/>
      </c>
      <c r="E1136" s="6">
        <f>IF(L1136=1,0.9,0)</f>
        <v/>
      </c>
      <c r="F1136" s="5" t="s">
        <v>17</v>
      </c>
      <c r="G1136" s="5" t="s">
        <v>17</v>
      </c>
      <c r="H1136" s="6">
        <f>IF(L1136=1,0.7,0)</f>
        <v/>
      </c>
      <c r="I1136" s="6">
        <f>IF(L1136=1,0.7,0)</f>
        <v/>
      </c>
      <c r="J1136" s="5" t="s">
        <v>17</v>
      </c>
      <c r="K1136" s="5" t="s">
        <v>17</v>
      </c>
      <c r="L1136" s="8">
        <f>IF(OR(LOOKUP(A1136,characters!A:A,characters!B:B)=-1, LOOKUP(A1136,characters!A:A,characters!B:B)+0.1&gt;=B1136),1,0)</f>
        <v/>
      </c>
    </row>
    <row r="1137" spans="1:12">
      <c r="A1137" s="4" t="s">
        <v>72</v>
      </c>
      <c r="B1137" s="7">
        <v>0</v>
      </c>
      <c r="C1137" s="6">
        <f>IF(L1137=1,1.0,0)</f>
        <v/>
      </c>
      <c r="D1137" s="6">
        <f>IF(L1137=1,0.8,0)</f>
        <v/>
      </c>
      <c r="E1137" s="5" t="s">
        <v>17</v>
      </c>
      <c r="F1137" s="6">
        <f>IF(L1137=1,0.9,0)</f>
        <v/>
      </c>
      <c r="G1137" s="6">
        <f>IF(L1137=1,0.9,0)</f>
        <v/>
      </c>
      <c r="H1137" s="5" t="s">
        <v>17</v>
      </c>
      <c r="I1137" s="5" t="s">
        <v>17</v>
      </c>
      <c r="J1137" s="6">
        <f>IF(L1137=1,1.0,0)</f>
        <v/>
      </c>
      <c r="K1137" s="5" t="s">
        <v>17</v>
      </c>
      <c r="L1137" s="8">
        <f>IF(OR(LOOKUP(A1137,characters!A:A,characters!B:B)=-1, LOOKUP(A1137,characters!A:A,characters!B:B)+0.1&gt;=B1137),1,0)</f>
        <v/>
      </c>
    </row>
    <row r="1138" spans="1:12">
      <c r="A1138" s="4" t="s">
        <v>43</v>
      </c>
      <c r="B1138" s="7">
        <v>0</v>
      </c>
      <c r="C1138" s="6">
        <f>IF(L1138=1,1.0,0)</f>
        <v/>
      </c>
      <c r="D1138" s="6">
        <f>IF(L1138=1,0.8,0)</f>
        <v/>
      </c>
      <c r="E1138" s="6">
        <f>IF(L1138=1,0.9,0)</f>
        <v/>
      </c>
      <c r="F1138" s="5" t="s">
        <v>17</v>
      </c>
      <c r="G1138" s="5" t="s">
        <v>17</v>
      </c>
      <c r="H1138" s="5" t="s">
        <v>17</v>
      </c>
      <c r="I1138" s="5" t="s">
        <v>17</v>
      </c>
      <c r="J1138" s="5" t="s">
        <v>17</v>
      </c>
      <c r="K1138" s="5" t="s">
        <v>17</v>
      </c>
      <c r="L1138" s="8">
        <f>IF(OR(LOOKUP(A1138,characters!A:A,characters!B:B)=-1, LOOKUP(A1138,characters!A:A,characters!B:B)+0.1&gt;=B1138),1,0)</f>
        <v/>
      </c>
    </row>
    <row r="1139" spans="1:12">
      <c r="A1139" s="4" t="s">
        <v>39</v>
      </c>
      <c r="B1139" s="7">
        <v>1</v>
      </c>
      <c r="C1139" s="6">
        <f>IF(L1139=1,1.0,0)</f>
        <v/>
      </c>
      <c r="D1139" s="6">
        <f>IF(L1139=1,0.8,0)</f>
        <v/>
      </c>
      <c r="E1139" s="5" t="s">
        <v>17</v>
      </c>
      <c r="F1139" s="6">
        <f>IF(L1139=1,0.9,0)</f>
        <v/>
      </c>
      <c r="G1139" s="6">
        <f>IF(L1139=1,0.9,0)</f>
        <v/>
      </c>
      <c r="H1139" s="5" t="s">
        <v>17</v>
      </c>
      <c r="I1139" s="5" t="s">
        <v>17</v>
      </c>
      <c r="J1139" s="5" t="s">
        <v>17</v>
      </c>
      <c r="K1139" s="6">
        <f>IF(L1139=1,0.8,0)</f>
        <v/>
      </c>
      <c r="L1139" s="8">
        <f>IF(OR(LOOKUP(A1139,characters!A:A,characters!B:B)=-1, LOOKUP(A1139,characters!A:A,characters!B:B)+0.1&gt;=B1139),1,0)</f>
        <v/>
      </c>
    </row>
    <row r="1141" spans="1:12">
      <c r="A1141" s="3" t="s">
        <v>23</v>
      </c>
      <c r="B1141" s="3" t="s">
        <v>9</v>
      </c>
      <c r="C1141" s="3" t="s">
        <v>13</v>
      </c>
      <c r="D1141" s="3" t="s">
        <v>27</v>
      </c>
      <c r="E1141" s="3" t="s">
        <v>26</v>
      </c>
      <c r="F1141" s="3" t="s">
        <v>109</v>
      </c>
      <c r="G1141" s="3" t="s">
        <v>11</v>
      </c>
    </row>
    <row r="1142" spans="1:12">
      <c r="A1142" s="4" t="s">
        <v>16</v>
      </c>
      <c r="B1142" s="5" t="s">
        <v>17</v>
      </c>
      <c r="C1142" s="6">
        <f>IF(SUM(H1143:H1149)=0,0,SUM(C1143:C1149)/SUM(H1143:H1149))</f>
        <v/>
      </c>
      <c r="D1142" s="6">
        <f>IF(SUM(H1143:H1149)=0,0,SUM(D1143:D1149)/SUM(H1143:H1149))</f>
        <v/>
      </c>
      <c r="E1142" s="6">
        <f>IF(SUM(H1143:H1149)=0,0,SUM(E1143:E1149)/SUM(H1143:H1149))</f>
        <v/>
      </c>
      <c r="F1142" s="6">
        <f>IF(SUM(H1143:H1149)=0,0,SUM(F1143:F1149)/SUM(H1143:H1149))</f>
        <v/>
      </c>
      <c r="G1142" s="6">
        <f>IF(SUM(H1143:H1149)=0,0,SUM(G1143:G1149)/SUM(H1143:H1149))</f>
        <v/>
      </c>
    </row>
    <row r="1143" spans="1:12">
      <c r="A1143" s="4" t="s">
        <v>37</v>
      </c>
      <c r="B1143" s="7">
        <v>0</v>
      </c>
      <c r="C1143" s="6">
        <f>IF(H1143=1,1.0,0)</f>
        <v/>
      </c>
      <c r="D1143" s="5" t="s">
        <v>17</v>
      </c>
      <c r="E1143" s="5" t="s">
        <v>17</v>
      </c>
      <c r="F1143" s="5" t="s">
        <v>17</v>
      </c>
      <c r="G1143" s="5" t="s">
        <v>17</v>
      </c>
      <c r="H1143" s="8">
        <f>IF(OR(LOOKUP(A1143,characters!A:A,characters!B:B)=-1, LOOKUP(A1143,characters!A:A,characters!B:B)+0.1&gt;=B1143),1,0)</f>
        <v/>
      </c>
    </row>
    <row r="1144" spans="1:12">
      <c r="A1144" s="4" t="s">
        <v>39</v>
      </c>
      <c r="B1144" s="7">
        <v>1</v>
      </c>
      <c r="C1144" s="5" t="s">
        <v>17</v>
      </c>
      <c r="D1144" s="6">
        <f>IF(H1144=1,1.0,0)</f>
        <v/>
      </c>
      <c r="E1144" s="6">
        <f>IF(H1144=1,0.9,0)</f>
        <v/>
      </c>
      <c r="F1144" s="5" t="s">
        <v>17</v>
      </c>
      <c r="G1144" s="5" t="s">
        <v>17</v>
      </c>
      <c r="H1144" s="8">
        <f>IF(OR(LOOKUP(A1144,characters!A:A,characters!B:B)=-1, LOOKUP(A1144,characters!A:A,characters!B:B)+0.1&gt;=B1144),1,0)</f>
        <v/>
      </c>
    </row>
    <row r="1145" spans="1:12">
      <c r="A1145" s="4" t="s">
        <v>97</v>
      </c>
      <c r="B1145" s="7">
        <v>0</v>
      </c>
      <c r="C1145" s="5" t="s">
        <v>17</v>
      </c>
      <c r="D1145" s="6">
        <f>IF(H1145=1,0.9,0)</f>
        <v/>
      </c>
      <c r="E1145" s="5" t="s">
        <v>17</v>
      </c>
      <c r="F1145" s="6">
        <f>IF(H1145=1,1.0,0)</f>
        <v/>
      </c>
      <c r="G1145" s="5" t="s">
        <v>17</v>
      </c>
      <c r="H1145" s="8">
        <f>IF(OR(LOOKUP(A1145,characters!A:A,characters!B:B)=-1, LOOKUP(A1145,characters!A:A,characters!B:B)+0.1&gt;=B1145),1,0)</f>
        <v/>
      </c>
    </row>
    <row r="1146" spans="1:12">
      <c r="A1146" s="4" t="s">
        <v>42</v>
      </c>
      <c r="B1146" s="7">
        <v>0</v>
      </c>
      <c r="C1146" s="6">
        <f>IF(H1146=1,1.0,0)</f>
        <v/>
      </c>
      <c r="D1146" s="5" t="s">
        <v>17</v>
      </c>
      <c r="E1146" s="5" t="s">
        <v>17</v>
      </c>
      <c r="F1146" s="5" t="s">
        <v>17</v>
      </c>
      <c r="G1146" s="5" t="s">
        <v>17</v>
      </c>
      <c r="H1146" s="8">
        <f>IF(OR(LOOKUP(A1146,characters!A:A,characters!B:B)=-1, LOOKUP(A1146,characters!A:A,characters!B:B)+0.1&gt;=B1146),1,0)</f>
        <v/>
      </c>
    </row>
    <row r="1147" spans="1:12">
      <c r="A1147" s="4" t="s">
        <v>71</v>
      </c>
      <c r="B1147" s="7">
        <v>0</v>
      </c>
      <c r="C1147" s="6">
        <f>IF(H1147=1,1.0,0)</f>
        <v/>
      </c>
      <c r="D1147" s="5" t="s">
        <v>17</v>
      </c>
      <c r="E1147" s="5" t="s">
        <v>17</v>
      </c>
      <c r="F1147" s="5" t="s">
        <v>17</v>
      </c>
      <c r="G1147" s="5" t="s">
        <v>17</v>
      </c>
      <c r="H1147" s="8">
        <f>IF(OR(LOOKUP(A1147,characters!A:A,characters!B:B)=-1, LOOKUP(A1147,characters!A:A,characters!B:B)+0.1&gt;=B1147),1,0)</f>
        <v/>
      </c>
    </row>
    <row r="1148" spans="1:12">
      <c r="A1148" s="4" t="s">
        <v>72</v>
      </c>
      <c r="B1148" s="7">
        <v>0</v>
      </c>
      <c r="C1148" s="5" t="s">
        <v>17</v>
      </c>
      <c r="D1148" s="6">
        <f>IF(H1148=1,0.9,0)</f>
        <v/>
      </c>
      <c r="E1148" s="5" t="s">
        <v>17</v>
      </c>
      <c r="F1148" s="5" t="s">
        <v>17</v>
      </c>
      <c r="G1148" s="6">
        <f>IF(H1148=1,1.0,0)</f>
        <v/>
      </c>
      <c r="H1148" s="8">
        <f>IF(OR(LOOKUP(A1148,characters!A:A,characters!B:B)=-1, LOOKUP(A1148,characters!A:A,characters!B:B)+0.1&gt;=B1148),1,0)</f>
        <v/>
      </c>
    </row>
    <row r="1149" spans="1:12">
      <c r="A1149" s="4" t="s">
        <v>43</v>
      </c>
      <c r="B1149" s="7">
        <v>0</v>
      </c>
      <c r="C1149" s="6">
        <f>IF(H1149=1,1.0,0)</f>
        <v/>
      </c>
      <c r="D1149" s="5" t="s">
        <v>17</v>
      </c>
      <c r="E1149" s="5" t="s">
        <v>17</v>
      </c>
      <c r="F1149" s="5" t="s">
        <v>17</v>
      </c>
      <c r="G1149" s="5" t="s">
        <v>17</v>
      </c>
      <c r="H1149" s="8">
        <f>IF(OR(LOOKUP(A1149,characters!A:A,characters!B:B)=-1, LOOKUP(A1149,characters!A:A,characters!B:B)+0.1&gt;=B1149),1,0)</f>
        <v/>
      </c>
    </row>
    <row r="1151" spans="1:12">
      <c r="A1151" s="3" t="s">
        <v>24</v>
      </c>
      <c r="B1151" s="3" t="s">
        <v>9</v>
      </c>
      <c r="C1151" s="3" t="s">
        <v>10</v>
      </c>
    </row>
    <row r="1152" spans="1:12">
      <c r="A1152" s="4" t="s">
        <v>16</v>
      </c>
      <c r="B1152" s="5" t="s">
        <v>17</v>
      </c>
      <c r="C1152" s="6">
        <f>IF(SUM(D1153:D1159)=0,0,SUM(C1153:C1159)/SUM(D1153:D1159))</f>
        <v/>
      </c>
    </row>
    <row r="1153" spans="1:8">
      <c r="A1153" s="4" t="s">
        <v>37</v>
      </c>
      <c r="B1153" s="7">
        <v>0</v>
      </c>
      <c r="C1153" s="6">
        <f>IF(D1153=1,1.0,0)</f>
        <v/>
      </c>
      <c r="D1153" s="8">
        <f>IF(OR(LOOKUP(A1153,characters!A:A,characters!B:B)=-1, LOOKUP(A1153,characters!A:A,characters!B:B)+0.1&gt;=B1153),1,0)</f>
        <v/>
      </c>
    </row>
    <row r="1154" spans="1:8">
      <c r="A1154" s="4" t="s">
        <v>39</v>
      </c>
      <c r="B1154" s="7">
        <v>1</v>
      </c>
      <c r="C1154" s="6">
        <f>IF(D1154=1,1.0,0)</f>
        <v/>
      </c>
      <c r="D1154" s="8">
        <f>IF(OR(LOOKUP(A1154,characters!A:A,characters!B:B)=-1, LOOKUP(A1154,characters!A:A,characters!B:B)+0.1&gt;=B1154),1,0)</f>
        <v/>
      </c>
    </row>
    <row r="1155" spans="1:8">
      <c r="A1155" s="4" t="s">
        <v>97</v>
      </c>
      <c r="B1155" s="7">
        <v>0</v>
      </c>
      <c r="C1155" s="6">
        <f>IF(D1155=1,1.0,0)</f>
        <v/>
      </c>
      <c r="D1155" s="8">
        <f>IF(OR(LOOKUP(A1155,characters!A:A,characters!B:B)=-1, LOOKUP(A1155,characters!A:A,characters!B:B)+0.1&gt;=B1155),1,0)</f>
        <v/>
      </c>
    </row>
    <row r="1156" spans="1:8">
      <c r="A1156" s="4" t="s">
        <v>42</v>
      </c>
      <c r="B1156" s="7">
        <v>0</v>
      </c>
      <c r="C1156" s="6">
        <f>IF(D1156=1,1.0,0)</f>
        <v/>
      </c>
      <c r="D1156" s="8">
        <f>IF(OR(LOOKUP(A1156,characters!A:A,characters!B:B)=-1, LOOKUP(A1156,characters!A:A,characters!B:B)+0.1&gt;=B1156),1,0)</f>
        <v/>
      </c>
    </row>
    <row r="1157" spans="1:8">
      <c r="A1157" s="4" t="s">
        <v>71</v>
      </c>
      <c r="B1157" s="7">
        <v>0</v>
      </c>
      <c r="C1157" s="6">
        <f>IF(D1157=1,1.0,0)</f>
        <v/>
      </c>
      <c r="D1157" s="8">
        <f>IF(OR(LOOKUP(A1157,characters!A:A,characters!B:B)=-1, LOOKUP(A1157,characters!A:A,characters!B:B)+0.1&gt;=B1157),1,0)</f>
        <v/>
      </c>
    </row>
    <row r="1158" spans="1:8">
      <c r="A1158" s="4" t="s">
        <v>72</v>
      </c>
      <c r="B1158" s="7">
        <v>0</v>
      </c>
      <c r="C1158" s="6">
        <f>IF(D1158=1,1.0,0)</f>
        <v/>
      </c>
      <c r="D1158" s="8">
        <f>IF(OR(LOOKUP(A1158,characters!A:A,characters!B:B)=-1, LOOKUP(A1158,characters!A:A,characters!B:B)+0.1&gt;=B1158),1,0)</f>
        <v/>
      </c>
    </row>
    <row r="1159" spans="1:8">
      <c r="A1159" s="4" t="s">
        <v>43</v>
      </c>
      <c r="B1159" s="7">
        <v>0</v>
      </c>
      <c r="C1159" s="6">
        <f>IF(D1159=1,1.0,0)</f>
        <v/>
      </c>
      <c r="D1159" s="8">
        <f>IF(OR(LOOKUP(A1159,characters!A:A,characters!B:B)=-1, LOOKUP(A1159,characters!A:A,characters!B:B)+0.1&gt;=B1159),1,0)</f>
        <v/>
      </c>
    </row>
    <row r="1166" spans="1:8">
      <c r="A1166" s="3" t="s">
        <v>128</v>
      </c>
    </row>
    <row r="1167" spans="1:8">
      <c r="A1167" s="3" t="s">
        <v>8</v>
      </c>
      <c r="B1167" s="3" t="s">
        <v>9</v>
      </c>
      <c r="C1167" s="3" t="s">
        <v>13</v>
      </c>
      <c r="D1167" s="3" t="s">
        <v>12</v>
      </c>
      <c r="E1167" s="3" t="s">
        <v>10</v>
      </c>
      <c r="F1167" s="3" t="s">
        <v>11</v>
      </c>
      <c r="G1167" s="3" t="s">
        <v>15</v>
      </c>
      <c r="H1167" s="3" t="s">
        <v>27</v>
      </c>
    </row>
    <row r="1168" spans="1:8">
      <c r="A1168" s="4" t="s">
        <v>16</v>
      </c>
      <c r="B1168" s="5" t="s">
        <v>17</v>
      </c>
      <c r="C1168" s="6">
        <f>IF(SUM(I1169:I1185)=0,0,SUM(C1169:C1185)/SUM(I1169:I1185))</f>
        <v/>
      </c>
      <c r="D1168" s="6">
        <f>IF(SUM(I1169:I1185)=0,0,SUM(D1169:D1185)/SUM(I1169:I1185))</f>
        <v/>
      </c>
      <c r="E1168" s="6">
        <f>IF(SUM(I1169:I1185)=0,0,SUM(E1169:E1185)/SUM(I1169:I1185))</f>
        <v/>
      </c>
      <c r="F1168" s="6">
        <f>IF(SUM(I1169:I1185)=0,0,SUM(F1169:F1185)/SUM(I1169:I1185))</f>
        <v/>
      </c>
      <c r="G1168" s="6">
        <f>IF(SUM(I1169:I1185)=0,0,SUM(G1169:G1185)/SUM(I1169:I1185))</f>
        <v/>
      </c>
      <c r="H1168" s="6">
        <f>IF(SUM(I1169:I1185)=0,0,SUM(H1169:H1185)/SUM(I1169:I1185))</f>
        <v/>
      </c>
    </row>
    <row r="1169" spans="1:9">
      <c r="A1169" s="4" t="s">
        <v>50</v>
      </c>
      <c r="B1169" s="7">
        <v>0</v>
      </c>
      <c r="C1169" s="6">
        <f>IF(I1169=1,0.9,0)</f>
        <v/>
      </c>
      <c r="D1169" s="6">
        <f>IF(I1169=1,0.9,0)</f>
        <v/>
      </c>
      <c r="E1169" s="6">
        <f>IF(I1169=1,1.0,0)</f>
        <v/>
      </c>
      <c r="F1169" s="6">
        <f>IF(I1169=1,0.8,0)</f>
        <v/>
      </c>
      <c r="G1169" s="5" t="s">
        <v>17</v>
      </c>
      <c r="H1169" s="5" t="s">
        <v>17</v>
      </c>
      <c r="I1169" s="8">
        <f>IF(OR(LOOKUP(A1169,characters!A:A,characters!B:B)=-1, LOOKUP(A1169,characters!A:A,characters!B:B)+0.1&gt;=B1169),1,0)</f>
        <v/>
      </c>
    </row>
    <row r="1170" spans="1:9">
      <c r="A1170" s="4" t="s">
        <v>18</v>
      </c>
      <c r="B1170" s="7">
        <v>0</v>
      </c>
      <c r="C1170" s="6">
        <f>IF(I1170=1,0.9,0)</f>
        <v/>
      </c>
      <c r="D1170" s="6">
        <f>IF(I1170=1,0.9,0)</f>
        <v/>
      </c>
      <c r="E1170" s="6">
        <f>IF(I1170=1,1.0,0)</f>
        <v/>
      </c>
      <c r="F1170" s="6">
        <f>IF(I1170=1,0.8,0)</f>
        <v/>
      </c>
      <c r="G1170" s="5" t="s">
        <v>17</v>
      </c>
      <c r="H1170" s="5" t="s">
        <v>17</v>
      </c>
      <c r="I1170" s="8">
        <f>IF(OR(LOOKUP(A1170,characters!A:A,characters!B:B)=-1, LOOKUP(A1170,characters!A:A,characters!B:B)+0.1&gt;=B1170),1,0)</f>
        <v/>
      </c>
    </row>
    <row r="1171" spans="1:9">
      <c r="A1171" s="4" t="s">
        <v>87</v>
      </c>
      <c r="B1171" s="7">
        <v>0</v>
      </c>
      <c r="C1171" s="6">
        <f>IF(I1171=1,0.9,0)</f>
        <v/>
      </c>
      <c r="D1171" s="6">
        <f>IF(I1171=1,0.9,0)</f>
        <v/>
      </c>
      <c r="E1171" s="6">
        <f>IF(I1171=1,1.0,0)</f>
        <v/>
      </c>
      <c r="F1171" s="6">
        <f>IF(I1171=1,0.8,0)</f>
        <v/>
      </c>
      <c r="G1171" s="5" t="s">
        <v>17</v>
      </c>
      <c r="H1171" s="5" t="s">
        <v>17</v>
      </c>
      <c r="I1171" s="8">
        <f>IF(OR(LOOKUP(A1171,characters!A:A,characters!B:B)=-1, LOOKUP(A1171,characters!A:A,characters!B:B)+0.1&gt;=B1171),1,0)</f>
        <v/>
      </c>
    </row>
    <row r="1172" spans="1:9">
      <c r="A1172" s="4" t="s">
        <v>83</v>
      </c>
      <c r="B1172" s="7">
        <v>0</v>
      </c>
      <c r="C1172" s="6">
        <f>IF(I1172=1,0.9,0)</f>
        <v/>
      </c>
      <c r="D1172" s="6">
        <f>IF(I1172=1,0.9,0)</f>
        <v/>
      </c>
      <c r="E1172" s="6">
        <f>IF(I1172=1,1.0,0)</f>
        <v/>
      </c>
      <c r="F1172" s="6">
        <f>IF(I1172=1,0.8,0)</f>
        <v/>
      </c>
      <c r="G1172" s="5" t="s">
        <v>17</v>
      </c>
      <c r="H1172" s="5" t="s">
        <v>17</v>
      </c>
      <c r="I1172" s="8">
        <f>IF(OR(LOOKUP(A1172,characters!A:A,characters!B:B)=-1, LOOKUP(A1172,characters!A:A,characters!B:B)+0.1&gt;=B1172),1,0)</f>
        <v/>
      </c>
    </row>
    <row r="1173" spans="1:9">
      <c r="A1173" s="4" t="s">
        <v>92</v>
      </c>
      <c r="B1173" s="7">
        <v>0</v>
      </c>
      <c r="C1173" s="6">
        <f>IF(I1173=1,0.8,0)</f>
        <v/>
      </c>
      <c r="D1173" s="6">
        <f>IF(I1173=1,0.9,0)</f>
        <v/>
      </c>
      <c r="E1173" s="6">
        <f>IF(I1173=1,1.0,0)</f>
        <v/>
      </c>
      <c r="F1173" s="6">
        <f>IF(I1173=1,0.7,0)</f>
        <v/>
      </c>
      <c r="G1173" s="5" t="s">
        <v>17</v>
      </c>
      <c r="H1173" s="5" t="s">
        <v>17</v>
      </c>
      <c r="I1173" s="8">
        <f>IF(OR(LOOKUP(A1173,characters!A:A,characters!B:B)=-1, LOOKUP(A1173,characters!A:A,characters!B:B)+0.1&gt;=B1173),1,0)</f>
        <v/>
      </c>
    </row>
    <row r="1174" spans="1:9">
      <c r="A1174" s="4" t="s">
        <v>52</v>
      </c>
      <c r="B1174" s="7">
        <v>0</v>
      </c>
      <c r="C1174" s="6">
        <f>IF(I1174=1,0.89,0)</f>
        <v/>
      </c>
      <c r="D1174" s="6">
        <f>IF(I1174=1,0.89,0)</f>
        <v/>
      </c>
      <c r="E1174" s="6">
        <f>IF(I1174=1,1.0,0)</f>
        <v/>
      </c>
      <c r="F1174" s="6">
        <f>IF(I1174=1,0.79,0)</f>
        <v/>
      </c>
      <c r="G1174" s="6">
        <f>IF(I1174=1,0.9,0)</f>
        <v/>
      </c>
      <c r="H1174" s="5" t="s">
        <v>17</v>
      </c>
      <c r="I1174" s="8">
        <f>IF(OR(LOOKUP(A1174,characters!A:A,characters!B:B)=-1, LOOKUP(A1174,characters!A:A,characters!B:B)+0.1&gt;=B1174),1,0)</f>
        <v/>
      </c>
    </row>
    <row r="1175" spans="1:9">
      <c r="A1175" s="4" t="s">
        <v>84</v>
      </c>
      <c r="B1175" s="7">
        <v>0</v>
      </c>
      <c r="C1175" s="6">
        <f>IF(I1175=1,0.9,0)</f>
        <v/>
      </c>
      <c r="D1175" s="6">
        <f>IF(I1175=1,0.7,0)</f>
        <v/>
      </c>
      <c r="E1175" s="6">
        <f>IF(I1175=1,1.0,0)</f>
        <v/>
      </c>
      <c r="F1175" s="6">
        <f>IF(I1175=1,0.8,0)</f>
        <v/>
      </c>
      <c r="G1175" s="5" t="s">
        <v>17</v>
      </c>
      <c r="H1175" s="5" t="s">
        <v>17</v>
      </c>
      <c r="I1175" s="8">
        <f>IF(OR(LOOKUP(A1175,characters!A:A,characters!B:B)=-1, LOOKUP(A1175,characters!A:A,characters!B:B)+0.1&gt;=B1175),1,0)</f>
        <v/>
      </c>
    </row>
    <row r="1176" spans="1:9">
      <c r="A1176" s="4" t="s">
        <v>22</v>
      </c>
      <c r="B1176" s="7">
        <v>1</v>
      </c>
      <c r="C1176" s="6">
        <f>IF(I1176=1,0.9,0)</f>
        <v/>
      </c>
      <c r="D1176" s="6">
        <f>IF(I1176=1,0.9,0)</f>
        <v/>
      </c>
      <c r="E1176" s="6">
        <f>IF(I1176=1,1.0,0)</f>
        <v/>
      </c>
      <c r="F1176" s="6">
        <f>IF(I1176=1,0.8,0)</f>
        <v/>
      </c>
      <c r="G1176" s="5" t="s">
        <v>17</v>
      </c>
      <c r="H1176" s="5" t="s">
        <v>17</v>
      </c>
      <c r="I1176" s="8">
        <f>IF(OR(LOOKUP(A1176,characters!A:A,characters!B:B)=-1, LOOKUP(A1176,characters!A:A,characters!B:B)+0.1&gt;=B1176),1,0)</f>
        <v/>
      </c>
    </row>
    <row r="1177" spans="1:9">
      <c r="A1177" s="4" t="s">
        <v>107</v>
      </c>
      <c r="B1177" s="7">
        <v>1</v>
      </c>
      <c r="C1177" s="6">
        <f>IF(I1177=1,0.9,0)</f>
        <v/>
      </c>
      <c r="D1177" s="6">
        <f>IF(I1177=1,0.9,0)</f>
        <v/>
      </c>
      <c r="E1177" s="6">
        <f>IF(I1177=1,1.0,0)</f>
        <v/>
      </c>
      <c r="F1177" s="5" t="s">
        <v>17</v>
      </c>
      <c r="G1177" s="5" t="s">
        <v>17</v>
      </c>
      <c r="H1177" s="6">
        <f>IF(I1177=1,0.8,0)</f>
        <v/>
      </c>
      <c r="I1177" s="8">
        <f>IF(OR(LOOKUP(A1177,characters!A:A,characters!B:B)=-1, LOOKUP(A1177,characters!A:A,characters!B:B)+0.1&gt;=B1177),1,0)</f>
        <v/>
      </c>
    </row>
    <row r="1178" spans="1:9">
      <c r="A1178" s="4" t="s">
        <v>85</v>
      </c>
      <c r="B1178" s="7">
        <v>1</v>
      </c>
      <c r="C1178" s="6">
        <f>IF(I1178=1,1.0,0)</f>
        <v/>
      </c>
      <c r="D1178" s="6">
        <f>IF(I1178=1,1.0,0)</f>
        <v/>
      </c>
      <c r="E1178" s="6">
        <f>IF(I1178=1,1.0,0)</f>
        <v/>
      </c>
      <c r="F1178" s="6">
        <f>IF(I1178=1,0.9,0)</f>
        <v/>
      </c>
      <c r="G1178" s="5" t="s">
        <v>17</v>
      </c>
      <c r="H1178" s="5" t="s">
        <v>17</v>
      </c>
      <c r="I1178" s="8">
        <f>IF(OR(LOOKUP(A1178,characters!A:A,characters!B:B)=-1, LOOKUP(A1178,characters!A:A,characters!B:B)+0.1&gt;=B1178),1,0)</f>
        <v/>
      </c>
    </row>
    <row r="1179" spans="1:9">
      <c r="A1179" s="4" t="s">
        <v>59</v>
      </c>
      <c r="B1179" s="7">
        <v>1</v>
      </c>
      <c r="C1179" s="6">
        <f>IF(I1179=1,1.0,0)</f>
        <v/>
      </c>
      <c r="D1179" s="6">
        <f>IF(I1179=1,1.0,0)</f>
        <v/>
      </c>
      <c r="E1179" s="6">
        <f>IF(I1179=1,1.0,0)</f>
        <v/>
      </c>
      <c r="F1179" s="6">
        <f>IF(I1179=1,0.9,0)</f>
        <v/>
      </c>
      <c r="G1179" s="5" t="s">
        <v>17</v>
      </c>
      <c r="H1179" s="5" t="s">
        <v>17</v>
      </c>
      <c r="I1179" s="8">
        <f>IF(OR(LOOKUP(A1179,characters!A:A,characters!B:B)=-1, LOOKUP(A1179,characters!A:A,characters!B:B)+0.1&gt;=B1179),1,0)</f>
        <v/>
      </c>
    </row>
    <row r="1180" spans="1:9">
      <c r="A1180" s="4" t="s">
        <v>80</v>
      </c>
      <c r="B1180" s="7">
        <v>1</v>
      </c>
      <c r="C1180" s="6">
        <f>IF(I1180=1,0.9,0)</f>
        <v/>
      </c>
      <c r="D1180" s="6">
        <f>IF(I1180=1,0.9,0)</f>
        <v/>
      </c>
      <c r="E1180" s="6">
        <f>IF(I1180=1,1.0,0)</f>
        <v/>
      </c>
      <c r="F1180" s="6">
        <f>IF(I1180=1,0.8,0)</f>
        <v/>
      </c>
      <c r="G1180" s="5" t="s">
        <v>17</v>
      </c>
      <c r="H1180" s="5" t="s">
        <v>17</v>
      </c>
      <c r="I1180" s="8">
        <f>IF(OR(LOOKUP(A1180,characters!A:A,characters!B:B)=-1, LOOKUP(A1180,characters!A:A,characters!B:B)+0.1&gt;=B1180),1,0)</f>
        <v/>
      </c>
    </row>
    <row r="1181" spans="1:9">
      <c r="A1181" s="4" t="s">
        <v>89</v>
      </c>
      <c r="B1181" s="7">
        <v>1</v>
      </c>
      <c r="C1181" s="6">
        <f>IF(I1181=1,1.0,0)</f>
        <v/>
      </c>
      <c r="D1181" s="6">
        <f>IF(I1181=1,1.0,0)</f>
        <v/>
      </c>
      <c r="E1181" s="5" t="s">
        <v>17</v>
      </c>
      <c r="F1181" s="6">
        <f>IF(I1181=1,0.9,0)</f>
        <v/>
      </c>
      <c r="G1181" s="5" t="s">
        <v>17</v>
      </c>
      <c r="H1181" s="5" t="s">
        <v>17</v>
      </c>
      <c r="I1181" s="8">
        <f>IF(OR(LOOKUP(A1181,characters!A:A,characters!B:B)=-1, LOOKUP(A1181,characters!A:A,characters!B:B)+0.1&gt;=B1181),1,0)</f>
        <v/>
      </c>
    </row>
    <row r="1182" spans="1:9">
      <c r="A1182" s="4" t="s">
        <v>88</v>
      </c>
      <c r="B1182" s="7">
        <v>2</v>
      </c>
      <c r="C1182" s="6">
        <f>IF(I1182=1,0.9,0)</f>
        <v/>
      </c>
      <c r="D1182" s="6">
        <f>IF(I1182=1,0.9,0)</f>
        <v/>
      </c>
      <c r="E1182" s="6">
        <f>IF(I1182=1,1.0,0)</f>
        <v/>
      </c>
      <c r="F1182" s="6">
        <f>IF(I1182=1,0.8,0)</f>
        <v/>
      </c>
      <c r="G1182" s="5" t="s">
        <v>17</v>
      </c>
      <c r="H1182" s="5" t="s">
        <v>17</v>
      </c>
      <c r="I1182" s="8">
        <f>IF(OR(LOOKUP(A1182,characters!A:A,characters!B:B)=-1, LOOKUP(A1182,characters!A:A,characters!B:B)+0.1&gt;=B1182),1,0)</f>
        <v/>
      </c>
    </row>
    <row r="1183" spans="1:9">
      <c r="A1183" s="4" t="s">
        <v>21</v>
      </c>
      <c r="B1183" s="7">
        <v>2</v>
      </c>
      <c r="C1183" s="6">
        <f>IF(I1183=1,0.9,0)</f>
        <v/>
      </c>
      <c r="D1183" s="6">
        <f>IF(I1183=1,0.9,0)</f>
        <v/>
      </c>
      <c r="E1183" s="6">
        <f>IF(I1183=1,1.0,0)</f>
        <v/>
      </c>
      <c r="F1183" s="6">
        <f>IF(I1183=1,0.8,0)</f>
        <v/>
      </c>
      <c r="G1183" s="5" t="s">
        <v>17</v>
      </c>
      <c r="H1183" s="5" t="s">
        <v>17</v>
      </c>
      <c r="I1183" s="8">
        <f>IF(OR(LOOKUP(A1183,characters!A:A,characters!B:B)=-1, LOOKUP(A1183,characters!A:A,characters!B:B)+0.1&gt;=B1183),1,0)</f>
        <v/>
      </c>
    </row>
    <row r="1184" spans="1:9">
      <c r="A1184" s="4" t="s">
        <v>86</v>
      </c>
      <c r="B1184" s="7">
        <v>3</v>
      </c>
      <c r="C1184" s="6">
        <f>IF(I1184=1,1.0,0)</f>
        <v/>
      </c>
      <c r="D1184" s="6">
        <f>IF(I1184=1,1.0,0)</f>
        <v/>
      </c>
      <c r="E1184" s="5" t="s">
        <v>17</v>
      </c>
      <c r="F1184" s="6">
        <f>IF(I1184=1,0.9,0)</f>
        <v/>
      </c>
      <c r="G1184" s="5" t="s">
        <v>17</v>
      </c>
      <c r="H1184" s="5" t="s">
        <v>17</v>
      </c>
      <c r="I1184" s="8">
        <f>IF(OR(LOOKUP(A1184,characters!A:A,characters!B:B)=-1, LOOKUP(A1184,characters!A:A,characters!B:B)+0.1&gt;=B1184),1,0)</f>
        <v/>
      </c>
    </row>
    <row r="1185" spans="1:9">
      <c r="A1185" s="4" t="s">
        <v>62</v>
      </c>
      <c r="B1185" s="7">
        <v>4</v>
      </c>
      <c r="C1185" s="6">
        <f>IF(I1185=1,0.99,0)</f>
        <v/>
      </c>
      <c r="D1185" s="6">
        <f>IF(I1185=1,1.0,0)</f>
        <v/>
      </c>
      <c r="E1185" s="6">
        <f>IF(I1185=1,0.79,0)</f>
        <v/>
      </c>
      <c r="F1185" s="6">
        <f>IF(I1185=1,0.89,0)</f>
        <v/>
      </c>
      <c r="G1185" s="5" t="s">
        <v>17</v>
      </c>
      <c r="H1185" s="5" t="s">
        <v>17</v>
      </c>
      <c r="I1185" s="8">
        <f>IF(OR(LOOKUP(A1185,characters!A:A,characters!B:B)=-1, LOOKUP(A1185,characters!A:A,characters!B:B)+0.1&gt;=B1185),1,0)</f>
        <v/>
      </c>
    </row>
    <row r="1187" spans="1:9">
      <c r="A1187" s="3" t="s">
        <v>23</v>
      </c>
      <c r="B1187" s="3" t="s">
        <v>9</v>
      </c>
      <c r="C1187" s="3" t="s">
        <v>12</v>
      </c>
      <c r="D1187" s="3" t="s">
        <v>13</v>
      </c>
    </row>
    <row r="1188" spans="1:9">
      <c r="A1188" s="4" t="s">
        <v>16</v>
      </c>
      <c r="B1188" s="5" t="s">
        <v>17</v>
      </c>
      <c r="C1188" s="6">
        <f>IF(SUM(E1189:E1205)=0,0,SUM(C1189:C1205)/SUM(E1189:E1205))</f>
        <v/>
      </c>
      <c r="D1188" s="6">
        <f>IF(SUM(E1189:E1205)=0,0,SUM(D1189:D1205)/SUM(E1189:E1205))</f>
        <v/>
      </c>
    </row>
    <row r="1189" spans="1:9">
      <c r="A1189" s="4" t="s">
        <v>22</v>
      </c>
      <c r="B1189" s="7">
        <v>1</v>
      </c>
      <c r="C1189" s="6">
        <f>IF(E1189=1,1.0,0)</f>
        <v/>
      </c>
      <c r="D1189" s="6">
        <f>IF(E1189=1,0.99,0)</f>
        <v/>
      </c>
      <c r="E1189" s="8">
        <f>IF(OR(LOOKUP(A1189,characters!A:A,characters!B:B)=-1, LOOKUP(A1189,characters!A:A,characters!B:B)+0.1&gt;=B1189),1,0)</f>
        <v/>
      </c>
    </row>
    <row r="1190" spans="1:9">
      <c r="A1190" s="4" t="s">
        <v>50</v>
      </c>
      <c r="B1190" s="7">
        <v>0</v>
      </c>
      <c r="C1190" s="6">
        <f>IF(E1190=1,1.0,0)</f>
        <v/>
      </c>
      <c r="D1190" s="6">
        <f>IF(E1190=1,0.99,0)</f>
        <v/>
      </c>
      <c r="E1190" s="8">
        <f>IF(OR(LOOKUP(A1190,characters!A:A,characters!B:B)=-1, LOOKUP(A1190,characters!A:A,characters!B:B)+0.1&gt;=B1190),1,0)</f>
        <v/>
      </c>
    </row>
    <row r="1191" spans="1:9">
      <c r="A1191" s="4" t="s">
        <v>18</v>
      </c>
      <c r="B1191" s="7">
        <v>0</v>
      </c>
      <c r="C1191" s="6">
        <f>IF(E1191=1,1.0,0)</f>
        <v/>
      </c>
      <c r="D1191" s="6">
        <f>IF(E1191=1,0.99,0)</f>
        <v/>
      </c>
      <c r="E1191" s="8">
        <f>IF(OR(LOOKUP(A1191,characters!A:A,characters!B:B)=-1, LOOKUP(A1191,characters!A:A,characters!B:B)+0.1&gt;=B1191),1,0)</f>
        <v/>
      </c>
    </row>
    <row r="1192" spans="1:9">
      <c r="A1192" s="4" t="s">
        <v>107</v>
      </c>
      <c r="B1192" s="7">
        <v>1</v>
      </c>
      <c r="C1192" s="6">
        <f>IF(E1192=1,0.9,0)</f>
        <v/>
      </c>
      <c r="D1192" s="6">
        <f>IF(E1192=1,1.0,0)</f>
        <v/>
      </c>
      <c r="E1192" s="8">
        <f>IF(OR(LOOKUP(A1192,characters!A:A,characters!B:B)=-1, LOOKUP(A1192,characters!A:A,characters!B:B)+0.1&gt;=B1192),1,0)</f>
        <v/>
      </c>
    </row>
    <row r="1193" spans="1:9">
      <c r="A1193" s="4" t="s">
        <v>85</v>
      </c>
      <c r="B1193" s="7">
        <v>1</v>
      </c>
      <c r="C1193" s="6">
        <f>IF(E1193=1,1.0,0)</f>
        <v/>
      </c>
      <c r="D1193" s="6">
        <f>IF(E1193=1,0.99,0)</f>
        <v/>
      </c>
      <c r="E1193" s="8">
        <f>IF(OR(LOOKUP(A1193,characters!A:A,characters!B:B)=-1, LOOKUP(A1193,characters!A:A,characters!B:B)+0.1&gt;=B1193),1,0)</f>
        <v/>
      </c>
    </row>
    <row r="1194" spans="1:9">
      <c r="A1194" s="4" t="s">
        <v>86</v>
      </c>
      <c r="B1194" s="7">
        <v>3</v>
      </c>
      <c r="C1194" s="6">
        <f>IF(E1194=1,0.99,0)</f>
        <v/>
      </c>
      <c r="D1194" s="6">
        <f>IF(E1194=1,1.0,0)</f>
        <v/>
      </c>
      <c r="E1194" s="8">
        <f>IF(OR(LOOKUP(A1194,characters!A:A,characters!B:B)=-1, LOOKUP(A1194,characters!A:A,characters!B:B)+0.1&gt;=B1194),1,0)</f>
        <v/>
      </c>
    </row>
    <row r="1195" spans="1:9">
      <c r="A1195" s="4" t="s">
        <v>59</v>
      </c>
      <c r="B1195" s="7">
        <v>1</v>
      </c>
      <c r="C1195" s="6">
        <f>IF(E1195=1,1.0,0)</f>
        <v/>
      </c>
      <c r="D1195" s="6">
        <f>IF(E1195=1,0.99,0)</f>
        <v/>
      </c>
      <c r="E1195" s="8">
        <f>IF(OR(LOOKUP(A1195,characters!A:A,characters!B:B)=-1, LOOKUP(A1195,characters!A:A,characters!B:B)+0.1&gt;=B1195),1,0)</f>
        <v/>
      </c>
    </row>
    <row r="1196" spans="1:9">
      <c r="A1196" s="4" t="s">
        <v>80</v>
      </c>
      <c r="B1196" s="7">
        <v>1</v>
      </c>
      <c r="C1196" s="6">
        <f>IF(E1196=1,1.0,0)</f>
        <v/>
      </c>
      <c r="D1196" s="6">
        <f>IF(E1196=1,0.99,0)</f>
        <v/>
      </c>
      <c r="E1196" s="8">
        <f>IF(OR(LOOKUP(A1196,characters!A:A,characters!B:B)=-1, LOOKUP(A1196,characters!A:A,characters!B:B)+0.1&gt;=B1196),1,0)</f>
        <v/>
      </c>
    </row>
    <row r="1197" spans="1:9">
      <c r="A1197" s="4" t="s">
        <v>62</v>
      </c>
      <c r="B1197" s="7">
        <v>4</v>
      </c>
      <c r="C1197" s="6">
        <f>IF(E1197=1,1.0,0)</f>
        <v/>
      </c>
      <c r="D1197" s="6">
        <f>IF(E1197=1,0.99,0)</f>
        <v/>
      </c>
      <c r="E1197" s="8">
        <f>IF(OR(LOOKUP(A1197,characters!A:A,characters!B:B)=-1, LOOKUP(A1197,characters!A:A,characters!B:B)+0.1&gt;=B1197),1,0)</f>
        <v/>
      </c>
    </row>
    <row r="1198" spans="1:9">
      <c r="A1198" s="4" t="s">
        <v>87</v>
      </c>
      <c r="B1198" s="7">
        <v>0</v>
      </c>
      <c r="C1198" s="5" t="s">
        <v>17</v>
      </c>
      <c r="D1198" s="6">
        <f>IF(E1198=1,1.0,0)</f>
        <v/>
      </c>
      <c r="E1198" s="8">
        <f>IF(OR(LOOKUP(A1198,characters!A:A,characters!B:B)=-1, LOOKUP(A1198,characters!A:A,characters!B:B)+0.1&gt;=B1198),1,0)</f>
        <v/>
      </c>
    </row>
    <row r="1199" spans="1:9">
      <c r="A1199" s="4" t="s">
        <v>83</v>
      </c>
      <c r="B1199" s="7">
        <v>0</v>
      </c>
      <c r="C1199" s="6">
        <f>IF(E1199=1,1.0,0)</f>
        <v/>
      </c>
      <c r="D1199" s="6">
        <f>IF(E1199=1,0.99,0)</f>
        <v/>
      </c>
      <c r="E1199" s="8">
        <f>IF(OR(LOOKUP(A1199,characters!A:A,characters!B:B)=-1, LOOKUP(A1199,characters!A:A,characters!B:B)+0.1&gt;=B1199),1,0)</f>
        <v/>
      </c>
    </row>
    <row r="1200" spans="1:9">
      <c r="A1200" s="4" t="s">
        <v>88</v>
      </c>
      <c r="B1200" s="7">
        <v>2</v>
      </c>
      <c r="C1200" s="6">
        <f>IF(E1200=1,1.0,0)</f>
        <v/>
      </c>
      <c r="D1200" s="6">
        <f>IF(E1200=1,0.99,0)</f>
        <v/>
      </c>
      <c r="E1200" s="8">
        <f>IF(OR(LOOKUP(A1200,characters!A:A,characters!B:B)=-1, LOOKUP(A1200,characters!A:A,characters!B:B)+0.1&gt;=B1200),1,0)</f>
        <v/>
      </c>
    </row>
    <row r="1201" spans="1:6">
      <c r="A1201" s="4" t="s">
        <v>89</v>
      </c>
      <c r="B1201" s="7">
        <v>1</v>
      </c>
      <c r="C1201" s="6">
        <f>IF(E1201=1,1.0,0)</f>
        <v/>
      </c>
      <c r="D1201" s="6">
        <f>IF(E1201=1,0.99,0)</f>
        <v/>
      </c>
      <c r="E1201" s="8">
        <f>IF(OR(LOOKUP(A1201,characters!A:A,characters!B:B)=-1, LOOKUP(A1201,characters!A:A,characters!B:B)+0.1&gt;=B1201),1,0)</f>
        <v/>
      </c>
    </row>
    <row r="1202" spans="1:6">
      <c r="A1202" s="4" t="s">
        <v>21</v>
      </c>
      <c r="B1202" s="7">
        <v>2</v>
      </c>
      <c r="C1202" s="6">
        <f>IF(E1202=1,1.0,0)</f>
        <v/>
      </c>
      <c r="D1202" s="6">
        <f>IF(E1202=1,0.99,0)</f>
        <v/>
      </c>
      <c r="E1202" s="8">
        <f>IF(OR(LOOKUP(A1202,characters!A:A,characters!B:B)=-1, LOOKUP(A1202,characters!A:A,characters!B:B)+0.1&gt;=B1202),1,0)</f>
        <v/>
      </c>
    </row>
    <row r="1203" spans="1:6">
      <c r="A1203" s="4" t="s">
        <v>92</v>
      </c>
      <c r="B1203" s="7">
        <v>0</v>
      </c>
      <c r="C1203" s="6">
        <f>IF(E1203=1,1.0,0)</f>
        <v/>
      </c>
      <c r="D1203" s="6">
        <f>IF(E1203=1,0.9,0)</f>
        <v/>
      </c>
      <c r="E1203" s="8">
        <f>IF(OR(LOOKUP(A1203,characters!A:A,characters!B:B)=-1, LOOKUP(A1203,characters!A:A,characters!B:B)+0.1&gt;=B1203),1,0)</f>
        <v/>
      </c>
    </row>
    <row r="1204" spans="1:6">
      <c r="A1204" s="4" t="s">
        <v>52</v>
      </c>
      <c r="B1204" s="7">
        <v>0</v>
      </c>
      <c r="C1204" s="6">
        <f>IF(E1204=1,1.0,0)</f>
        <v/>
      </c>
      <c r="D1204" s="6">
        <f>IF(E1204=1,0.99,0)</f>
        <v/>
      </c>
      <c r="E1204" s="8">
        <f>IF(OR(LOOKUP(A1204,characters!A:A,characters!B:B)=-1, LOOKUP(A1204,characters!A:A,characters!B:B)+0.1&gt;=B1204),1,0)</f>
        <v/>
      </c>
    </row>
    <row r="1205" spans="1:6">
      <c r="A1205" s="4" t="s">
        <v>84</v>
      </c>
      <c r="B1205" s="7">
        <v>0</v>
      </c>
      <c r="C1205" s="5" t="s">
        <v>17</v>
      </c>
      <c r="D1205" s="6">
        <f>IF(E1205=1,1.0,0)</f>
        <v/>
      </c>
      <c r="E1205" s="8">
        <f>IF(OR(LOOKUP(A1205,characters!A:A,characters!B:B)=-1, LOOKUP(A1205,characters!A:A,characters!B:B)+0.1&gt;=B1205),1,0)</f>
        <v/>
      </c>
    </row>
    <row r="1207" spans="1:6">
      <c r="A1207" s="3" t="s">
        <v>24</v>
      </c>
      <c r="B1207" s="3" t="s">
        <v>9</v>
      </c>
      <c r="C1207" s="3" t="s">
        <v>11</v>
      </c>
      <c r="D1207" s="3" t="s">
        <v>10</v>
      </c>
      <c r="E1207" s="3" t="s">
        <v>27</v>
      </c>
    </row>
    <row r="1208" spans="1:6">
      <c r="A1208" s="4" t="s">
        <v>16</v>
      </c>
      <c r="B1208" s="5" t="s">
        <v>17</v>
      </c>
      <c r="C1208" s="6">
        <f>IF(SUM(F1209:F1225)=0,0,SUM(C1209:C1225)/SUM(F1209:F1225))</f>
        <v/>
      </c>
      <c r="D1208" s="6">
        <f>IF(SUM(F1209:F1225)=0,0,SUM(D1209:D1225)/SUM(F1209:F1225))</f>
        <v/>
      </c>
      <c r="E1208" s="6">
        <f>IF(SUM(F1209:F1225)=0,0,SUM(E1209:E1225)/SUM(F1209:F1225))</f>
        <v/>
      </c>
    </row>
    <row r="1209" spans="1:6">
      <c r="A1209" s="4" t="s">
        <v>22</v>
      </c>
      <c r="B1209" s="7">
        <v>1</v>
      </c>
      <c r="C1209" s="6">
        <f>IF(F1209=1,1.0,0)</f>
        <v/>
      </c>
      <c r="D1209" s="6">
        <f>IF(F1209=1,0.9,0)</f>
        <v/>
      </c>
      <c r="E1209" s="5" t="s">
        <v>17</v>
      </c>
      <c r="F1209" s="8">
        <f>IF(OR(LOOKUP(A1209,characters!A:A,characters!B:B)=-1, LOOKUP(A1209,characters!A:A,characters!B:B)+0.1&gt;=B1209),1,0)</f>
        <v/>
      </c>
    </row>
    <row r="1210" spans="1:6">
      <c r="A1210" s="4" t="s">
        <v>50</v>
      </c>
      <c r="B1210" s="7">
        <v>0</v>
      </c>
      <c r="C1210" s="6">
        <f>IF(F1210=1,1.0,0)</f>
        <v/>
      </c>
      <c r="D1210" s="6">
        <f>IF(F1210=1,0.99,0)</f>
        <v/>
      </c>
      <c r="E1210" s="5" t="s">
        <v>17</v>
      </c>
      <c r="F1210" s="8">
        <f>IF(OR(LOOKUP(A1210,characters!A:A,characters!B:B)=-1, LOOKUP(A1210,characters!A:A,characters!B:B)+0.1&gt;=B1210),1,0)</f>
        <v/>
      </c>
    </row>
    <row r="1211" spans="1:6">
      <c r="A1211" s="4" t="s">
        <v>18</v>
      </c>
      <c r="B1211" s="7">
        <v>0</v>
      </c>
      <c r="C1211" s="6">
        <f>IF(F1211=1,0.99,0)</f>
        <v/>
      </c>
      <c r="D1211" s="6">
        <f>IF(F1211=1,1.0,0)</f>
        <v/>
      </c>
      <c r="E1211" s="5" t="s">
        <v>17</v>
      </c>
      <c r="F1211" s="8">
        <f>IF(OR(LOOKUP(A1211,characters!A:A,characters!B:B)=-1, LOOKUP(A1211,characters!A:A,characters!B:B)+0.1&gt;=B1211),1,0)</f>
        <v/>
      </c>
    </row>
    <row r="1212" spans="1:6">
      <c r="A1212" s="4" t="s">
        <v>107</v>
      </c>
      <c r="B1212" s="7">
        <v>1</v>
      </c>
      <c r="C1212" s="5" t="s">
        <v>17</v>
      </c>
      <c r="D1212" s="6">
        <f>IF(F1212=1,1.0,0)</f>
        <v/>
      </c>
      <c r="E1212" s="6">
        <f>IF(F1212=1,0.99,0)</f>
        <v/>
      </c>
      <c r="F1212" s="8">
        <f>IF(OR(LOOKUP(A1212,characters!A:A,characters!B:B)=-1, LOOKUP(A1212,characters!A:A,characters!B:B)+0.1&gt;=B1212),1,0)</f>
        <v/>
      </c>
    </row>
    <row r="1213" spans="1:6">
      <c r="A1213" s="4" t="s">
        <v>85</v>
      </c>
      <c r="B1213" s="7">
        <v>1</v>
      </c>
      <c r="C1213" s="6">
        <f>IF(F1213=1,0.99,0)</f>
        <v/>
      </c>
      <c r="D1213" s="6">
        <f>IF(F1213=1,1.0,0)</f>
        <v/>
      </c>
      <c r="E1213" s="5" t="s">
        <v>17</v>
      </c>
      <c r="F1213" s="8">
        <f>IF(OR(LOOKUP(A1213,characters!A:A,characters!B:B)=-1, LOOKUP(A1213,characters!A:A,characters!B:B)+0.1&gt;=B1213),1,0)</f>
        <v/>
      </c>
    </row>
    <row r="1214" spans="1:6">
      <c r="A1214" s="4" t="s">
        <v>86</v>
      </c>
      <c r="B1214" s="7">
        <v>3</v>
      </c>
      <c r="C1214" s="6">
        <f>IF(F1214=1,1.0,0)</f>
        <v/>
      </c>
      <c r="D1214" s="6">
        <f>IF(F1214=1,0.9,0)</f>
        <v/>
      </c>
      <c r="E1214" s="5" t="s">
        <v>17</v>
      </c>
      <c r="F1214" s="8">
        <f>IF(OR(LOOKUP(A1214,characters!A:A,characters!B:B)=-1, LOOKUP(A1214,characters!A:A,characters!B:B)+0.1&gt;=B1214),1,0)</f>
        <v/>
      </c>
    </row>
    <row r="1215" spans="1:6">
      <c r="A1215" s="4" t="s">
        <v>59</v>
      </c>
      <c r="B1215" s="7">
        <v>1</v>
      </c>
      <c r="C1215" s="6">
        <f>IF(F1215=1,1.0,0)</f>
        <v/>
      </c>
      <c r="D1215" s="6">
        <f>IF(F1215=1,0.9,0)</f>
        <v/>
      </c>
      <c r="E1215" s="5" t="s">
        <v>17</v>
      </c>
      <c r="F1215" s="8">
        <f>IF(OR(LOOKUP(A1215,characters!A:A,characters!B:B)=-1, LOOKUP(A1215,characters!A:A,characters!B:B)+0.1&gt;=B1215),1,0)</f>
        <v/>
      </c>
    </row>
    <row r="1216" spans="1:6">
      <c r="A1216" s="4" t="s">
        <v>80</v>
      </c>
      <c r="B1216" s="7">
        <v>1</v>
      </c>
      <c r="C1216" s="6">
        <f>IF(F1216=1,0.99,0)</f>
        <v/>
      </c>
      <c r="D1216" s="6">
        <f>IF(F1216=1,1.0,0)</f>
        <v/>
      </c>
      <c r="E1216" s="5" t="s">
        <v>17</v>
      </c>
      <c r="F1216" s="8">
        <f>IF(OR(LOOKUP(A1216,characters!A:A,characters!B:B)=-1, LOOKUP(A1216,characters!A:A,characters!B:B)+0.1&gt;=B1216),1,0)</f>
        <v/>
      </c>
    </row>
    <row r="1217" spans="1:6">
      <c r="A1217" s="4" t="s">
        <v>62</v>
      </c>
      <c r="B1217" s="7">
        <v>4</v>
      </c>
      <c r="C1217" s="6">
        <f>IF(F1217=1,1.0,0)</f>
        <v/>
      </c>
      <c r="D1217" s="5" t="s">
        <v>17</v>
      </c>
      <c r="E1217" s="5" t="s">
        <v>17</v>
      </c>
      <c r="F1217" s="8">
        <f>IF(OR(LOOKUP(A1217,characters!A:A,characters!B:B)=-1, LOOKUP(A1217,characters!A:A,characters!B:B)+0.1&gt;=B1217),1,0)</f>
        <v/>
      </c>
    </row>
    <row r="1218" spans="1:6">
      <c r="A1218" s="4" t="s">
        <v>87</v>
      </c>
      <c r="B1218" s="7">
        <v>0</v>
      </c>
      <c r="C1218" s="6">
        <f>IF(F1218=1,0.99,0)</f>
        <v/>
      </c>
      <c r="D1218" s="6">
        <f>IF(F1218=1,1.0,0)</f>
        <v/>
      </c>
      <c r="E1218" s="5" t="s">
        <v>17</v>
      </c>
      <c r="F1218" s="8">
        <f>IF(OR(LOOKUP(A1218,characters!A:A,characters!B:B)=-1, LOOKUP(A1218,characters!A:A,characters!B:B)+0.1&gt;=B1218),1,0)</f>
        <v/>
      </c>
    </row>
    <row r="1219" spans="1:6">
      <c r="A1219" s="4" t="s">
        <v>83</v>
      </c>
      <c r="B1219" s="7">
        <v>0</v>
      </c>
      <c r="C1219" s="6">
        <f>IF(F1219=1,0.99,0)</f>
        <v/>
      </c>
      <c r="D1219" s="6">
        <f>IF(F1219=1,1.0,0)</f>
        <v/>
      </c>
      <c r="E1219" s="5" t="s">
        <v>17</v>
      </c>
      <c r="F1219" s="8">
        <f>IF(OR(LOOKUP(A1219,characters!A:A,characters!B:B)=-1, LOOKUP(A1219,characters!A:A,characters!B:B)+0.1&gt;=B1219),1,0)</f>
        <v/>
      </c>
    </row>
    <row r="1220" spans="1:6">
      <c r="A1220" s="4" t="s">
        <v>88</v>
      </c>
      <c r="B1220" s="7">
        <v>2</v>
      </c>
      <c r="C1220" s="6">
        <f>IF(F1220=1,1.0,0)</f>
        <v/>
      </c>
      <c r="D1220" s="6">
        <f>IF(F1220=1,0.9,0)</f>
        <v/>
      </c>
      <c r="E1220" s="5" t="s">
        <v>17</v>
      </c>
      <c r="F1220" s="8">
        <f>IF(OR(LOOKUP(A1220,characters!A:A,characters!B:B)=-1, LOOKUP(A1220,characters!A:A,characters!B:B)+0.1&gt;=B1220),1,0)</f>
        <v/>
      </c>
    </row>
    <row r="1221" spans="1:6">
      <c r="A1221" s="4" t="s">
        <v>89</v>
      </c>
      <c r="B1221" s="7">
        <v>1</v>
      </c>
      <c r="C1221" s="6">
        <f>IF(F1221=1,1.0,0)</f>
        <v/>
      </c>
      <c r="D1221" s="5" t="s">
        <v>17</v>
      </c>
      <c r="E1221" s="5" t="s">
        <v>17</v>
      </c>
      <c r="F1221" s="8">
        <f>IF(OR(LOOKUP(A1221,characters!A:A,characters!B:B)=-1, LOOKUP(A1221,characters!A:A,characters!B:B)+0.1&gt;=B1221),1,0)</f>
        <v/>
      </c>
    </row>
    <row r="1222" spans="1:6">
      <c r="A1222" s="4" t="s">
        <v>21</v>
      </c>
      <c r="B1222" s="7">
        <v>2</v>
      </c>
      <c r="C1222" s="6">
        <f>IF(F1222=1,0.99,0)</f>
        <v/>
      </c>
      <c r="D1222" s="6">
        <f>IF(F1222=1,1.0,0)</f>
        <v/>
      </c>
      <c r="E1222" s="5" t="s">
        <v>17</v>
      </c>
      <c r="F1222" s="8">
        <f>IF(OR(LOOKUP(A1222,characters!A:A,characters!B:B)=-1, LOOKUP(A1222,characters!A:A,characters!B:B)+0.1&gt;=B1222),1,0)</f>
        <v/>
      </c>
    </row>
    <row r="1223" spans="1:6">
      <c r="A1223" s="4" t="s">
        <v>92</v>
      </c>
      <c r="B1223" s="7">
        <v>0</v>
      </c>
      <c r="C1223" s="6">
        <f>IF(F1223=1,1.0,0)</f>
        <v/>
      </c>
      <c r="D1223" s="6">
        <f>IF(F1223=1,1.0,0)</f>
        <v/>
      </c>
      <c r="E1223" s="5" t="s">
        <v>17</v>
      </c>
      <c r="F1223" s="8">
        <f>IF(OR(LOOKUP(A1223,characters!A:A,characters!B:B)=-1, LOOKUP(A1223,characters!A:A,characters!B:B)+0.1&gt;=B1223),1,0)</f>
        <v/>
      </c>
    </row>
    <row r="1224" spans="1:6">
      <c r="A1224" s="4" t="s">
        <v>52</v>
      </c>
      <c r="B1224" s="7">
        <v>0</v>
      </c>
      <c r="C1224" s="6">
        <f>IF(F1224=1,0.99,0)</f>
        <v/>
      </c>
      <c r="D1224" s="6">
        <f>IF(F1224=1,1.0,0)</f>
        <v/>
      </c>
      <c r="E1224" s="5" t="s">
        <v>17</v>
      </c>
      <c r="F1224" s="8">
        <f>IF(OR(LOOKUP(A1224,characters!A:A,characters!B:B)=-1, LOOKUP(A1224,characters!A:A,characters!B:B)+0.1&gt;=B1224),1,0)</f>
        <v/>
      </c>
    </row>
    <row r="1225" spans="1:6">
      <c r="A1225" s="4" t="s">
        <v>84</v>
      </c>
      <c r="B1225" s="7">
        <v>0</v>
      </c>
      <c r="C1225" s="6">
        <f>IF(F1225=1,0.99,0)</f>
        <v/>
      </c>
      <c r="D1225" s="6">
        <f>IF(F1225=1,1.0,0)</f>
        <v/>
      </c>
      <c r="E1225" s="5" t="s">
        <v>17</v>
      </c>
      <c r="F1225" s="8">
        <f>IF(OR(LOOKUP(A1225,characters!A:A,characters!B:B)=-1, LOOKUP(A1225,characters!A:A,characters!B:B)+0.1&gt;=B1225),1,0)</f>
        <v/>
      </c>
    </row>
    <row r="1232" spans="1:6">
      <c r="A1232" s="3" t="s">
        <v>129</v>
      </c>
    </row>
    <row r="1233" spans="1:8">
      <c r="A1233" s="3" t="s">
        <v>8</v>
      </c>
      <c r="B1233" s="3" t="s">
        <v>9</v>
      </c>
      <c r="C1233" s="3" t="s">
        <v>12</v>
      </c>
      <c r="D1233" s="3" t="s">
        <v>10</v>
      </c>
      <c r="E1233" s="3" t="s">
        <v>13</v>
      </c>
      <c r="F1233" s="3" t="s">
        <v>11</v>
      </c>
    </row>
    <row r="1234" spans="1:8">
      <c r="A1234" s="4" t="s">
        <v>16</v>
      </c>
      <c r="B1234" s="5" t="s">
        <v>17</v>
      </c>
      <c r="C1234" s="6">
        <f>IF(SUM(G1235:G1239)=0,0,SUM(C1235:C1239)/SUM(G1235:G1239))</f>
        <v/>
      </c>
      <c r="D1234" s="6">
        <f>IF(SUM(G1235:G1239)=0,0,SUM(D1235:D1239)/SUM(G1235:G1239))</f>
        <v/>
      </c>
      <c r="E1234" s="6">
        <f>IF(SUM(G1235:G1239)=0,0,SUM(E1235:E1239)/SUM(G1235:G1239))</f>
        <v/>
      </c>
      <c r="F1234" s="6">
        <f>IF(SUM(G1235:G1239)=0,0,SUM(F1235:F1239)/SUM(G1235:G1239))</f>
        <v/>
      </c>
    </row>
    <row r="1235" spans="1:8">
      <c r="A1235" s="4" t="s">
        <v>59</v>
      </c>
      <c r="B1235" s="7">
        <v>0</v>
      </c>
      <c r="C1235" s="6">
        <f>IF(G1235=1,1.0,0)</f>
        <v/>
      </c>
      <c r="D1235" s="6">
        <f>IF(G1235=1,1.0,0)</f>
        <v/>
      </c>
      <c r="E1235" s="6">
        <f>IF(G1235=1,1.0,0)</f>
        <v/>
      </c>
      <c r="F1235" s="6">
        <f>IF(G1235=1,0.9,0)</f>
        <v/>
      </c>
      <c r="G1235" s="8">
        <f>IF(OR(LOOKUP(A1235,characters!A:A,characters!B:B)=-1, LOOKUP(A1235,characters!A:A,characters!B:B)+0.1&gt;=B1235),1,0)</f>
        <v/>
      </c>
    </row>
    <row r="1236" spans="1:8">
      <c r="A1236" s="4" t="s">
        <v>60</v>
      </c>
      <c r="B1236" s="7">
        <v>0</v>
      </c>
      <c r="C1236" s="6">
        <f>IF(G1236=1,1.0,0)</f>
        <v/>
      </c>
      <c r="D1236" s="6">
        <f>IF(G1236=1,1.0,0)</f>
        <v/>
      </c>
      <c r="E1236" s="6">
        <f>IF(G1236=1,1.0,0)</f>
        <v/>
      </c>
      <c r="F1236" s="6">
        <f>IF(G1236=1,0.9,0)</f>
        <v/>
      </c>
      <c r="G1236" s="8">
        <f>IF(OR(LOOKUP(A1236,characters!A:A,characters!B:B)=-1, LOOKUP(A1236,characters!A:A,characters!B:B)+0.1&gt;=B1236),1,0)</f>
        <v/>
      </c>
    </row>
    <row r="1237" spans="1:8">
      <c r="A1237" s="4" t="s">
        <v>92</v>
      </c>
      <c r="B1237" s="7">
        <v>0</v>
      </c>
      <c r="C1237" s="6">
        <f>IF(G1237=1,0.9,0)</f>
        <v/>
      </c>
      <c r="D1237" s="6">
        <f>IF(G1237=1,1.0,0)</f>
        <v/>
      </c>
      <c r="E1237" s="6">
        <f>IF(G1237=1,0.8,0)</f>
        <v/>
      </c>
      <c r="F1237" s="6">
        <f>IF(G1237=1,0.7,0)</f>
        <v/>
      </c>
      <c r="G1237" s="8">
        <f>IF(OR(LOOKUP(A1237,characters!A:A,characters!B:B)=-1, LOOKUP(A1237,characters!A:A,characters!B:B)+0.1&gt;=B1237),1,0)</f>
        <v/>
      </c>
    </row>
    <row r="1238" spans="1:8">
      <c r="A1238" s="4" t="s">
        <v>50</v>
      </c>
      <c r="B1238" s="7">
        <v>1</v>
      </c>
      <c r="C1238" s="6">
        <f>IF(G1238=1,0.9,0)</f>
        <v/>
      </c>
      <c r="D1238" s="6">
        <f>IF(G1238=1,1.0,0)</f>
        <v/>
      </c>
      <c r="E1238" s="6">
        <f>IF(G1238=1,0.9,0)</f>
        <v/>
      </c>
      <c r="F1238" s="6">
        <f>IF(G1238=1,0.8,0)</f>
        <v/>
      </c>
      <c r="G1238" s="8">
        <f>IF(OR(LOOKUP(A1238,characters!A:A,characters!B:B)=-1, LOOKUP(A1238,characters!A:A,characters!B:B)+0.1&gt;=B1238),1,0)</f>
        <v/>
      </c>
    </row>
    <row r="1239" spans="1:8">
      <c r="A1239" s="4" t="s">
        <v>62</v>
      </c>
      <c r="B1239" s="7">
        <v>1</v>
      </c>
      <c r="C1239" s="6">
        <f>IF(G1239=1,1.0,0)</f>
        <v/>
      </c>
      <c r="D1239" s="6">
        <f>IF(G1239=1,0.79,0)</f>
        <v/>
      </c>
      <c r="E1239" s="6">
        <f>IF(G1239=1,0.99,0)</f>
        <v/>
      </c>
      <c r="F1239" s="6">
        <f>IF(G1239=1,0.89,0)</f>
        <v/>
      </c>
      <c r="G1239" s="8">
        <f>IF(OR(LOOKUP(A1239,characters!A:A,characters!B:B)=-1, LOOKUP(A1239,characters!A:A,characters!B:B)+0.1&gt;=B1239),1,0)</f>
        <v/>
      </c>
    </row>
    <row r="1241" spans="1:8">
      <c r="A1241" s="3" t="s">
        <v>30</v>
      </c>
      <c r="B1241" s="3" t="s">
        <v>9</v>
      </c>
      <c r="C1241" s="3" t="s">
        <v>63</v>
      </c>
      <c r="D1241" s="3" t="s">
        <v>11</v>
      </c>
      <c r="E1241" s="3" t="s">
        <v>47</v>
      </c>
      <c r="F1241" s="3" t="s">
        <v>65</v>
      </c>
      <c r="G1241" s="3" t="s">
        <v>46</v>
      </c>
    </row>
    <row r="1242" spans="1:8">
      <c r="A1242" s="4" t="s">
        <v>16</v>
      </c>
      <c r="B1242" s="5" t="s">
        <v>17</v>
      </c>
      <c r="C1242" s="6">
        <f>IF(SUM(H1243:H1247)=0,0,SUM(C1243:C1247)/SUM(H1243:H1247))</f>
        <v/>
      </c>
      <c r="D1242" s="6">
        <f>IF(SUM(H1243:H1247)=0,0,SUM(D1243:D1247)/SUM(H1243:H1247))</f>
        <v/>
      </c>
      <c r="E1242" s="6">
        <f>IF(SUM(H1243:H1247)=0,0,SUM(E1243:E1247)/SUM(H1243:H1247))</f>
        <v/>
      </c>
      <c r="F1242" s="6">
        <f>IF(SUM(H1243:H1247)=0,0,SUM(F1243:F1247)/SUM(H1243:H1247))</f>
        <v/>
      </c>
      <c r="G1242" s="6">
        <f>IF(SUM(H1243:H1247)=0,0,SUM(G1243:G1247)/SUM(H1243:H1247))</f>
        <v/>
      </c>
    </row>
    <row r="1243" spans="1:8">
      <c r="A1243" s="4" t="s">
        <v>50</v>
      </c>
      <c r="B1243" s="7">
        <v>1</v>
      </c>
      <c r="C1243" s="6">
        <f>IF(H1243=1,1.0,0)</f>
        <v/>
      </c>
      <c r="D1243" s="6">
        <f>IF(H1243=1,1.0,0)</f>
        <v/>
      </c>
      <c r="E1243" s="5" t="s">
        <v>17</v>
      </c>
      <c r="F1243" s="5" t="s">
        <v>17</v>
      </c>
      <c r="G1243" s="5" t="s">
        <v>17</v>
      </c>
      <c r="H1243" s="8">
        <f>IF(OR(LOOKUP(A1243,characters!A:A,characters!B:B)=-1, LOOKUP(A1243,characters!A:A,characters!B:B)+0.1&gt;=B1243),1,0)</f>
        <v/>
      </c>
    </row>
    <row r="1244" spans="1:8">
      <c r="A1244" s="4" t="s">
        <v>59</v>
      </c>
      <c r="B1244" s="7">
        <v>0</v>
      </c>
      <c r="C1244" s="5" t="s">
        <v>17</v>
      </c>
      <c r="D1244" s="6">
        <f>IF(H1244=1,0.9,0)</f>
        <v/>
      </c>
      <c r="E1244" s="6">
        <f>IF(H1244=1,1.0,0)</f>
        <v/>
      </c>
      <c r="F1244" s="5" t="s">
        <v>17</v>
      </c>
      <c r="G1244" s="5" t="s">
        <v>17</v>
      </c>
      <c r="H1244" s="8">
        <f>IF(OR(LOOKUP(A1244,characters!A:A,characters!B:B)=-1, LOOKUP(A1244,characters!A:A,characters!B:B)+0.1&gt;=B1244),1,0)</f>
        <v/>
      </c>
    </row>
    <row r="1245" spans="1:8">
      <c r="A1245" s="4" t="s">
        <v>60</v>
      </c>
      <c r="B1245" s="7">
        <v>0</v>
      </c>
      <c r="C1245" s="5" t="s">
        <v>17</v>
      </c>
      <c r="D1245" s="6">
        <f>IF(H1245=1,0.9,0)</f>
        <v/>
      </c>
      <c r="E1245" s="5" t="s">
        <v>17</v>
      </c>
      <c r="F1245" s="6">
        <f>IF(H1245=1,1.0,0)</f>
        <v/>
      </c>
      <c r="G1245" s="5" t="s">
        <v>17</v>
      </c>
      <c r="H1245" s="8">
        <f>IF(OR(LOOKUP(A1245,characters!A:A,characters!B:B)=-1, LOOKUP(A1245,characters!A:A,characters!B:B)+0.1&gt;=B1245),1,0)</f>
        <v/>
      </c>
    </row>
    <row r="1246" spans="1:8">
      <c r="A1246" s="4" t="s">
        <v>62</v>
      </c>
      <c r="B1246" s="7">
        <v>1</v>
      </c>
      <c r="C1246" s="5" t="s">
        <v>17</v>
      </c>
      <c r="D1246" s="5" t="s">
        <v>17</v>
      </c>
      <c r="E1246" s="5" t="s">
        <v>17</v>
      </c>
      <c r="F1246" s="5" t="s">
        <v>17</v>
      </c>
      <c r="G1246" s="6">
        <f>IF(H1246=1,1.0,0)</f>
        <v/>
      </c>
      <c r="H1246" s="8">
        <f>IF(OR(LOOKUP(A1246,characters!A:A,characters!B:B)=-1, LOOKUP(A1246,characters!A:A,characters!B:B)+0.1&gt;=B1246),1,0)</f>
        <v/>
      </c>
    </row>
    <row r="1247" spans="1:8">
      <c r="A1247" s="4" t="s">
        <v>92</v>
      </c>
      <c r="B1247" s="7">
        <v>0</v>
      </c>
      <c r="C1247" s="5" t="s">
        <v>17</v>
      </c>
      <c r="D1247" s="6">
        <f>IF(H1247=1,0.9,0)</f>
        <v/>
      </c>
      <c r="E1247" s="6">
        <f>IF(H1247=1,1.0,0)</f>
        <v/>
      </c>
      <c r="F1247" s="5" t="s">
        <v>17</v>
      </c>
      <c r="G1247" s="5" t="s">
        <v>17</v>
      </c>
      <c r="H1247" s="8">
        <f>IF(OR(LOOKUP(A1247,characters!A:A,characters!B:B)=-1, LOOKUP(A1247,characters!A:A,characters!B:B)+0.1&gt;=B1247),1,0)</f>
        <v/>
      </c>
    </row>
    <row r="1249" spans="1:8">
      <c r="A1249" s="3" t="s">
        <v>31</v>
      </c>
      <c r="B1249" s="3" t="s">
        <v>9</v>
      </c>
      <c r="C1249" s="3" t="s">
        <v>11</v>
      </c>
      <c r="D1249" s="3" t="s">
        <v>32</v>
      </c>
    </row>
    <row r="1250" spans="1:8">
      <c r="A1250" s="4" t="s">
        <v>16</v>
      </c>
      <c r="B1250" s="5" t="s">
        <v>17</v>
      </c>
      <c r="C1250" s="6">
        <f>IF(SUM(E1251:E1255)=0,0,SUM(C1251:C1255)/SUM(E1251:E1255))</f>
        <v/>
      </c>
      <c r="D1250" s="6">
        <f>IF(SUM(E1251:E1255)=0,0,SUM(D1251:D1255)/SUM(E1251:E1255))</f>
        <v/>
      </c>
    </row>
    <row r="1251" spans="1:8">
      <c r="A1251" s="4" t="s">
        <v>50</v>
      </c>
      <c r="B1251" s="7">
        <v>1</v>
      </c>
      <c r="C1251" s="6">
        <f>IF(E1251=1,1.0,0)</f>
        <v/>
      </c>
      <c r="D1251" s="5" t="s">
        <v>17</v>
      </c>
      <c r="E1251" s="8">
        <f>IF(OR(LOOKUP(A1251,characters!A:A,characters!B:B)=-1, LOOKUP(A1251,characters!A:A,characters!B:B)+0.1&gt;=B1251),1,0)</f>
        <v/>
      </c>
    </row>
    <row r="1252" spans="1:8">
      <c r="A1252" s="4" t="s">
        <v>59</v>
      </c>
      <c r="B1252" s="7">
        <v>0</v>
      </c>
      <c r="C1252" s="6">
        <f>IF(E1252=1,1.0,0)</f>
        <v/>
      </c>
      <c r="D1252" s="5" t="s">
        <v>17</v>
      </c>
      <c r="E1252" s="8">
        <f>IF(OR(LOOKUP(A1252,characters!A:A,characters!B:B)=-1, LOOKUP(A1252,characters!A:A,characters!B:B)+0.1&gt;=B1252),1,0)</f>
        <v/>
      </c>
    </row>
    <row r="1253" spans="1:8">
      <c r="A1253" s="4" t="s">
        <v>60</v>
      </c>
      <c r="B1253" s="7">
        <v>0</v>
      </c>
      <c r="C1253" s="6">
        <f>IF(E1253=1,1.0,0)</f>
        <v/>
      </c>
      <c r="D1253" s="5" t="s">
        <v>17</v>
      </c>
      <c r="E1253" s="8">
        <f>IF(OR(LOOKUP(A1253,characters!A:A,characters!B:B)=-1, LOOKUP(A1253,characters!A:A,characters!B:B)+0.1&gt;=B1253),1,0)</f>
        <v/>
      </c>
    </row>
    <row r="1254" spans="1:8">
      <c r="A1254" s="4" t="s">
        <v>62</v>
      </c>
      <c r="B1254" s="7">
        <v>1</v>
      </c>
      <c r="C1254" s="6">
        <f>IF(E1254=1,1.0,0)</f>
        <v/>
      </c>
      <c r="D1254" s="5" t="s">
        <v>17</v>
      </c>
      <c r="E1254" s="8">
        <f>IF(OR(LOOKUP(A1254,characters!A:A,characters!B:B)=-1, LOOKUP(A1254,characters!A:A,characters!B:B)+0.1&gt;=B1254),1,0)</f>
        <v/>
      </c>
    </row>
    <row r="1255" spans="1:8">
      <c r="A1255" s="4" t="s">
        <v>92</v>
      </c>
      <c r="B1255" s="7">
        <v>0</v>
      </c>
      <c r="C1255" s="6">
        <f>IF(E1255=1,1.0,0)</f>
        <v/>
      </c>
      <c r="D1255" s="6">
        <f>IF(E1255=1,0.99,0)</f>
        <v/>
      </c>
      <c r="E1255" s="8">
        <f>IF(OR(LOOKUP(A1255,characters!A:A,characters!B:B)=-1, LOOKUP(A1255,characters!A:A,characters!B:B)+0.1&gt;=B1255),1,0)</f>
        <v/>
      </c>
    </row>
    <row r="1262" spans="1:8">
      <c r="A1262" s="3" t="s">
        <v>130</v>
      </c>
    </row>
    <row r="1263" spans="1:8">
      <c r="A1263" s="3" t="s">
        <v>8</v>
      </c>
      <c r="B1263" s="3" t="s">
        <v>9</v>
      </c>
      <c r="C1263" s="3" t="s">
        <v>10</v>
      </c>
      <c r="D1263" s="3" t="s">
        <v>11</v>
      </c>
      <c r="E1263" s="3" t="s">
        <v>13</v>
      </c>
      <c r="F1263" s="3" t="s">
        <v>12</v>
      </c>
      <c r="G1263" s="3" t="s">
        <v>15</v>
      </c>
      <c r="H1263" s="3" t="s">
        <v>14</v>
      </c>
    </row>
    <row r="1264" spans="1:8">
      <c r="A1264" s="4" t="s">
        <v>16</v>
      </c>
      <c r="B1264" s="5" t="s">
        <v>17</v>
      </c>
      <c r="C1264" s="6">
        <f>IF(SUM(I1265:I1279)=0,0,SUM(C1265:C1279)/SUM(I1265:I1279))</f>
        <v/>
      </c>
      <c r="D1264" s="6">
        <f>IF(SUM(I1265:I1279)=0,0,SUM(D1265:D1279)/SUM(I1265:I1279))</f>
        <v/>
      </c>
      <c r="E1264" s="6">
        <f>IF(SUM(I1265:I1279)=0,0,SUM(E1265:E1279)/SUM(I1265:I1279))</f>
        <v/>
      </c>
      <c r="F1264" s="6">
        <f>IF(SUM(I1265:I1279)=0,0,SUM(F1265:F1279)/SUM(I1265:I1279))</f>
        <v/>
      </c>
      <c r="G1264" s="6">
        <f>IF(SUM(I1265:I1279)=0,0,SUM(G1265:G1279)/SUM(I1265:I1279))</f>
        <v/>
      </c>
      <c r="H1264" s="6">
        <f>IF(SUM(I1265:I1279)=0,0,SUM(H1265:H1279)/SUM(I1265:I1279))</f>
        <v/>
      </c>
    </row>
    <row r="1265" spans="1:9">
      <c r="A1265" s="4" t="s">
        <v>21</v>
      </c>
      <c r="B1265" s="7">
        <v>1</v>
      </c>
      <c r="C1265" s="6">
        <f>IF(I1265=1,1.0,0)</f>
        <v/>
      </c>
      <c r="D1265" s="6">
        <f>IF(I1265=1,0.8,0)</f>
        <v/>
      </c>
      <c r="E1265" s="6">
        <f>IF(I1265=1,0.9,0)</f>
        <v/>
      </c>
      <c r="F1265" s="6">
        <f>IF(I1265=1,0.9,0)</f>
        <v/>
      </c>
      <c r="G1265" s="5" t="s">
        <v>17</v>
      </c>
      <c r="H1265" s="5" t="s">
        <v>17</v>
      </c>
      <c r="I1265" s="8">
        <f>IF(OR(LOOKUP(A1265,characters!A:A,characters!B:B)=-1, LOOKUP(A1265,characters!A:A,characters!B:B)+0.1&gt;=B1265),1,0)</f>
        <v/>
      </c>
    </row>
    <row r="1266" spans="1:9">
      <c r="A1266" s="4" t="s">
        <v>93</v>
      </c>
      <c r="B1266" s="7">
        <v>1</v>
      </c>
      <c r="C1266" s="6">
        <f>IF(I1266=1,1.0,0)</f>
        <v/>
      </c>
      <c r="D1266" s="6">
        <f>IF(I1266=1,0.79,0)</f>
        <v/>
      </c>
      <c r="E1266" s="6">
        <f>IF(I1266=1,0.89,0)</f>
        <v/>
      </c>
      <c r="F1266" s="6">
        <f>IF(I1266=1,0.89,0)</f>
        <v/>
      </c>
      <c r="G1266" s="6">
        <f>IF(I1266=1,0.9,0)</f>
        <v/>
      </c>
      <c r="H1266" s="5" t="s">
        <v>17</v>
      </c>
      <c r="I1266" s="8">
        <f>IF(OR(LOOKUP(A1266,characters!A:A,characters!B:B)=-1, LOOKUP(A1266,characters!A:A,characters!B:B)+0.1&gt;=B1266),1,0)</f>
        <v/>
      </c>
    </row>
    <row r="1267" spans="1:9">
      <c r="A1267" s="4" t="s">
        <v>22</v>
      </c>
      <c r="B1267" s="7">
        <v>2</v>
      </c>
      <c r="C1267" s="6">
        <f>IF(I1267=1,1.0,0)</f>
        <v/>
      </c>
      <c r="D1267" s="6">
        <f>IF(I1267=1,0.8,0)</f>
        <v/>
      </c>
      <c r="E1267" s="6">
        <f>IF(I1267=1,0.9,0)</f>
        <v/>
      </c>
      <c r="F1267" s="6">
        <f>IF(I1267=1,0.9,0)</f>
        <v/>
      </c>
      <c r="G1267" s="5" t="s">
        <v>17</v>
      </c>
      <c r="H1267" s="5" t="s">
        <v>17</v>
      </c>
      <c r="I1267" s="8">
        <f>IF(OR(LOOKUP(A1267,characters!A:A,characters!B:B)=-1, LOOKUP(A1267,characters!A:A,characters!B:B)+0.1&gt;=B1267),1,0)</f>
        <v/>
      </c>
    </row>
    <row r="1268" spans="1:9">
      <c r="A1268" s="4" t="s">
        <v>18</v>
      </c>
      <c r="B1268" s="7">
        <v>2</v>
      </c>
      <c r="C1268" s="6">
        <f>IF(I1268=1,1.0,0)</f>
        <v/>
      </c>
      <c r="D1268" s="6">
        <f>IF(I1268=1,0.8,0)</f>
        <v/>
      </c>
      <c r="E1268" s="6">
        <f>IF(I1268=1,0.9,0)</f>
        <v/>
      </c>
      <c r="F1268" s="6">
        <f>IF(I1268=1,0.9,0)</f>
        <v/>
      </c>
      <c r="G1268" s="5" t="s">
        <v>17</v>
      </c>
      <c r="H1268" s="5" t="s">
        <v>17</v>
      </c>
      <c r="I1268" s="8">
        <f>IF(OR(LOOKUP(A1268,characters!A:A,characters!B:B)=-1, LOOKUP(A1268,characters!A:A,characters!B:B)+0.1&gt;=B1268),1,0)</f>
        <v/>
      </c>
    </row>
    <row r="1269" spans="1:9">
      <c r="A1269" s="4" t="s">
        <v>85</v>
      </c>
      <c r="B1269" s="7">
        <v>2</v>
      </c>
      <c r="C1269" s="6">
        <f>IF(I1269=1,1.0,0)</f>
        <v/>
      </c>
      <c r="D1269" s="6">
        <f>IF(I1269=1,0.9,0)</f>
        <v/>
      </c>
      <c r="E1269" s="6">
        <f>IF(I1269=1,1.0,0)</f>
        <v/>
      </c>
      <c r="F1269" s="6">
        <f>IF(I1269=1,1.0,0)</f>
        <v/>
      </c>
      <c r="G1269" s="5" t="s">
        <v>17</v>
      </c>
      <c r="H1269" s="5" t="s">
        <v>17</v>
      </c>
      <c r="I1269" s="8">
        <f>IF(OR(LOOKUP(A1269,characters!A:A,characters!B:B)=-1, LOOKUP(A1269,characters!A:A,characters!B:B)+0.1&gt;=B1269),1,0)</f>
        <v/>
      </c>
    </row>
    <row r="1270" spans="1:9">
      <c r="A1270" s="4" t="s">
        <v>86</v>
      </c>
      <c r="B1270" s="7">
        <v>2</v>
      </c>
      <c r="C1270" s="5" t="s">
        <v>17</v>
      </c>
      <c r="D1270" s="6">
        <f>IF(I1270=1,0.9,0)</f>
        <v/>
      </c>
      <c r="E1270" s="6">
        <f>IF(I1270=1,1.0,0)</f>
        <v/>
      </c>
      <c r="F1270" s="6">
        <f>IF(I1270=1,1.0,0)</f>
        <v/>
      </c>
      <c r="G1270" s="5" t="s">
        <v>17</v>
      </c>
      <c r="H1270" s="5" t="s">
        <v>17</v>
      </c>
      <c r="I1270" s="8">
        <f>IF(OR(LOOKUP(A1270,characters!A:A,characters!B:B)=-1, LOOKUP(A1270,characters!A:A,characters!B:B)+0.1&gt;=B1270),1,0)</f>
        <v/>
      </c>
    </row>
    <row r="1271" spans="1:9">
      <c r="A1271" s="4" t="s">
        <v>80</v>
      </c>
      <c r="B1271" s="7">
        <v>2</v>
      </c>
      <c r="C1271" s="6">
        <f>IF(I1271=1,1.0,0)</f>
        <v/>
      </c>
      <c r="D1271" s="6">
        <f>IF(I1271=1,0.8,0)</f>
        <v/>
      </c>
      <c r="E1271" s="6">
        <f>IF(I1271=1,0.9,0)</f>
        <v/>
      </c>
      <c r="F1271" s="6">
        <f>IF(I1271=1,0.9,0)</f>
        <v/>
      </c>
      <c r="G1271" s="5" t="s">
        <v>17</v>
      </c>
      <c r="H1271" s="5" t="s">
        <v>17</v>
      </c>
      <c r="I1271" s="8">
        <f>IF(OR(LOOKUP(A1271,characters!A:A,characters!B:B)=-1, LOOKUP(A1271,characters!A:A,characters!B:B)+0.1&gt;=B1271),1,0)</f>
        <v/>
      </c>
    </row>
    <row r="1272" spans="1:9">
      <c r="A1272" s="4" t="s">
        <v>87</v>
      </c>
      <c r="B1272" s="7">
        <v>2</v>
      </c>
      <c r="C1272" s="6">
        <f>IF(I1272=1,1.0,0)</f>
        <v/>
      </c>
      <c r="D1272" s="6">
        <f>IF(I1272=1,0.8,0)</f>
        <v/>
      </c>
      <c r="E1272" s="6">
        <f>IF(I1272=1,0.9,0)</f>
        <v/>
      </c>
      <c r="F1272" s="6">
        <f>IF(I1272=1,0.9,0)</f>
        <v/>
      </c>
      <c r="G1272" s="5" t="s">
        <v>17</v>
      </c>
      <c r="H1272" s="5" t="s">
        <v>17</v>
      </c>
      <c r="I1272" s="8">
        <f>IF(OR(LOOKUP(A1272,characters!A:A,characters!B:B)=-1, LOOKUP(A1272,characters!A:A,characters!B:B)+0.1&gt;=B1272),1,0)</f>
        <v/>
      </c>
    </row>
    <row r="1273" spans="1:9">
      <c r="A1273" s="4" t="s">
        <v>20</v>
      </c>
      <c r="B1273" s="7">
        <v>2</v>
      </c>
      <c r="C1273" s="6">
        <f>IF(I1273=1,1.0,0)</f>
        <v/>
      </c>
      <c r="D1273" s="6">
        <f>IF(I1273=1,0.9,0)</f>
        <v/>
      </c>
      <c r="E1273" s="5" t="s">
        <v>17</v>
      </c>
      <c r="F1273" s="5" t="s">
        <v>17</v>
      </c>
      <c r="G1273" s="6">
        <f>IF(I1273=1,0.8,0)</f>
        <v/>
      </c>
      <c r="H1273" s="6">
        <f>IF(I1273=1,1.0,0)</f>
        <v/>
      </c>
      <c r="I1273" s="8">
        <f>IF(OR(LOOKUP(A1273,characters!A:A,characters!B:B)=-1, LOOKUP(A1273,characters!A:A,characters!B:B)+0.1&gt;=B1273),1,0)</f>
        <v/>
      </c>
    </row>
    <row r="1274" spans="1:9">
      <c r="A1274" s="4" t="s">
        <v>49</v>
      </c>
      <c r="B1274" s="7">
        <v>2</v>
      </c>
      <c r="C1274" s="6">
        <f>IF(I1274=1,1.0,0)</f>
        <v/>
      </c>
      <c r="D1274" s="6">
        <f>IF(I1274=1,0.79,0)</f>
        <v/>
      </c>
      <c r="E1274" s="6">
        <f>IF(I1274=1,0.89,0)</f>
        <v/>
      </c>
      <c r="F1274" s="6">
        <f>IF(I1274=1,0.89,0)</f>
        <v/>
      </c>
      <c r="G1274" s="6">
        <f>IF(I1274=1,0.9,0)</f>
        <v/>
      </c>
      <c r="H1274" s="5" t="s">
        <v>17</v>
      </c>
      <c r="I1274" s="8">
        <f>IF(OR(LOOKUP(A1274,characters!A:A,characters!B:B)=-1, LOOKUP(A1274,characters!A:A,characters!B:B)+0.1&gt;=B1274),1,0)</f>
        <v/>
      </c>
    </row>
    <row r="1275" spans="1:9">
      <c r="A1275" s="4" t="s">
        <v>84</v>
      </c>
      <c r="B1275" s="7">
        <v>2</v>
      </c>
      <c r="C1275" s="6">
        <f>IF(I1275=1,1.0,0)</f>
        <v/>
      </c>
      <c r="D1275" s="6">
        <f>IF(I1275=1,0.8,0)</f>
        <v/>
      </c>
      <c r="E1275" s="6">
        <f>IF(I1275=1,0.9,0)</f>
        <v/>
      </c>
      <c r="F1275" s="6">
        <f>IF(I1275=1,0.7,0)</f>
        <v/>
      </c>
      <c r="G1275" s="5" t="s">
        <v>17</v>
      </c>
      <c r="H1275" s="5" t="s">
        <v>17</v>
      </c>
      <c r="I1275" s="8">
        <f>IF(OR(LOOKUP(A1275,characters!A:A,characters!B:B)=-1, LOOKUP(A1275,characters!A:A,characters!B:B)+0.1&gt;=B1275),1,0)</f>
        <v/>
      </c>
    </row>
    <row r="1276" spans="1:9">
      <c r="A1276" s="4" t="s">
        <v>76</v>
      </c>
      <c r="B1276" s="7">
        <v>3</v>
      </c>
      <c r="C1276" s="6">
        <f>IF(I1276=1,0.9,0)</f>
        <v/>
      </c>
      <c r="D1276" s="6">
        <f>IF(I1276=1,0.8,0)</f>
        <v/>
      </c>
      <c r="E1276" s="5" t="s">
        <v>17</v>
      </c>
      <c r="F1276" s="5" t="s">
        <v>17</v>
      </c>
      <c r="G1276" s="6">
        <f>IF(I1276=1,0.7,0)</f>
        <v/>
      </c>
      <c r="H1276" s="6">
        <f>IF(I1276=1,1.0,0)</f>
        <v/>
      </c>
      <c r="I1276" s="8">
        <f>IF(OR(LOOKUP(A1276,characters!A:A,characters!B:B)=-1, LOOKUP(A1276,characters!A:A,characters!B:B)+0.1&gt;=B1276),1,0)</f>
        <v/>
      </c>
    </row>
    <row r="1277" spans="1:9">
      <c r="A1277" s="4" t="s">
        <v>53</v>
      </c>
      <c r="B1277" s="7">
        <v>3</v>
      </c>
      <c r="C1277" s="6">
        <f>IF(I1277=1,1.0,0)</f>
        <v/>
      </c>
      <c r="D1277" s="6">
        <f>IF(I1277=1,0.89,0)</f>
        <v/>
      </c>
      <c r="E1277" s="5" t="s">
        <v>17</v>
      </c>
      <c r="F1277" s="5" t="s">
        <v>17</v>
      </c>
      <c r="G1277" s="6">
        <f>IF(I1277=1,0.9,0)</f>
        <v/>
      </c>
      <c r="H1277" s="6">
        <f>IF(I1277=1,1.0,0)</f>
        <v/>
      </c>
      <c r="I1277" s="8">
        <f>IF(OR(LOOKUP(A1277,characters!A:A,characters!B:B)=-1, LOOKUP(A1277,characters!A:A,characters!B:B)+0.1&gt;=B1277),1,0)</f>
        <v/>
      </c>
    </row>
    <row r="1278" spans="1:9">
      <c r="A1278" s="4" t="s">
        <v>75</v>
      </c>
      <c r="B1278" s="7">
        <v>3</v>
      </c>
      <c r="C1278" s="6">
        <f>IF(I1278=1,1.0,0)</f>
        <v/>
      </c>
      <c r="D1278" s="6">
        <f>IF(I1278=1,0.9,0)</f>
        <v/>
      </c>
      <c r="E1278" s="5" t="s">
        <v>17</v>
      </c>
      <c r="F1278" s="5" t="s">
        <v>17</v>
      </c>
      <c r="G1278" s="6">
        <f>IF(I1278=1,0.8,0)</f>
        <v/>
      </c>
      <c r="H1278" s="6">
        <f>IF(I1278=1,1.0,0)</f>
        <v/>
      </c>
      <c r="I1278" s="8">
        <f>IF(OR(LOOKUP(A1278,characters!A:A,characters!B:B)=-1, LOOKUP(A1278,characters!A:A,characters!B:B)+0.1&gt;=B1278),1,0)</f>
        <v/>
      </c>
    </row>
    <row r="1279" spans="1:9">
      <c r="A1279" s="4" t="s">
        <v>52</v>
      </c>
      <c r="B1279" s="7">
        <v>3</v>
      </c>
      <c r="C1279" s="6">
        <f>IF(I1279=1,1.0,0)</f>
        <v/>
      </c>
      <c r="D1279" s="6">
        <f>IF(I1279=1,0.79,0)</f>
        <v/>
      </c>
      <c r="E1279" s="6">
        <f>IF(I1279=1,0.89,0)</f>
        <v/>
      </c>
      <c r="F1279" s="6">
        <f>IF(I1279=1,0.89,0)</f>
        <v/>
      </c>
      <c r="G1279" s="6">
        <f>IF(I1279=1,0.9,0)</f>
        <v/>
      </c>
      <c r="H1279" s="5" t="s">
        <v>17</v>
      </c>
      <c r="I1279" s="8">
        <f>IF(OR(LOOKUP(A1279,characters!A:A,characters!B:B)=-1, LOOKUP(A1279,characters!A:A,characters!B:B)+0.1&gt;=B1279),1,0)</f>
        <v/>
      </c>
    </row>
    <row r="1281" spans="1:11">
      <c r="A1281" s="3" t="s">
        <v>30</v>
      </c>
      <c r="B1281" s="3" t="s">
        <v>9</v>
      </c>
      <c r="C1281" s="3" t="s">
        <v>11</v>
      </c>
      <c r="D1281" s="3" t="s">
        <v>66</v>
      </c>
      <c r="E1281" s="3" t="s">
        <v>64</v>
      </c>
      <c r="F1281" s="3" t="s">
        <v>45</v>
      </c>
      <c r="G1281" s="3" t="s">
        <v>65</v>
      </c>
      <c r="H1281" s="3" t="s">
        <v>47</v>
      </c>
      <c r="I1281" s="3" t="s">
        <v>63</v>
      </c>
      <c r="J1281" s="3" t="s">
        <v>46</v>
      </c>
    </row>
    <row r="1282" spans="1:11">
      <c r="A1282" s="4" t="s">
        <v>16</v>
      </c>
      <c r="B1282" s="5" t="s">
        <v>17</v>
      </c>
      <c r="C1282" s="6">
        <f>IF(SUM(K1283:K1297)=0,0,SUM(C1283:C1297)/SUM(K1283:K1297))</f>
        <v/>
      </c>
      <c r="D1282" s="6">
        <f>IF(SUM(K1283:K1297)=0,0,SUM(D1283:D1297)/SUM(K1283:K1297))</f>
        <v/>
      </c>
      <c r="E1282" s="6">
        <f>IF(SUM(K1283:K1297)=0,0,SUM(E1283:E1297)/SUM(K1283:K1297))</f>
        <v/>
      </c>
      <c r="F1282" s="6">
        <f>IF(SUM(K1283:K1297)=0,0,SUM(F1283:F1297)/SUM(K1283:K1297))</f>
        <v/>
      </c>
      <c r="G1282" s="6">
        <f>IF(SUM(K1283:K1297)=0,0,SUM(G1283:G1297)/SUM(K1283:K1297))</f>
        <v/>
      </c>
      <c r="H1282" s="6">
        <f>IF(SUM(K1283:K1297)=0,0,SUM(H1283:H1297)/SUM(K1283:K1297))</f>
        <v/>
      </c>
      <c r="I1282" s="6">
        <f>IF(SUM(K1283:K1297)=0,0,SUM(I1283:I1297)/SUM(K1283:K1297))</f>
        <v/>
      </c>
      <c r="J1282" s="6">
        <f>IF(SUM(K1283:K1297)=0,0,SUM(J1283:J1297)/SUM(K1283:K1297))</f>
        <v/>
      </c>
    </row>
    <row r="1283" spans="1:11">
      <c r="A1283" s="4" t="s">
        <v>22</v>
      </c>
      <c r="B1283" s="7">
        <v>2</v>
      </c>
      <c r="C1283" s="6">
        <f>IF(K1283=1,1.0,0)</f>
        <v/>
      </c>
      <c r="D1283" s="6">
        <f>IF(K1283=1,0.9,0)</f>
        <v/>
      </c>
      <c r="E1283" s="5" t="s">
        <v>17</v>
      </c>
      <c r="F1283" s="5" t="s">
        <v>17</v>
      </c>
      <c r="G1283" s="5" t="s">
        <v>17</v>
      </c>
      <c r="H1283" s="5" t="s">
        <v>17</v>
      </c>
      <c r="I1283" s="5" t="s">
        <v>17</v>
      </c>
      <c r="J1283" s="5" t="s">
        <v>17</v>
      </c>
      <c r="K1283" s="8">
        <f>IF(OR(LOOKUP(A1283,characters!A:A,characters!B:B)=-1, LOOKUP(A1283,characters!A:A,characters!B:B)+0.1&gt;=B1283),1,0)</f>
        <v/>
      </c>
    </row>
    <row r="1284" spans="1:11">
      <c r="A1284" s="4" t="s">
        <v>18</v>
      </c>
      <c r="B1284" s="7">
        <v>2</v>
      </c>
      <c r="C1284" s="6">
        <f>IF(K1284=1,0.9,0)</f>
        <v/>
      </c>
      <c r="D1284" s="6">
        <f>IF(K1284=1,1.0,0)</f>
        <v/>
      </c>
      <c r="E1284" s="5" t="s">
        <v>17</v>
      </c>
      <c r="F1284" s="5" t="s">
        <v>17</v>
      </c>
      <c r="G1284" s="5" t="s">
        <v>17</v>
      </c>
      <c r="H1284" s="5" t="s">
        <v>17</v>
      </c>
      <c r="I1284" s="5" t="s">
        <v>17</v>
      </c>
      <c r="J1284" s="5" t="s">
        <v>17</v>
      </c>
      <c r="K1284" s="8">
        <f>IF(OR(LOOKUP(A1284,characters!A:A,characters!B:B)=-1, LOOKUP(A1284,characters!A:A,characters!B:B)+0.1&gt;=B1284),1,0)</f>
        <v/>
      </c>
    </row>
    <row r="1285" spans="1:11">
      <c r="A1285" s="4" t="s">
        <v>76</v>
      </c>
      <c r="B1285" s="7">
        <v>3</v>
      </c>
      <c r="C1285" s="6">
        <f>IF(K1285=1,0.9,0)</f>
        <v/>
      </c>
      <c r="D1285" s="5" t="s">
        <v>17</v>
      </c>
      <c r="E1285" s="6">
        <f>IF(K1285=1,1.0,0)</f>
        <v/>
      </c>
      <c r="F1285" s="5" t="s">
        <v>17</v>
      </c>
      <c r="G1285" s="5" t="s">
        <v>17</v>
      </c>
      <c r="H1285" s="5" t="s">
        <v>17</v>
      </c>
      <c r="I1285" s="5" t="s">
        <v>17</v>
      </c>
      <c r="J1285" s="5" t="s">
        <v>17</v>
      </c>
      <c r="K1285" s="8">
        <f>IF(OR(LOOKUP(A1285,characters!A:A,characters!B:B)=-1, LOOKUP(A1285,characters!A:A,characters!B:B)+0.1&gt;=B1285),1,0)</f>
        <v/>
      </c>
    </row>
    <row r="1286" spans="1:11">
      <c r="A1286" s="4" t="s">
        <v>85</v>
      </c>
      <c r="B1286" s="7">
        <v>2</v>
      </c>
      <c r="C1286" s="6">
        <f>IF(K1286=1,0.99,0)</f>
        <v/>
      </c>
      <c r="D1286" s="5" t="s">
        <v>17</v>
      </c>
      <c r="E1286" s="6">
        <f>IF(K1286=1,1.0,0)</f>
        <v/>
      </c>
      <c r="F1286" s="5" t="s">
        <v>17</v>
      </c>
      <c r="G1286" s="5" t="s">
        <v>17</v>
      </c>
      <c r="H1286" s="5" t="s">
        <v>17</v>
      </c>
      <c r="I1286" s="5" t="s">
        <v>17</v>
      </c>
      <c r="J1286" s="5" t="s">
        <v>17</v>
      </c>
      <c r="K1286" s="8">
        <f>IF(OR(LOOKUP(A1286,characters!A:A,characters!B:B)=-1, LOOKUP(A1286,characters!A:A,characters!B:B)+0.1&gt;=B1286),1,0)</f>
        <v/>
      </c>
    </row>
    <row r="1287" spans="1:11">
      <c r="A1287" s="4" t="s">
        <v>86</v>
      </c>
      <c r="B1287" s="7">
        <v>2</v>
      </c>
      <c r="C1287" s="6">
        <f>IF(K1287=1,0.9,0)</f>
        <v/>
      </c>
      <c r="D1287" s="5" t="s">
        <v>17</v>
      </c>
      <c r="E1287" s="5" t="s">
        <v>17</v>
      </c>
      <c r="F1287" s="6">
        <f>IF(K1287=1,1.0,0)</f>
        <v/>
      </c>
      <c r="G1287" s="5" t="s">
        <v>17</v>
      </c>
      <c r="H1287" s="5" t="s">
        <v>17</v>
      </c>
      <c r="I1287" s="5" t="s">
        <v>17</v>
      </c>
      <c r="J1287" s="5" t="s">
        <v>17</v>
      </c>
      <c r="K1287" s="8">
        <f>IF(OR(LOOKUP(A1287,characters!A:A,characters!B:B)=-1, LOOKUP(A1287,characters!A:A,characters!B:B)+0.1&gt;=B1287),1,0)</f>
        <v/>
      </c>
    </row>
    <row r="1288" spans="1:11">
      <c r="A1288" s="4" t="s">
        <v>80</v>
      </c>
      <c r="B1288" s="7">
        <v>2</v>
      </c>
      <c r="C1288" s="6">
        <f>IF(K1288=1,0.9,0)</f>
        <v/>
      </c>
      <c r="D1288" s="5" t="s">
        <v>17</v>
      </c>
      <c r="E1288" s="5" t="s">
        <v>17</v>
      </c>
      <c r="F1288" s="5" t="s">
        <v>17</v>
      </c>
      <c r="G1288" s="6">
        <f>IF(K1288=1,1.0,0)</f>
        <v/>
      </c>
      <c r="H1288" s="5" t="s">
        <v>17</v>
      </c>
      <c r="I1288" s="5" t="s">
        <v>17</v>
      </c>
      <c r="J1288" s="5" t="s">
        <v>17</v>
      </c>
      <c r="K1288" s="8">
        <f>IF(OR(LOOKUP(A1288,characters!A:A,characters!B:B)=-1, LOOKUP(A1288,characters!A:A,characters!B:B)+0.1&gt;=B1288),1,0)</f>
        <v/>
      </c>
    </row>
    <row r="1289" spans="1:11">
      <c r="A1289" s="4" t="s">
        <v>87</v>
      </c>
      <c r="B1289" s="7">
        <v>2</v>
      </c>
      <c r="C1289" s="6">
        <f>IF(K1289=1,0.9,0)</f>
        <v/>
      </c>
      <c r="D1289" s="5" t="s">
        <v>17</v>
      </c>
      <c r="E1289" s="5" t="s">
        <v>17</v>
      </c>
      <c r="F1289" s="5" t="s">
        <v>17</v>
      </c>
      <c r="G1289" s="5" t="s">
        <v>17</v>
      </c>
      <c r="H1289" s="6">
        <f>IF(K1289=1,1.0,0)</f>
        <v/>
      </c>
      <c r="I1289" s="5" t="s">
        <v>17</v>
      </c>
      <c r="J1289" s="5" t="s">
        <v>17</v>
      </c>
      <c r="K1289" s="8">
        <f>IF(OR(LOOKUP(A1289,characters!A:A,characters!B:B)=-1, LOOKUP(A1289,characters!A:A,characters!B:B)+0.1&gt;=B1289),1,0)</f>
        <v/>
      </c>
    </row>
    <row r="1290" spans="1:11">
      <c r="A1290" s="4" t="s">
        <v>20</v>
      </c>
      <c r="B1290" s="7">
        <v>2</v>
      </c>
      <c r="C1290" s="6">
        <f>IF(K1290=1,0.9,0)</f>
        <v/>
      </c>
      <c r="D1290" s="6">
        <f>IF(K1290=1,1.0,0)</f>
        <v/>
      </c>
      <c r="E1290" s="5" t="s">
        <v>17</v>
      </c>
      <c r="F1290" s="5" t="s">
        <v>17</v>
      </c>
      <c r="G1290" s="5" t="s">
        <v>17</v>
      </c>
      <c r="H1290" s="5" t="s">
        <v>17</v>
      </c>
      <c r="I1290" s="5" t="s">
        <v>17</v>
      </c>
      <c r="J1290" s="5" t="s">
        <v>17</v>
      </c>
      <c r="K1290" s="8">
        <f>IF(OR(LOOKUP(A1290,characters!A:A,characters!B:B)=-1, LOOKUP(A1290,characters!A:A,characters!B:B)+0.1&gt;=B1290),1,0)</f>
        <v/>
      </c>
    </row>
    <row r="1291" spans="1:11">
      <c r="A1291" s="4" t="s">
        <v>53</v>
      </c>
      <c r="B1291" s="7">
        <v>3</v>
      </c>
      <c r="C1291" s="6">
        <f>IF(K1291=1,0.9,0)</f>
        <v/>
      </c>
      <c r="D1291" s="5" t="s">
        <v>17</v>
      </c>
      <c r="E1291" s="5" t="s">
        <v>17</v>
      </c>
      <c r="F1291" s="5" t="s">
        <v>17</v>
      </c>
      <c r="G1291" s="5" t="s">
        <v>17</v>
      </c>
      <c r="H1291" s="5" t="s">
        <v>17</v>
      </c>
      <c r="I1291" s="6">
        <f>IF(K1291=1,1.0,0)</f>
        <v/>
      </c>
      <c r="J1291" s="5" t="s">
        <v>17</v>
      </c>
      <c r="K1291" s="8">
        <f>IF(OR(LOOKUP(A1291,characters!A:A,characters!B:B)=-1, LOOKUP(A1291,characters!A:A,characters!B:B)+0.1&gt;=B1291),1,0)</f>
        <v/>
      </c>
    </row>
    <row r="1292" spans="1:11">
      <c r="A1292" s="4" t="s">
        <v>75</v>
      </c>
      <c r="B1292" s="7">
        <v>3</v>
      </c>
      <c r="C1292" s="6">
        <f>IF(K1292=1,0.9,0)</f>
        <v/>
      </c>
      <c r="D1292" s="5" t="s">
        <v>17</v>
      </c>
      <c r="E1292" s="6">
        <f>IF(K1292=1,1.0,0)</f>
        <v/>
      </c>
      <c r="F1292" s="5" t="s">
        <v>17</v>
      </c>
      <c r="G1292" s="5" t="s">
        <v>17</v>
      </c>
      <c r="H1292" s="5" t="s">
        <v>17</v>
      </c>
      <c r="I1292" s="5" t="s">
        <v>17</v>
      </c>
      <c r="J1292" s="5" t="s">
        <v>17</v>
      </c>
      <c r="K1292" s="8">
        <f>IF(OR(LOOKUP(A1292,characters!A:A,characters!B:B)=-1, LOOKUP(A1292,characters!A:A,characters!B:B)+0.1&gt;=B1292),1,0)</f>
        <v/>
      </c>
    </row>
    <row r="1293" spans="1:11">
      <c r="A1293" s="4" t="s">
        <v>21</v>
      </c>
      <c r="B1293" s="7">
        <v>1</v>
      </c>
      <c r="C1293" s="6">
        <f>IF(K1293=1,0.99,0)</f>
        <v/>
      </c>
      <c r="D1293" s="6">
        <f>IF(K1293=1,1.0,0)</f>
        <v/>
      </c>
      <c r="E1293" s="5" t="s">
        <v>17</v>
      </c>
      <c r="F1293" s="5" t="s">
        <v>17</v>
      </c>
      <c r="G1293" s="5" t="s">
        <v>17</v>
      </c>
      <c r="H1293" s="5" t="s">
        <v>17</v>
      </c>
      <c r="I1293" s="5" t="s">
        <v>17</v>
      </c>
      <c r="J1293" s="5" t="s">
        <v>17</v>
      </c>
      <c r="K1293" s="8">
        <f>IF(OR(LOOKUP(A1293,characters!A:A,characters!B:B)=-1, LOOKUP(A1293,characters!A:A,characters!B:B)+0.1&gt;=B1293),1,0)</f>
        <v/>
      </c>
    </row>
    <row r="1294" spans="1:11">
      <c r="A1294" s="4" t="s">
        <v>49</v>
      </c>
      <c r="B1294" s="7">
        <v>2</v>
      </c>
      <c r="C1294" s="6">
        <f>IF(K1294=1,0.99,0)</f>
        <v/>
      </c>
      <c r="D1294" s="5" t="s">
        <v>17</v>
      </c>
      <c r="E1294" s="5" t="s">
        <v>17</v>
      </c>
      <c r="F1294" s="5" t="s">
        <v>17</v>
      </c>
      <c r="G1294" s="5" t="s">
        <v>17</v>
      </c>
      <c r="H1294" s="5" t="s">
        <v>17</v>
      </c>
      <c r="I1294" s="6">
        <f>IF(K1294=1,1.0,0)</f>
        <v/>
      </c>
      <c r="J1294" s="5" t="s">
        <v>17</v>
      </c>
      <c r="K1294" s="8">
        <f>IF(OR(LOOKUP(A1294,characters!A:A,characters!B:B)=-1, LOOKUP(A1294,characters!A:A,characters!B:B)+0.1&gt;=B1294),1,0)</f>
        <v/>
      </c>
    </row>
    <row r="1295" spans="1:11">
      <c r="A1295" s="4" t="s">
        <v>52</v>
      </c>
      <c r="B1295" s="7">
        <v>3</v>
      </c>
      <c r="C1295" s="6">
        <f>IF(K1295=1,0.9,0)</f>
        <v/>
      </c>
      <c r="D1295" s="5" t="s">
        <v>17</v>
      </c>
      <c r="E1295" s="5" t="s">
        <v>17</v>
      </c>
      <c r="F1295" s="5" t="s">
        <v>17</v>
      </c>
      <c r="G1295" s="5" t="s">
        <v>17</v>
      </c>
      <c r="H1295" s="5" t="s">
        <v>17</v>
      </c>
      <c r="I1295" s="6">
        <f>IF(K1295=1,1.0,0)</f>
        <v/>
      </c>
      <c r="J1295" s="5" t="s">
        <v>17</v>
      </c>
      <c r="K1295" s="8">
        <f>IF(OR(LOOKUP(A1295,characters!A:A,characters!B:B)=-1, LOOKUP(A1295,characters!A:A,characters!B:B)+0.1&gt;=B1295),1,0)</f>
        <v/>
      </c>
    </row>
    <row r="1296" spans="1:11">
      <c r="A1296" s="4" t="s">
        <v>93</v>
      </c>
      <c r="B1296" s="7">
        <v>1</v>
      </c>
      <c r="C1296" s="6">
        <f>IF(K1296=1,1.0,0)</f>
        <v/>
      </c>
      <c r="D1296" s="5" t="s">
        <v>17</v>
      </c>
      <c r="E1296" s="5" t="s">
        <v>17</v>
      </c>
      <c r="F1296" s="5" t="s">
        <v>17</v>
      </c>
      <c r="G1296" s="5" t="s">
        <v>17</v>
      </c>
      <c r="H1296" s="5" t="s">
        <v>17</v>
      </c>
      <c r="I1296" s="5" t="s">
        <v>17</v>
      </c>
      <c r="J1296" s="6">
        <f>IF(K1296=1,0.9,0)</f>
        <v/>
      </c>
      <c r="K1296" s="8">
        <f>IF(OR(LOOKUP(A1296,characters!A:A,characters!B:B)=-1, LOOKUP(A1296,characters!A:A,characters!B:B)+0.1&gt;=B1296),1,0)</f>
        <v/>
      </c>
    </row>
    <row r="1297" spans="1:11">
      <c r="A1297" s="4" t="s">
        <v>84</v>
      </c>
      <c r="B1297" s="7">
        <v>2</v>
      </c>
      <c r="C1297" s="6">
        <f>IF(K1297=1,0.99,0)</f>
        <v/>
      </c>
      <c r="D1297" s="5" t="s">
        <v>17</v>
      </c>
      <c r="E1297" s="5" t="s">
        <v>17</v>
      </c>
      <c r="F1297" s="5" t="s">
        <v>17</v>
      </c>
      <c r="G1297" s="5" t="s">
        <v>17</v>
      </c>
      <c r="H1297" s="6">
        <f>IF(K1297=1,1.0,0)</f>
        <v/>
      </c>
      <c r="I1297" s="5" t="s">
        <v>17</v>
      </c>
      <c r="J1297" s="5" t="s">
        <v>17</v>
      </c>
      <c r="K1297" s="8">
        <f>IF(OR(LOOKUP(A1297,characters!A:A,characters!B:B)=-1, LOOKUP(A1297,characters!A:A,characters!B:B)+0.1&gt;=B1297),1,0)</f>
        <v/>
      </c>
    </row>
    <row r="1299" spans="1:11">
      <c r="A1299" s="3" t="s">
        <v>31</v>
      </c>
      <c r="B1299" s="3" t="s">
        <v>9</v>
      </c>
      <c r="C1299" s="3" t="s">
        <v>11</v>
      </c>
      <c r="D1299" s="3" t="s">
        <v>15</v>
      </c>
    </row>
    <row r="1300" spans="1:11">
      <c r="A1300" s="4" t="s">
        <v>16</v>
      </c>
      <c r="B1300" s="5" t="s">
        <v>17</v>
      </c>
      <c r="C1300" s="6">
        <f>IF(SUM(E1301:E1315)=0,0,SUM(C1301:C1315)/SUM(E1301:E1315))</f>
        <v/>
      </c>
      <c r="D1300" s="6">
        <f>IF(SUM(E1301:E1315)=0,0,SUM(D1301:D1315)/SUM(E1301:E1315))</f>
        <v/>
      </c>
    </row>
    <row r="1301" spans="1:11">
      <c r="A1301" s="4" t="s">
        <v>22</v>
      </c>
      <c r="B1301" s="7">
        <v>2</v>
      </c>
      <c r="C1301" s="6">
        <f>IF(E1301=1,1.0,0)</f>
        <v/>
      </c>
      <c r="D1301" s="5" t="s">
        <v>17</v>
      </c>
      <c r="E1301" s="8">
        <f>IF(OR(LOOKUP(A1301,characters!A:A,characters!B:B)=-1, LOOKUP(A1301,characters!A:A,characters!B:B)+0.1&gt;=B1301),1,0)</f>
        <v/>
      </c>
    </row>
    <row r="1302" spans="1:11">
      <c r="A1302" s="4" t="s">
        <v>18</v>
      </c>
      <c r="B1302" s="7">
        <v>2</v>
      </c>
      <c r="C1302" s="6">
        <f>IF(E1302=1,1.0,0)</f>
        <v/>
      </c>
      <c r="D1302" s="5" t="s">
        <v>17</v>
      </c>
      <c r="E1302" s="8">
        <f>IF(OR(LOOKUP(A1302,characters!A:A,characters!B:B)=-1, LOOKUP(A1302,characters!A:A,characters!B:B)+0.1&gt;=B1302),1,0)</f>
        <v/>
      </c>
    </row>
    <row r="1303" spans="1:11">
      <c r="A1303" s="4" t="s">
        <v>76</v>
      </c>
      <c r="B1303" s="7">
        <v>3</v>
      </c>
      <c r="C1303" s="6">
        <f>IF(E1303=1,1.0,0)</f>
        <v/>
      </c>
      <c r="D1303" s="5" t="s">
        <v>17</v>
      </c>
      <c r="E1303" s="8">
        <f>IF(OR(LOOKUP(A1303,characters!A:A,characters!B:B)=-1, LOOKUP(A1303,characters!A:A,characters!B:B)+0.1&gt;=B1303),1,0)</f>
        <v/>
      </c>
    </row>
    <row r="1304" spans="1:11">
      <c r="A1304" s="4" t="s">
        <v>85</v>
      </c>
      <c r="B1304" s="7">
        <v>2</v>
      </c>
      <c r="C1304" s="6">
        <f>IF(E1304=1,1.0,0)</f>
        <v/>
      </c>
      <c r="D1304" s="5" t="s">
        <v>17</v>
      </c>
      <c r="E1304" s="8">
        <f>IF(OR(LOOKUP(A1304,characters!A:A,characters!B:B)=-1, LOOKUP(A1304,characters!A:A,characters!B:B)+0.1&gt;=B1304),1,0)</f>
        <v/>
      </c>
    </row>
    <row r="1305" spans="1:11">
      <c r="A1305" s="4" t="s">
        <v>86</v>
      </c>
      <c r="B1305" s="7">
        <v>2</v>
      </c>
      <c r="C1305" s="6">
        <f>IF(E1305=1,1.0,0)</f>
        <v/>
      </c>
      <c r="D1305" s="5" t="s">
        <v>17</v>
      </c>
      <c r="E1305" s="8">
        <f>IF(OR(LOOKUP(A1305,characters!A:A,characters!B:B)=-1, LOOKUP(A1305,characters!A:A,characters!B:B)+0.1&gt;=B1305),1,0)</f>
        <v/>
      </c>
    </row>
    <row r="1306" spans="1:11">
      <c r="A1306" s="4" t="s">
        <v>80</v>
      </c>
      <c r="B1306" s="7">
        <v>2</v>
      </c>
      <c r="C1306" s="6">
        <f>IF(E1306=1,1.0,0)</f>
        <v/>
      </c>
      <c r="D1306" s="5" t="s">
        <v>17</v>
      </c>
      <c r="E1306" s="8">
        <f>IF(OR(LOOKUP(A1306,characters!A:A,characters!B:B)=-1, LOOKUP(A1306,characters!A:A,characters!B:B)+0.1&gt;=B1306),1,0)</f>
        <v/>
      </c>
    </row>
    <row r="1307" spans="1:11">
      <c r="A1307" s="4" t="s">
        <v>87</v>
      </c>
      <c r="B1307" s="7">
        <v>2</v>
      </c>
      <c r="C1307" s="6">
        <f>IF(E1307=1,1.0,0)</f>
        <v/>
      </c>
      <c r="D1307" s="5" t="s">
        <v>17</v>
      </c>
      <c r="E1307" s="8">
        <f>IF(OR(LOOKUP(A1307,characters!A:A,characters!B:B)=-1, LOOKUP(A1307,characters!A:A,characters!B:B)+0.1&gt;=B1307),1,0)</f>
        <v/>
      </c>
    </row>
    <row r="1308" spans="1:11">
      <c r="A1308" s="4" t="s">
        <v>20</v>
      </c>
      <c r="B1308" s="7">
        <v>2</v>
      </c>
      <c r="C1308" s="6">
        <f>IF(E1308=1,1.0,0)</f>
        <v/>
      </c>
      <c r="D1308" s="5" t="s">
        <v>17</v>
      </c>
      <c r="E1308" s="8">
        <f>IF(OR(LOOKUP(A1308,characters!A:A,characters!B:B)=-1, LOOKUP(A1308,characters!A:A,characters!B:B)+0.1&gt;=B1308),1,0)</f>
        <v/>
      </c>
    </row>
    <row r="1309" spans="1:11">
      <c r="A1309" s="4" t="s">
        <v>53</v>
      </c>
      <c r="B1309" s="7">
        <v>3</v>
      </c>
      <c r="C1309" s="6">
        <f>IF(E1309=1,0.99,0)</f>
        <v/>
      </c>
      <c r="D1309" s="6">
        <f>IF(E1309=1,1.0,0)</f>
        <v/>
      </c>
      <c r="E1309" s="8">
        <f>IF(OR(LOOKUP(A1309,characters!A:A,characters!B:B)=-1, LOOKUP(A1309,characters!A:A,characters!B:B)+0.1&gt;=B1309),1,0)</f>
        <v/>
      </c>
    </row>
    <row r="1310" spans="1:11">
      <c r="A1310" s="4" t="s">
        <v>75</v>
      </c>
      <c r="B1310" s="7">
        <v>3</v>
      </c>
      <c r="C1310" s="6">
        <f>IF(E1310=1,1.0,0)</f>
        <v/>
      </c>
      <c r="D1310" s="5" t="s">
        <v>17</v>
      </c>
      <c r="E1310" s="8">
        <f>IF(OR(LOOKUP(A1310,characters!A:A,characters!B:B)=-1, LOOKUP(A1310,characters!A:A,characters!B:B)+0.1&gt;=B1310),1,0)</f>
        <v/>
      </c>
    </row>
    <row r="1311" spans="1:11">
      <c r="A1311" s="4" t="s">
        <v>21</v>
      </c>
      <c r="B1311" s="7">
        <v>1</v>
      </c>
      <c r="C1311" s="6">
        <f>IF(E1311=1,1.0,0)</f>
        <v/>
      </c>
      <c r="D1311" s="5" t="s">
        <v>17</v>
      </c>
      <c r="E1311" s="8">
        <f>IF(OR(LOOKUP(A1311,characters!A:A,characters!B:B)=-1, LOOKUP(A1311,characters!A:A,characters!B:B)+0.1&gt;=B1311),1,0)</f>
        <v/>
      </c>
    </row>
    <row r="1312" spans="1:11">
      <c r="A1312" s="4" t="s">
        <v>49</v>
      </c>
      <c r="B1312" s="7">
        <v>2</v>
      </c>
      <c r="C1312" s="6">
        <f>IF(E1312=1,1.0,0)</f>
        <v/>
      </c>
      <c r="D1312" s="6">
        <f>IF(E1312=1,1.0,0)</f>
        <v/>
      </c>
      <c r="E1312" s="8">
        <f>IF(OR(LOOKUP(A1312,characters!A:A,characters!B:B)=-1, LOOKUP(A1312,characters!A:A,characters!B:B)+0.1&gt;=B1312),1,0)</f>
        <v/>
      </c>
    </row>
    <row r="1313" spans="1:13">
      <c r="A1313" s="4" t="s">
        <v>52</v>
      </c>
      <c r="B1313" s="7">
        <v>3</v>
      </c>
      <c r="C1313" s="6">
        <f>IF(E1313=1,1.0,0)</f>
        <v/>
      </c>
      <c r="D1313" s="5" t="s">
        <v>17</v>
      </c>
      <c r="E1313" s="8">
        <f>IF(OR(LOOKUP(A1313,characters!A:A,characters!B:B)=-1, LOOKUP(A1313,characters!A:A,characters!B:B)+0.1&gt;=B1313),1,0)</f>
        <v/>
      </c>
    </row>
    <row r="1314" spans="1:13">
      <c r="A1314" s="4" t="s">
        <v>93</v>
      </c>
      <c r="B1314" s="7">
        <v>1</v>
      </c>
      <c r="C1314" s="5" t="s">
        <v>17</v>
      </c>
      <c r="D1314" s="6">
        <f>IF(E1314=1,1.0,0)</f>
        <v/>
      </c>
      <c r="E1314" s="8">
        <f>IF(OR(LOOKUP(A1314,characters!A:A,characters!B:B)=-1, LOOKUP(A1314,characters!A:A,characters!B:B)+0.1&gt;=B1314),1,0)</f>
        <v/>
      </c>
    </row>
    <row r="1315" spans="1:13">
      <c r="A1315" s="4" t="s">
        <v>84</v>
      </c>
      <c r="B1315" s="7">
        <v>2</v>
      </c>
      <c r="C1315" s="6">
        <f>IF(E1315=1,1.0,0)</f>
        <v/>
      </c>
      <c r="D1315" s="5" t="s">
        <v>17</v>
      </c>
      <c r="E1315" s="8">
        <f>IF(OR(LOOKUP(A1315,characters!A:A,characters!B:B)=-1, LOOKUP(A1315,characters!A:A,characters!B:B)+0.1&gt;=B1315),1,0)</f>
        <v/>
      </c>
    </row>
    <row r="1322" spans="1:13">
      <c r="A1322" s="3" t="s">
        <v>131</v>
      </c>
    </row>
    <row r="1323" spans="1:13">
      <c r="A1323" s="3" t="s">
        <v>8</v>
      </c>
      <c r="B1323" s="3" t="s">
        <v>9</v>
      </c>
      <c r="C1323" s="3" t="s">
        <v>10</v>
      </c>
      <c r="D1323" s="3" t="s">
        <v>28</v>
      </c>
      <c r="E1323" s="3" t="s">
        <v>27</v>
      </c>
      <c r="F1323" s="3" t="s">
        <v>26</v>
      </c>
      <c r="G1323" s="3" t="s">
        <v>34</v>
      </c>
      <c r="H1323" s="3" t="s">
        <v>35</v>
      </c>
      <c r="I1323" s="3" t="s">
        <v>14</v>
      </c>
      <c r="J1323" s="3" t="s">
        <v>15</v>
      </c>
      <c r="K1323" s="3" t="s">
        <v>13</v>
      </c>
      <c r="L1323" s="3" t="s">
        <v>11</v>
      </c>
    </row>
    <row r="1324" spans="1:13">
      <c r="A1324" s="4" t="s">
        <v>16</v>
      </c>
      <c r="B1324" s="5" t="s">
        <v>17</v>
      </c>
      <c r="C1324" s="6">
        <f>IF(SUM(M1325:M1341)=0,0,SUM(C1325:C1341)/SUM(M1325:M1341))</f>
        <v/>
      </c>
      <c r="D1324" s="6">
        <f>IF(SUM(M1325:M1341)=0,0,SUM(D1325:D1341)/SUM(M1325:M1341))</f>
        <v/>
      </c>
      <c r="E1324" s="6">
        <f>IF(SUM(M1325:M1341)=0,0,SUM(E1325:E1341)/SUM(M1325:M1341))</f>
        <v/>
      </c>
      <c r="F1324" s="6">
        <f>IF(SUM(M1325:M1341)=0,0,SUM(F1325:F1341)/SUM(M1325:M1341))</f>
        <v/>
      </c>
      <c r="G1324" s="6">
        <f>IF(SUM(M1325:M1341)=0,0,SUM(G1325:G1341)/SUM(M1325:M1341))</f>
        <v/>
      </c>
      <c r="H1324" s="6">
        <f>IF(SUM(M1325:M1341)=0,0,SUM(H1325:H1341)/SUM(M1325:M1341))</f>
        <v/>
      </c>
      <c r="I1324" s="6">
        <f>IF(SUM(M1325:M1341)=0,0,SUM(I1325:I1341)/SUM(M1325:M1341))</f>
        <v/>
      </c>
      <c r="J1324" s="6">
        <f>IF(SUM(M1325:M1341)=0,0,SUM(J1325:J1341)/SUM(M1325:M1341))</f>
        <v/>
      </c>
      <c r="K1324" s="6">
        <f>IF(SUM(M1325:M1341)=0,0,SUM(K1325:K1341)/SUM(M1325:M1341))</f>
        <v/>
      </c>
      <c r="L1324" s="6">
        <f>IF(SUM(M1325:M1341)=0,0,SUM(L1325:L1341)/SUM(M1325:M1341))</f>
        <v/>
      </c>
    </row>
    <row r="1325" spans="1:13">
      <c r="A1325" s="4" t="s">
        <v>69</v>
      </c>
      <c r="B1325" s="7">
        <v>0</v>
      </c>
      <c r="C1325" s="6">
        <f>IF(M1325=1,1.0,0)</f>
        <v/>
      </c>
      <c r="D1325" s="6">
        <f>IF(M1325=1,0.8,0)</f>
        <v/>
      </c>
      <c r="E1325" s="5" t="s">
        <v>17</v>
      </c>
      <c r="F1325" s="5" t="s">
        <v>17</v>
      </c>
      <c r="G1325" s="6">
        <f>IF(M1325=1,0.9,0)</f>
        <v/>
      </c>
      <c r="H1325" s="6">
        <f>IF(M1325=1,0.9,0)</f>
        <v/>
      </c>
      <c r="I1325" s="5" t="s">
        <v>17</v>
      </c>
      <c r="J1325" s="5" t="s">
        <v>17</v>
      </c>
      <c r="K1325" s="5" t="s">
        <v>17</v>
      </c>
      <c r="L1325" s="5" t="s">
        <v>17</v>
      </c>
      <c r="M1325" s="8">
        <f>IF(OR(LOOKUP(A1325,characters!A:A,characters!B:B)=-1, LOOKUP(A1325,characters!A:A,characters!B:B)+0.1&gt;=B1325),1,0)</f>
        <v/>
      </c>
    </row>
    <row r="1326" spans="1:13">
      <c r="A1326" s="4" t="s">
        <v>37</v>
      </c>
      <c r="B1326" s="7">
        <v>0</v>
      </c>
      <c r="C1326" s="6">
        <f>IF(M1326=1,1.0,0)</f>
        <v/>
      </c>
      <c r="D1326" s="6">
        <f>IF(M1326=1,0.7,0)</f>
        <v/>
      </c>
      <c r="E1326" s="5" t="s">
        <v>17</v>
      </c>
      <c r="F1326" s="5" t="s">
        <v>17</v>
      </c>
      <c r="G1326" s="6">
        <f>IF(M1326=1,0.8,0)</f>
        <v/>
      </c>
      <c r="H1326" s="6">
        <f>IF(M1326=1,0.8,0)</f>
        <v/>
      </c>
      <c r="I1326" s="5" t="s">
        <v>17</v>
      </c>
      <c r="J1326" s="5" t="s">
        <v>17</v>
      </c>
      <c r="K1326" s="6">
        <f>IF(M1326=1,0.9,0)</f>
        <v/>
      </c>
      <c r="L1326" s="5" t="s">
        <v>17</v>
      </c>
      <c r="M1326" s="8">
        <f>IF(OR(LOOKUP(A1326,characters!A:A,characters!B:B)=-1, LOOKUP(A1326,characters!A:A,characters!B:B)+0.1&gt;=B1326),1,0)</f>
        <v/>
      </c>
    </row>
    <row r="1327" spans="1:13">
      <c r="A1327" s="4" t="s">
        <v>39</v>
      </c>
      <c r="B1327" s="7">
        <v>0</v>
      </c>
      <c r="C1327" s="6">
        <f>IF(M1327=1,1.0,0)</f>
        <v/>
      </c>
      <c r="D1327" s="6">
        <f>IF(M1327=1,0.8,0)</f>
        <v/>
      </c>
      <c r="E1327" s="5" t="s">
        <v>17</v>
      </c>
      <c r="F1327" s="5" t="s">
        <v>17</v>
      </c>
      <c r="G1327" s="6">
        <f>IF(M1327=1,0.9,0)</f>
        <v/>
      </c>
      <c r="H1327" s="6">
        <f>IF(M1327=1,0.9,0)</f>
        <v/>
      </c>
      <c r="I1327" s="5" t="s">
        <v>17</v>
      </c>
      <c r="J1327" s="6">
        <f>IF(M1327=1,0.8,0)</f>
        <v/>
      </c>
      <c r="K1327" s="5" t="s">
        <v>17</v>
      </c>
      <c r="L1327" s="5" t="s">
        <v>17</v>
      </c>
      <c r="M1327" s="8">
        <f>IF(OR(LOOKUP(A1327,characters!A:A,characters!B:B)=-1, LOOKUP(A1327,characters!A:A,characters!B:B)+0.1&gt;=B1327),1,0)</f>
        <v/>
      </c>
    </row>
    <row r="1328" spans="1:13">
      <c r="A1328" s="4" t="s">
        <v>96</v>
      </c>
      <c r="B1328" s="7">
        <v>0</v>
      </c>
      <c r="C1328" s="6">
        <f>IF(M1328=1,1.0,0)</f>
        <v/>
      </c>
      <c r="D1328" s="6">
        <f>IF(M1328=1,0.8,0)</f>
        <v/>
      </c>
      <c r="E1328" s="6">
        <f>IF(M1328=1,0.9,0)</f>
        <v/>
      </c>
      <c r="F1328" s="6">
        <f>IF(M1328=1,0.8,0)</f>
        <v/>
      </c>
      <c r="G1328" s="5" t="s">
        <v>17</v>
      </c>
      <c r="H1328" s="5" t="s">
        <v>17</v>
      </c>
      <c r="I1328" s="5" t="s">
        <v>17</v>
      </c>
      <c r="J1328" s="5" t="s">
        <v>17</v>
      </c>
      <c r="K1328" s="5" t="s">
        <v>17</v>
      </c>
      <c r="L1328" s="5" t="s">
        <v>17</v>
      </c>
      <c r="M1328" s="8">
        <f>IF(OR(LOOKUP(A1328,characters!A:A,characters!B:B)=-1, LOOKUP(A1328,characters!A:A,characters!B:B)+0.1&gt;=B1328),1,0)</f>
        <v/>
      </c>
    </row>
    <row r="1329" spans="1:13">
      <c r="A1329" s="4" t="s">
        <v>70</v>
      </c>
      <c r="B1329" s="7">
        <v>0</v>
      </c>
      <c r="C1329" s="6">
        <f>IF(M1329=1,0.9,0)</f>
        <v/>
      </c>
      <c r="D1329" s="5" t="s">
        <v>17</v>
      </c>
      <c r="E1329" s="5" t="s">
        <v>17</v>
      </c>
      <c r="F1329" s="5" t="s">
        <v>17</v>
      </c>
      <c r="G1329" s="5" t="s">
        <v>17</v>
      </c>
      <c r="H1329" s="5" t="s">
        <v>17</v>
      </c>
      <c r="I1329" s="6">
        <f>IF(M1329=1,1.0,0)</f>
        <v/>
      </c>
      <c r="J1329" s="5" t="s">
        <v>17</v>
      </c>
      <c r="K1329" s="5" t="s">
        <v>17</v>
      </c>
      <c r="L1329" s="6">
        <f>IF(M1329=1,0.8,0)</f>
        <v/>
      </c>
      <c r="M1329" s="8">
        <f>IF(OR(LOOKUP(A1329,characters!A:A,characters!B:B)=-1, LOOKUP(A1329,characters!A:A,characters!B:B)+0.1&gt;=B1329),1,0)</f>
        <v/>
      </c>
    </row>
    <row r="1330" spans="1:13">
      <c r="A1330" s="4" t="s">
        <v>112</v>
      </c>
      <c r="B1330" s="7">
        <v>0</v>
      </c>
      <c r="C1330" s="6">
        <f>IF(M1330=1,1.0,0)</f>
        <v/>
      </c>
      <c r="D1330" s="6">
        <f>IF(M1330=1,0.8,0)</f>
        <v/>
      </c>
      <c r="E1330" s="6">
        <f>IF(M1330=1,0.8,0)</f>
        <v/>
      </c>
      <c r="F1330" s="6">
        <f>IF(M1330=1,0.9,0)</f>
        <v/>
      </c>
      <c r="G1330" s="5" t="s">
        <v>17</v>
      </c>
      <c r="H1330" s="5" t="s">
        <v>17</v>
      </c>
      <c r="I1330" s="6">
        <f>IF(M1330=1,1.0,0)</f>
        <v/>
      </c>
      <c r="J1330" s="5" t="s">
        <v>17</v>
      </c>
      <c r="K1330" s="5" t="s">
        <v>17</v>
      </c>
      <c r="L1330" s="5" t="s">
        <v>17</v>
      </c>
      <c r="M1330" s="8">
        <f>IF(OR(LOOKUP(A1330,characters!A:A,characters!B:B)=-1, LOOKUP(A1330,characters!A:A,characters!B:B)+0.1&gt;=B1330),1,0)</f>
        <v/>
      </c>
    </row>
    <row r="1331" spans="1:13">
      <c r="A1331" s="4" t="s">
        <v>40</v>
      </c>
      <c r="B1331" s="7">
        <v>0</v>
      </c>
      <c r="C1331" s="6">
        <f>IF(M1331=1,1.0,0)</f>
        <v/>
      </c>
      <c r="D1331" s="6">
        <f>IF(M1331=1,0.8,0)</f>
        <v/>
      </c>
      <c r="E1331" s="5" t="s">
        <v>17</v>
      </c>
      <c r="F1331" s="5" t="s">
        <v>17</v>
      </c>
      <c r="G1331" s="6">
        <f>IF(M1331=1,0.9,0)</f>
        <v/>
      </c>
      <c r="H1331" s="6">
        <f>IF(M1331=1,0.9,0)</f>
        <v/>
      </c>
      <c r="I1331" s="6">
        <f>IF(M1331=1,1.0,0)</f>
        <v/>
      </c>
      <c r="J1331" s="5" t="s">
        <v>17</v>
      </c>
      <c r="K1331" s="5" t="s">
        <v>17</v>
      </c>
      <c r="L1331" s="5" t="s">
        <v>17</v>
      </c>
      <c r="M1331" s="8">
        <f>IF(OR(LOOKUP(A1331,characters!A:A,characters!B:B)=-1, LOOKUP(A1331,characters!A:A,characters!B:B)+0.1&gt;=B1331),1,0)</f>
        <v/>
      </c>
    </row>
    <row r="1332" spans="1:13">
      <c r="A1332" s="4" t="s">
        <v>120</v>
      </c>
      <c r="B1332" s="7">
        <v>0</v>
      </c>
      <c r="C1332" s="6">
        <f>IF(M1332=1,0.99,0)</f>
        <v/>
      </c>
      <c r="D1332" s="5" t="s">
        <v>17</v>
      </c>
      <c r="E1332" s="6">
        <f>IF(M1332=1,0.89,0)</f>
        <v/>
      </c>
      <c r="F1332" s="6">
        <f>IF(M1332=1,0.89,0)</f>
        <v/>
      </c>
      <c r="G1332" s="5" t="s">
        <v>17</v>
      </c>
      <c r="H1332" s="5" t="s">
        <v>17</v>
      </c>
      <c r="I1332" s="5" t="s">
        <v>17</v>
      </c>
      <c r="J1332" s="5" t="s">
        <v>17</v>
      </c>
      <c r="K1332" s="5" t="s">
        <v>17</v>
      </c>
      <c r="L1332" s="6">
        <f>IF(M1332=1,1.0,0)</f>
        <v/>
      </c>
      <c r="M1332" s="8">
        <f>IF(OR(LOOKUP(A1332,characters!A:A,characters!B:B)=-1, LOOKUP(A1332,characters!A:A,characters!B:B)+0.1&gt;=B1332),1,0)</f>
        <v/>
      </c>
    </row>
    <row r="1333" spans="1:13">
      <c r="A1333" s="4" t="s">
        <v>118</v>
      </c>
      <c r="B1333" s="7">
        <v>0</v>
      </c>
      <c r="C1333" s="6">
        <f>IF(M1333=1,0.9,0)</f>
        <v/>
      </c>
      <c r="D1333" s="6">
        <f>IF(M1333=1,0.7,0)</f>
        <v/>
      </c>
      <c r="E1333" s="6">
        <f>IF(M1333=1,0.8,0)</f>
        <v/>
      </c>
      <c r="F1333" s="6">
        <f>IF(M1333=1,0.8,0)</f>
        <v/>
      </c>
      <c r="G1333" s="5" t="s">
        <v>17</v>
      </c>
      <c r="H1333" s="5" t="s">
        <v>17</v>
      </c>
      <c r="I1333" s="5" t="s">
        <v>17</v>
      </c>
      <c r="J1333" s="6">
        <f>IF(M1333=1,1.0,0)</f>
        <v/>
      </c>
      <c r="K1333" s="5" t="s">
        <v>17</v>
      </c>
      <c r="L1333" s="5" t="s">
        <v>17</v>
      </c>
      <c r="M1333" s="8">
        <f>IF(OR(LOOKUP(A1333,characters!A:A,characters!B:B)=-1, LOOKUP(A1333,characters!A:A,characters!B:B)+0.1&gt;=B1333),1,0)</f>
        <v/>
      </c>
    </row>
    <row r="1334" spans="1:13">
      <c r="A1334" s="4" t="s">
        <v>42</v>
      </c>
      <c r="B1334" s="7">
        <v>0</v>
      </c>
      <c r="C1334" s="6">
        <f>IF(M1334=1,1.0,0)</f>
        <v/>
      </c>
      <c r="D1334" s="6">
        <f>IF(M1334=1,0.8,0)</f>
        <v/>
      </c>
      <c r="E1334" s="5" t="s">
        <v>17</v>
      </c>
      <c r="F1334" s="5" t="s">
        <v>17</v>
      </c>
      <c r="G1334" s="6">
        <f>IF(M1334=1,0.8,0)</f>
        <v/>
      </c>
      <c r="H1334" s="6">
        <f>IF(M1334=1,0.8,0)</f>
        <v/>
      </c>
      <c r="I1334" s="5" t="s">
        <v>17</v>
      </c>
      <c r="J1334" s="5" t="s">
        <v>17</v>
      </c>
      <c r="K1334" s="6">
        <f>IF(M1334=1,0.9,0)</f>
        <v/>
      </c>
      <c r="L1334" s="5" t="s">
        <v>17</v>
      </c>
      <c r="M1334" s="8">
        <f>IF(OR(LOOKUP(A1334,characters!A:A,characters!B:B)=-1, LOOKUP(A1334,characters!A:A,characters!B:B)+0.1&gt;=B1334),1,0)</f>
        <v/>
      </c>
    </row>
    <row r="1335" spans="1:13">
      <c r="A1335" s="4" t="s">
        <v>71</v>
      </c>
      <c r="B1335" s="7">
        <v>0</v>
      </c>
      <c r="C1335" s="6">
        <f>IF(M1335=1,1.0,0)</f>
        <v/>
      </c>
      <c r="D1335" s="6">
        <f>IF(M1335=1,0.8,0)</f>
        <v/>
      </c>
      <c r="E1335" s="6">
        <f>IF(M1335=1,0.7,0)</f>
        <v/>
      </c>
      <c r="F1335" s="6">
        <f>IF(M1335=1,0.7,0)</f>
        <v/>
      </c>
      <c r="G1335" s="5" t="s">
        <v>17</v>
      </c>
      <c r="H1335" s="5" t="s">
        <v>17</v>
      </c>
      <c r="I1335" s="5" t="s">
        <v>17</v>
      </c>
      <c r="J1335" s="5" t="s">
        <v>17</v>
      </c>
      <c r="K1335" s="6">
        <f>IF(M1335=1,0.9,0)</f>
        <v/>
      </c>
      <c r="L1335" s="5" t="s">
        <v>17</v>
      </c>
      <c r="M1335" s="8">
        <f>IF(OR(LOOKUP(A1335,characters!A:A,characters!B:B)=-1, LOOKUP(A1335,characters!A:A,characters!B:B)+0.1&gt;=B1335),1,0)</f>
        <v/>
      </c>
    </row>
    <row r="1336" spans="1:13">
      <c r="A1336" s="4" t="s">
        <v>72</v>
      </c>
      <c r="B1336" s="7">
        <v>0</v>
      </c>
      <c r="C1336" s="6">
        <f>IF(M1336=1,1.0,0)</f>
        <v/>
      </c>
      <c r="D1336" s="6">
        <f>IF(M1336=1,0.8,0)</f>
        <v/>
      </c>
      <c r="E1336" s="5" t="s">
        <v>17</v>
      </c>
      <c r="F1336" s="5" t="s">
        <v>17</v>
      </c>
      <c r="G1336" s="6">
        <f>IF(M1336=1,0.9,0)</f>
        <v/>
      </c>
      <c r="H1336" s="6">
        <f>IF(M1336=1,0.9,0)</f>
        <v/>
      </c>
      <c r="I1336" s="5" t="s">
        <v>17</v>
      </c>
      <c r="J1336" s="5" t="s">
        <v>17</v>
      </c>
      <c r="K1336" s="5" t="s">
        <v>17</v>
      </c>
      <c r="L1336" s="6">
        <f>IF(M1336=1,1.0,0)</f>
        <v/>
      </c>
      <c r="M1336" s="8">
        <f>IF(OR(LOOKUP(A1336,characters!A:A,characters!B:B)=-1, LOOKUP(A1336,characters!A:A,characters!B:B)+0.1&gt;=B1336),1,0)</f>
        <v/>
      </c>
    </row>
    <row r="1337" spans="1:13">
      <c r="A1337" s="4" t="s">
        <v>73</v>
      </c>
      <c r="B1337" s="7">
        <v>0</v>
      </c>
      <c r="C1337" s="6">
        <f>IF(M1337=1,0.8,0)</f>
        <v/>
      </c>
      <c r="D1337" s="5" t="s">
        <v>17</v>
      </c>
      <c r="E1337" s="6">
        <f>IF(M1337=1,0.7,0)</f>
        <v/>
      </c>
      <c r="F1337" s="6">
        <f>IF(M1337=1,0.7,0)</f>
        <v/>
      </c>
      <c r="G1337" s="5" t="s">
        <v>17</v>
      </c>
      <c r="H1337" s="5" t="s">
        <v>17</v>
      </c>
      <c r="I1337" s="6">
        <f>IF(M1337=1,1.0,0)</f>
        <v/>
      </c>
      <c r="J1337" s="6">
        <f>IF(M1337=1,0.9,0)</f>
        <v/>
      </c>
      <c r="K1337" s="5" t="s">
        <v>17</v>
      </c>
      <c r="L1337" s="5" t="s">
        <v>17</v>
      </c>
      <c r="M1337" s="8">
        <f>IF(OR(LOOKUP(A1337,characters!A:A,characters!B:B)=-1, LOOKUP(A1337,characters!A:A,characters!B:B)+0.1&gt;=B1337),1,0)</f>
        <v/>
      </c>
    </row>
    <row r="1338" spans="1:13">
      <c r="A1338" s="4" t="s">
        <v>41</v>
      </c>
      <c r="B1338" s="7">
        <v>1</v>
      </c>
      <c r="C1338" s="6">
        <f>IF(M1338=1,1.0,0)</f>
        <v/>
      </c>
      <c r="D1338" s="6">
        <f>IF(M1338=1,0.8,0)</f>
        <v/>
      </c>
      <c r="E1338" s="5" t="s">
        <v>17</v>
      </c>
      <c r="F1338" s="5" t="s">
        <v>17</v>
      </c>
      <c r="G1338" s="6">
        <f>IF(M1338=1,0.9,0)</f>
        <v/>
      </c>
      <c r="H1338" s="6">
        <f>IF(M1338=1,0.9,0)</f>
        <v/>
      </c>
      <c r="I1338" s="6">
        <f>IF(M1338=1,1.0,0)</f>
        <v/>
      </c>
      <c r="J1338" s="6">
        <f>IF(M1338=1,0.9,0)</f>
        <v/>
      </c>
      <c r="K1338" s="5" t="s">
        <v>17</v>
      </c>
      <c r="L1338" s="5" t="s">
        <v>17</v>
      </c>
      <c r="M1338" s="8">
        <f>IF(OR(LOOKUP(A1338,characters!A:A,characters!B:B)=-1, LOOKUP(A1338,characters!A:A,characters!B:B)+0.1&gt;=B1338),1,0)</f>
        <v/>
      </c>
    </row>
    <row r="1339" spans="1:13">
      <c r="A1339" s="4" t="s">
        <v>74</v>
      </c>
      <c r="B1339" s="7">
        <v>1</v>
      </c>
      <c r="C1339" s="6">
        <f>IF(M1339=1,1.0,0)</f>
        <v/>
      </c>
      <c r="D1339" s="5" t="s">
        <v>17</v>
      </c>
      <c r="E1339" s="6">
        <f>IF(M1339=1,0.9,0)</f>
        <v/>
      </c>
      <c r="F1339" s="6">
        <f>IF(M1339=1,0.9,0)</f>
        <v/>
      </c>
      <c r="G1339" s="5" t="s">
        <v>17</v>
      </c>
      <c r="H1339" s="5" t="s">
        <v>17</v>
      </c>
      <c r="I1339" s="5" t="s">
        <v>17</v>
      </c>
      <c r="J1339" s="6">
        <f>IF(M1339=1,1.0,0)</f>
        <v/>
      </c>
      <c r="K1339" s="5" t="s">
        <v>17</v>
      </c>
      <c r="L1339" s="5" t="s">
        <v>17</v>
      </c>
      <c r="M1339" s="8">
        <f>IF(OR(LOOKUP(A1339,characters!A:A,characters!B:B)=-1, LOOKUP(A1339,characters!A:A,characters!B:B)+0.1&gt;=B1339),1,0)</f>
        <v/>
      </c>
    </row>
    <row r="1340" spans="1:13">
      <c r="A1340" s="4" t="s">
        <v>43</v>
      </c>
      <c r="B1340" s="7">
        <v>1</v>
      </c>
      <c r="C1340" s="6">
        <f>IF(M1340=1,1.0,0)</f>
        <v/>
      </c>
      <c r="D1340" s="6">
        <f>IF(M1340=1,0.8,0)</f>
        <v/>
      </c>
      <c r="E1340" s="5" t="s">
        <v>17</v>
      </c>
      <c r="F1340" s="5" t="s">
        <v>17</v>
      </c>
      <c r="G1340" s="5" t="s">
        <v>17</v>
      </c>
      <c r="H1340" s="5" t="s">
        <v>17</v>
      </c>
      <c r="I1340" s="5" t="s">
        <v>17</v>
      </c>
      <c r="J1340" s="5" t="s">
        <v>17</v>
      </c>
      <c r="K1340" s="6">
        <f>IF(M1340=1,0.9,0)</f>
        <v/>
      </c>
      <c r="L1340" s="5" t="s">
        <v>17</v>
      </c>
      <c r="M1340" s="8">
        <f>IF(OR(LOOKUP(A1340,characters!A:A,characters!B:B)=-1, LOOKUP(A1340,characters!A:A,characters!B:B)+0.1&gt;=B1340),1,0)</f>
        <v/>
      </c>
    </row>
    <row r="1341" spans="1:13">
      <c r="A1341" s="4" t="s">
        <v>82</v>
      </c>
      <c r="B1341" s="7">
        <v>2</v>
      </c>
      <c r="C1341" s="6">
        <f>IF(M1341=1,0.9,0)</f>
        <v/>
      </c>
      <c r="D1341" s="5" t="s">
        <v>17</v>
      </c>
      <c r="E1341" s="6">
        <f>IF(M1341=1,0.7,0)</f>
        <v/>
      </c>
      <c r="F1341" s="6">
        <f>IF(M1341=1,0.7,0)</f>
        <v/>
      </c>
      <c r="G1341" s="5" t="s">
        <v>17</v>
      </c>
      <c r="H1341" s="5" t="s">
        <v>17</v>
      </c>
      <c r="I1341" s="6">
        <f>IF(M1341=1,1.0,0)</f>
        <v/>
      </c>
      <c r="J1341" s="6">
        <f>IF(M1341=1,0.7,0)</f>
        <v/>
      </c>
      <c r="K1341" s="5" t="s">
        <v>17</v>
      </c>
      <c r="L1341" s="6">
        <f>IF(M1341=1,0.8,0)</f>
        <v/>
      </c>
      <c r="M1341" s="8">
        <f>IF(OR(LOOKUP(A1341,characters!A:A,characters!B:B)=-1, LOOKUP(A1341,characters!A:A,characters!B:B)+0.1&gt;=B1341),1,0)</f>
        <v/>
      </c>
    </row>
    <row r="1343" spans="1:13">
      <c r="A1343" s="3" t="s">
        <v>30</v>
      </c>
      <c r="B1343" s="3" t="s">
        <v>9</v>
      </c>
      <c r="C1343" s="3" t="s">
        <v>65</v>
      </c>
      <c r="D1343" s="3" t="s">
        <v>27</v>
      </c>
      <c r="E1343" s="3" t="s">
        <v>26</v>
      </c>
      <c r="F1343" s="3" t="s">
        <v>11</v>
      </c>
      <c r="G1343" s="3" t="s">
        <v>63</v>
      </c>
      <c r="H1343" s="3" t="s">
        <v>46</v>
      </c>
      <c r="I1343" s="3" t="s">
        <v>47</v>
      </c>
    </row>
    <row r="1344" spans="1:13">
      <c r="A1344" s="4" t="s">
        <v>16</v>
      </c>
      <c r="B1344" s="5" t="s">
        <v>17</v>
      </c>
      <c r="C1344" s="6">
        <f>IF(SUM(J1345:J1361)=0,0,SUM(C1345:C1361)/SUM(J1345:J1361))</f>
        <v/>
      </c>
      <c r="D1344" s="6">
        <f>IF(SUM(J1345:J1361)=0,0,SUM(D1345:D1361)/SUM(J1345:J1361))</f>
        <v/>
      </c>
      <c r="E1344" s="6">
        <f>IF(SUM(J1345:J1361)=0,0,SUM(E1345:E1361)/SUM(J1345:J1361))</f>
        <v/>
      </c>
      <c r="F1344" s="6">
        <f>IF(SUM(J1345:J1361)=0,0,SUM(F1345:F1361)/SUM(J1345:J1361))</f>
        <v/>
      </c>
      <c r="G1344" s="6">
        <f>IF(SUM(J1345:J1361)=0,0,SUM(G1345:G1361)/SUM(J1345:J1361))</f>
        <v/>
      </c>
      <c r="H1344" s="6">
        <f>IF(SUM(J1345:J1361)=0,0,SUM(H1345:H1361)/SUM(J1345:J1361))</f>
        <v/>
      </c>
      <c r="I1344" s="6">
        <f>IF(SUM(J1345:J1361)=0,0,SUM(I1345:I1361)/SUM(J1345:J1361))</f>
        <v/>
      </c>
    </row>
    <row r="1345" spans="1:10">
      <c r="A1345" s="4" t="s">
        <v>69</v>
      </c>
      <c r="B1345" s="7">
        <v>0</v>
      </c>
      <c r="C1345" s="6">
        <f>IF(J1345=1,1.0,0)</f>
        <v/>
      </c>
      <c r="D1345" s="6">
        <f>IF(J1345=1,0.99,0)</f>
        <v/>
      </c>
      <c r="E1345" s="5" t="s">
        <v>17</v>
      </c>
      <c r="F1345" s="5" t="s">
        <v>17</v>
      </c>
      <c r="G1345" s="5" t="s">
        <v>17</v>
      </c>
      <c r="H1345" s="5" t="s">
        <v>17</v>
      </c>
      <c r="I1345" s="5" t="s">
        <v>17</v>
      </c>
      <c r="J1345" s="8">
        <f>IF(OR(LOOKUP(A1345,characters!A:A,characters!B:B)=-1, LOOKUP(A1345,characters!A:A,characters!B:B)+0.1&gt;=B1345),1,0)</f>
        <v/>
      </c>
    </row>
    <row r="1346" spans="1:10">
      <c r="A1346" s="4" t="s">
        <v>37</v>
      </c>
      <c r="B1346" s="7">
        <v>0</v>
      </c>
      <c r="C1346" s="5" t="s">
        <v>17</v>
      </c>
      <c r="D1346" s="6">
        <f>IF(J1346=1,1.0,0)</f>
        <v/>
      </c>
      <c r="E1346" s="6">
        <f>IF(J1346=1,0.9,0)</f>
        <v/>
      </c>
      <c r="F1346" s="5" t="s">
        <v>17</v>
      </c>
      <c r="G1346" s="5" t="s">
        <v>17</v>
      </c>
      <c r="H1346" s="5" t="s">
        <v>17</v>
      </c>
      <c r="I1346" s="5" t="s">
        <v>17</v>
      </c>
      <c r="J1346" s="8">
        <f>IF(OR(LOOKUP(A1346,characters!A:A,characters!B:B)=-1, LOOKUP(A1346,characters!A:A,characters!B:B)+0.1&gt;=B1346),1,0)</f>
        <v/>
      </c>
    </row>
    <row r="1347" spans="1:10">
      <c r="A1347" s="4" t="s">
        <v>82</v>
      </c>
      <c r="B1347" s="7">
        <v>2</v>
      </c>
      <c r="C1347" s="6">
        <f>IF(J1347=1,1.0,0)</f>
        <v/>
      </c>
      <c r="D1347" s="5" t="s">
        <v>17</v>
      </c>
      <c r="E1347" s="5" t="s">
        <v>17</v>
      </c>
      <c r="F1347" s="6">
        <f>IF(J1347=1,0.9,0)</f>
        <v/>
      </c>
      <c r="G1347" s="5" t="s">
        <v>17</v>
      </c>
      <c r="H1347" s="5" t="s">
        <v>17</v>
      </c>
      <c r="I1347" s="5" t="s">
        <v>17</v>
      </c>
      <c r="J1347" s="8">
        <f>IF(OR(LOOKUP(A1347,characters!A:A,characters!B:B)=-1, LOOKUP(A1347,characters!A:A,characters!B:B)+0.1&gt;=B1347),1,0)</f>
        <v/>
      </c>
    </row>
    <row r="1348" spans="1:10">
      <c r="A1348" s="4" t="s">
        <v>39</v>
      </c>
      <c r="B1348" s="7">
        <v>0</v>
      </c>
      <c r="C1348" s="5" t="s">
        <v>17</v>
      </c>
      <c r="D1348" s="6">
        <f>IF(J1348=1,1.0,0)</f>
        <v/>
      </c>
      <c r="E1348" s="6">
        <f>IF(J1348=1,0.9,0)</f>
        <v/>
      </c>
      <c r="F1348" s="5" t="s">
        <v>17</v>
      </c>
      <c r="G1348" s="5" t="s">
        <v>17</v>
      </c>
      <c r="H1348" s="5" t="s">
        <v>17</v>
      </c>
      <c r="I1348" s="5" t="s">
        <v>17</v>
      </c>
      <c r="J1348" s="8">
        <f>IF(OR(LOOKUP(A1348,characters!A:A,characters!B:B)=-1, LOOKUP(A1348,characters!A:A,characters!B:B)+0.1&gt;=B1348),1,0)</f>
        <v/>
      </c>
    </row>
    <row r="1349" spans="1:10">
      <c r="A1349" s="4" t="s">
        <v>96</v>
      </c>
      <c r="B1349" s="7">
        <v>0</v>
      </c>
      <c r="C1349" s="5" t="s">
        <v>17</v>
      </c>
      <c r="D1349" s="6">
        <f>IF(J1349=1,1.0,0)</f>
        <v/>
      </c>
      <c r="E1349" s="5" t="s">
        <v>17</v>
      </c>
      <c r="F1349" s="5" t="s">
        <v>17</v>
      </c>
      <c r="G1349" s="5" t="s">
        <v>17</v>
      </c>
      <c r="H1349" s="5" t="s">
        <v>17</v>
      </c>
      <c r="I1349" s="5" t="s">
        <v>17</v>
      </c>
      <c r="J1349" s="8">
        <f>IF(OR(LOOKUP(A1349,characters!A:A,characters!B:B)=-1, LOOKUP(A1349,characters!A:A,characters!B:B)+0.1&gt;=B1349),1,0)</f>
        <v/>
      </c>
    </row>
    <row r="1350" spans="1:10">
      <c r="A1350" s="4" t="s">
        <v>70</v>
      </c>
      <c r="B1350" s="7">
        <v>0</v>
      </c>
      <c r="C1350" s="6">
        <f>IF(J1350=1,1.0,0)</f>
        <v/>
      </c>
      <c r="D1350" s="5" t="s">
        <v>17</v>
      </c>
      <c r="E1350" s="5" t="s">
        <v>17</v>
      </c>
      <c r="F1350" s="5" t="s">
        <v>17</v>
      </c>
      <c r="G1350" s="5" t="s">
        <v>17</v>
      </c>
      <c r="H1350" s="5" t="s">
        <v>17</v>
      </c>
      <c r="I1350" s="5" t="s">
        <v>17</v>
      </c>
      <c r="J1350" s="8">
        <f>IF(OR(LOOKUP(A1350,characters!A:A,characters!B:B)=-1, LOOKUP(A1350,characters!A:A,characters!B:B)+0.1&gt;=B1350),1,0)</f>
        <v/>
      </c>
    </row>
    <row r="1351" spans="1:10">
      <c r="A1351" s="4" t="s">
        <v>112</v>
      </c>
      <c r="B1351" s="7">
        <v>0</v>
      </c>
      <c r="C1351" s="5" t="s">
        <v>17</v>
      </c>
      <c r="D1351" s="5" t="s">
        <v>17</v>
      </c>
      <c r="E1351" s="6">
        <f>IF(J1351=1,1.0,0)</f>
        <v/>
      </c>
      <c r="F1351" s="5" t="s">
        <v>17</v>
      </c>
      <c r="G1351" s="5" t="s">
        <v>17</v>
      </c>
      <c r="H1351" s="5" t="s">
        <v>17</v>
      </c>
      <c r="I1351" s="5" t="s">
        <v>17</v>
      </c>
      <c r="J1351" s="8">
        <f>IF(OR(LOOKUP(A1351,characters!A:A,characters!B:B)=-1, LOOKUP(A1351,characters!A:A,characters!B:B)+0.1&gt;=B1351),1,0)</f>
        <v/>
      </c>
    </row>
    <row r="1352" spans="1:10">
      <c r="A1352" s="4" t="s">
        <v>40</v>
      </c>
      <c r="B1352" s="7">
        <v>0</v>
      </c>
      <c r="C1352" s="5" t="s">
        <v>17</v>
      </c>
      <c r="D1352" s="6">
        <f>IF(J1352=1,1.0,0)</f>
        <v/>
      </c>
      <c r="E1352" s="6">
        <f>IF(J1352=1,0.99,0)</f>
        <v/>
      </c>
      <c r="F1352" s="5" t="s">
        <v>17</v>
      </c>
      <c r="G1352" s="5" t="s">
        <v>17</v>
      </c>
      <c r="H1352" s="5" t="s">
        <v>17</v>
      </c>
      <c r="I1352" s="5" t="s">
        <v>17</v>
      </c>
      <c r="J1352" s="8">
        <f>IF(OR(LOOKUP(A1352,characters!A:A,characters!B:B)=-1, LOOKUP(A1352,characters!A:A,characters!B:B)+0.1&gt;=B1352),1,0)</f>
        <v/>
      </c>
    </row>
    <row r="1353" spans="1:10">
      <c r="A1353" s="4" t="s">
        <v>120</v>
      </c>
      <c r="B1353" s="7">
        <v>0</v>
      </c>
      <c r="C1353" s="5" t="s">
        <v>17</v>
      </c>
      <c r="D1353" s="5" t="s">
        <v>17</v>
      </c>
      <c r="E1353" s="5" t="s">
        <v>17</v>
      </c>
      <c r="F1353" s="6">
        <f>IF(J1353=1,1.0,0)</f>
        <v/>
      </c>
      <c r="G1353" s="6">
        <f>IF(J1353=1,0.9,0)</f>
        <v/>
      </c>
      <c r="H1353" s="5" t="s">
        <v>17</v>
      </c>
      <c r="I1353" s="5" t="s">
        <v>17</v>
      </c>
      <c r="J1353" s="8">
        <f>IF(OR(LOOKUP(A1353,characters!A:A,characters!B:B)=-1, LOOKUP(A1353,characters!A:A,characters!B:B)+0.1&gt;=B1353),1,0)</f>
        <v/>
      </c>
    </row>
    <row r="1354" spans="1:10">
      <c r="A1354" s="4" t="s">
        <v>118</v>
      </c>
      <c r="B1354" s="7">
        <v>0</v>
      </c>
      <c r="C1354" s="5" t="s">
        <v>17</v>
      </c>
      <c r="D1354" s="6">
        <f>IF(J1354=1,1.0,0)</f>
        <v/>
      </c>
      <c r="E1354" s="6">
        <f>IF(J1354=1,0.9,0)</f>
        <v/>
      </c>
      <c r="F1354" s="5" t="s">
        <v>17</v>
      </c>
      <c r="G1354" s="5" t="s">
        <v>17</v>
      </c>
      <c r="H1354" s="5" t="s">
        <v>17</v>
      </c>
      <c r="I1354" s="5" t="s">
        <v>17</v>
      </c>
      <c r="J1354" s="8">
        <f>IF(OR(LOOKUP(A1354,characters!A:A,characters!B:B)=-1, LOOKUP(A1354,characters!A:A,characters!B:B)+0.1&gt;=B1354),1,0)</f>
        <v/>
      </c>
    </row>
    <row r="1355" spans="1:10">
      <c r="A1355" s="4" t="s">
        <v>41</v>
      </c>
      <c r="B1355" s="7">
        <v>1</v>
      </c>
      <c r="C1355" s="5" t="s">
        <v>17</v>
      </c>
      <c r="D1355" s="6">
        <f>IF(J1355=1,0.9,0)</f>
        <v/>
      </c>
      <c r="E1355" s="5" t="s">
        <v>17</v>
      </c>
      <c r="F1355" s="5" t="s">
        <v>17</v>
      </c>
      <c r="G1355" s="5" t="s">
        <v>17</v>
      </c>
      <c r="H1355" s="6">
        <f>IF(J1355=1,1.0,0)</f>
        <v/>
      </c>
      <c r="I1355" s="5" t="s">
        <v>17</v>
      </c>
      <c r="J1355" s="8">
        <f>IF(OR(LOOKUP(A1355,characters!A:A,characters!B:B)=-1, LOOKUP(A1355,characters!A:A,characters!B:B)+0.1&gt;=B1355),1,0)</f>
        <v/>
      </c>
    </row>
    <row r="1356" spans="1:10">
      <c r="A1356" s="4" t="s">
        <v>42</v>
      </c>
      <c r="B1356" s="7">
        <v>0</v>
      </c>
      <c r="C1356" s="5" t="s">
        <v>17</v>
      </c>
      <c r="D1356" s="6">
        <f>IF(J1356=1,1.0,0)</f>
        <v/>
      </c>
      <c r="E1356" s="6">
        <f>IF(J1356=1,0.99,0)</f>
        <v/>
      </c>
      <c r="F1356" s="5" t="s">
        <v>17</v>
      </c>
      <c r="G1356" s="5" t="s">
        <v>17</v>
      </c>
      <c r="H1356" s="5" t="s">
        <v>17</v>
      </c>
      <c r="I1356" s="5" t="s">
        <v>17</v>
      </c>
      <c r="J1356" s="8">
        <f>IF(OR(LOOKUP(A1356,characters!A:A,characters!B:B)=-1, LOOKUP(A1356,characters!A:A,characters!B:B)+0.1&gt;=B1356),1,0)</f>
        <v/>
      </c>
    </row>
    <row r="1357" spans="1:10">
      <c r="A1357" s="4" t="s">
        <v>71</v>
      </c>
      <c r="B1357" s="7">
        <v>0</v>
      </c>
      <c r="C1357" s="5" t="s">
        <v>17</v>
      </c>
      <c r="D1357" s="6">
        <f>IF(J1357=1,1.0,0)</f>
        <v/>
      </c>
      <c r="E1357" s="6">
        <f>IF(J1357=1,1.0,0)</f>
        <v/>
      </c>
      <c r="F1357" s="5" t="s">
        <v>17</v>
      </c>
      <c r="G1357" s="5" t="s">
        <v>17</v>
      </c>
      <c r="H1357" s="5" t="s">
        <v>17</v>
      </c>
      <c r="I1357" s="5" t="s">
        <v>17</v>
      </c>
      <c r="J1357" s="8">
        <f>IF(OR(LOOKUP(A1357,characters!A:A,characters!B:B)=-1, LOOKUP(A1357,characters!A:A,characters!B:B)+0.1&gt;=B1357),1,0)</f>
        <v/>
      </c>
    </row>
    <row r="1358" spans="1:10">
      <c r="A1358" s="4" t="s">
        <v>72</v>
      </c>
      <c r="B1358" s="7">
        <v>0</v>
      </c>
      <c r="C1358" s="5" t="s">
        <v>17</v>
      </c>
      <c r="D1358" s="6">
        <f>IF(J1358=1,0.9,0)</f>
        <v/>
      </c>
      <c r="E1358" s="5" t="s">
        <v>17</v>
      </c>
      <c r="F1358" s="6">
        <f>IF(J1358=1,1.0,0)</f>
        <v/>
      </c>
      <c r="G1358" s="5" t="s">
        <v>17</v>
      </c>
      <c r="H1358" s="5" t="s">
        <v>17</v>
      </c>
      <c r="I1358" s="5" t="s">
        <v>17</v>
      </c>
      <c r="J1358" s="8">
        <f>IF(OR(LOOKUP(A1358,characters!A:A,characters!B:B)=-1, LOOKUP(A1358,characters!A:A,characters!B:B)+0.1&gt;=B1358),1,0)</f>
        <v/>
      </c>
    </row>
    <row r="1359" spans="1:10">
      <c r="A1359" s="4" t="s">
        <v>73</v>
      </c>
      <c r="B1359" s="7">
        <v>0</v>
      </c>
      <c r="C1359" s="5" t="s">
        <v>17</v>
      </c>
      <c r="D1359" s="6">
        <f>IF(J1359=1,1.0,0)</f>
        <v/>
      </c>
      <c r="E1359" s="6">
        <f>IF(J1359=1,1.0,0)</f>
        <v/>
      </c>
      <c r="F1359" s="5" t="s">
        <v>17</v>
      </c>
      <c r="G1359" s="5" t="s">
        <v>17</v>
      </c>
      <c r="H1359" s="5" t="s">
        <v>17</v>
      </c>
      <c r="I1359" s="5" t="s">
        <v>17</v>
      </c>
      <c r="J1359" s="8">
        <f>IF(OR(LOOKUP(A1359,characters!A:A,characters!B:B)=-1, LOOKUP(A1359,characters!A:A,characters!B:B)+0.1&gt;=B1359),1,0)</f>
        <v/>
      </c>
    </row>
    <row r="1360" spans="1:10">
      <c r="A1360" s="4" t="s">
        <v>74</v>
      </c>
      <c r="B1360" s="7">
        <v>1</v>
      </c>
      <c r="C1360" s="5" t="s">
        <v>17</v>
      </c>
      <c r="D1360" s="6">
        <f>IF(J1360=1,1.0,0)</f>
        <v/>
      </c>
      <c r="E1360" s="6">
        <f>IF(J1360=1,0.9,0)</f>
        <v/>
      </c>
      <c r="F1360" s="5" t="s">
        <v>17</v>
      </c>
      <c r="G1360" s="5" t="s">
        <v>17</v>
      </c>
      <c r="H1360" s="5" t="s">
        <v>17</v>
      </c>
      <c r="I1360" s="5" t="s">
        <v>17</v>
      </c>
      <c r="J1360" s="8">
        <f>IF(OR(LOOKUP(A1360,characters!A:A,characters!B:B)=-1, LOOKUP(A1360,characters!A:A,characters!B:B)+0.1&gt;=B1360),1,0)</f>
        <v/>
      </c>
    </row>
    <row r="1361" spans="1:10">
      <c r="A1361" s="4" t="s">
        <v>43</v>
      </c>
      <c r="B1361" s="7">
        <v>1</v>
      </c>
      <c r="C1361" s="5" t="s">
        <v>17</v>
      </c>
      <c r="D1361" s="6">
        <f>IF(J1361=1,0.9,0)</f>
        <v/>
      </c>
      <c r="E1361" s="6">
        <f>IF(J1361=1,0.8,0)</f>
        <v/>
      </c>
      <c r="F1361" s="5" t="s">
        <v>17</v>
      </c>
      <c r="G1361" s="5" t="s">
        <v>17</v>
      </c>
      <c r="H1361" s="5" t="s">
        <v>17</v>
      </c>
      <c r="I1361" s="6">
        <f>IF(J1361=1,1.0,0)</f>
        <v/>
      </c>
      <c r="J1361" s="8">
        <f>IF(OR(LOOKUP(A1361,characters!A:A,characters!B:B)=-1, LOOKUP(A1361,characters!A:A,characters!B:B)+0.1&gt;=B1361),1,0)</f>
        <v/>
      </c>
    </row>
    <row r="1363" spans="1:10">
      <c r="A1363" s="3" t="s">
        <v>31</v>
      </c>
      <c r="B1363" s="3" t="s">
        <v>9</v>
      </c>
      <c r="C1363" s="3" t="s">
        <v>32</v>
      </c>
      <c r="D1363" s="3" t="s">
        <v>11</v>
      </c>
      <c r="E1363" s="3" t="s">
        <v>26</v>
      </c>
      <c r="F1363" s="3" t="s">
        <v>15</v>
      </c>
    </row>
    <row r="1364" spans="1:10">
      <c r="A1364" s="4" t="s">
        <v>16</v>
      </c>
      <c r="B1364" s="5" t="s">
        <v>17</v>
      </c>
      <c r="C1364" s="6">
        <f>IF(SUM(G1365:G1381)=0,0,SUM(C1365:C1381)/SUM(G1365:G1381))</f>
        <v/>
      </c>
      <c r="D1364" s="6">
        <f>IF(SUM(G1365:G1381)=0,0,SUM(D1365:D1381)/SUM(G1365:G1381))</f>
        <v/>
      </c>
      <c r="E1364" s="6">
        <f>IF(SUM(G1365:G1381)=0,0,SUM(E1365:E1381)/SUM(G1365:G1381))</f>
        <v/>
      </c>
      <c r="F1364" s="6">
        <f>IF(SUM(G1365:G1381)=0,0,SUM(F1365:F1381)/SUM(G1365:G1381))</f>
        <v/>
      </c>
    </row>
    <row r="1365" spans="1:10">
      <c r="A1365" s="4" t="s">
        <v>69</v>
      </c>
      <c r="B1365" s="7">
        <v>0</v>
      </c>
      <c r="C1365" s="6">
        <f>IF(G1365=1,1.0,0)</f>
        <v/>
      </c>
      <c r="D1365" s="5" t="s">
        <v>17</v>
      </c>
      <c r="E1365" s="5" t="s">
        <v>17</v>
      </c>
      <c r="F1365" s="5" t="s">
        <v>17</v>
      </c>
      <c r="G1365" s="8">
        <f>IF(OR(LOOKUP(A1365,characters!A:A,characters!B:B)=-1, LOOKUP(A1365,characters!A:A,characters!B:B)+0.1&gt;=B1365),1,0)</f>
        <v/>
      </c>
    </row>
    <row r="1366" spans="1:10">
      <c r="A1366" s="4" t="s">
        <v>37</v>
      </c>
      <c r="B1366" s="7">
        <v>0</v>
      </c>
      <c r="C1366" s="6">
        <f>IF(G1366=1,1.0,0)</f>
        <v/>
      </c>
      <c r="D1366" s="5" t="s">
        <v>17</v>
      </c>
      <c r="E1366" s="5" t="s">
        <v>17</v>
      </c>
      <c r="F1366" s="5" t="s">
        <v>17</v>
      </c>
      <c r="G1366" s="8">
        <f>IF(OR(LOOKUP(A1366,characters!A:A,characters!B:B)=-1, LOOKUP(A1366,characters!A:A,characters!B:B)+0.1&gt;=B1366),1,0)</f>
        <v/>
      </c>
    </row>
    <row r="1367" spans="1:10">
      <c r="A1367" s="4" t="s">
        <v>82</v>
      </c>
      <c r="B1367" s="7">
        <v>2</v>
      </c>
      <c r="C1367" s="5" t="s">
        <v>17</v>
      </c>
      <c r="D1367" s="6">
        <f>IF(G1367=1,1.0,0)</f>
        <v/>
      </c>
      <c r="E1367" s="5" t="s">
        <v>17</v>
      </c>
      <c r="F1367" s="5" t="s">
        <v>17</v>
      </c>
      <c r="G1367" s="8">
        <f>IF(OR(LOOKUP(A1367,characters!A:A,characters!B:B)=-1, LOOKUP(A1367,characters!A:A,characters!B:B)+0.1&gt;=B1367),1,0)</f>
        <v/>
      </c>
    </row>
    <row r="1368" spans="1:10">
      <c r="A1368" s="4" t="s">
        <v>39</v>
      </c>
      <c r="B1368" s="7">
        <v>0</v>
      </c>
      <c r="C1368" s="6">
        <f>IF(G1368=1,1.0,0)</f>
        <v/>
      </c>
      <c r="D1368" s="5" t="s">
        <v>17</v>
      </c>
      <c r="E1368" s="5" t="s">
        <v>17</v>
      </c>
      <c r="F1368" s="5" t="s">
        <v>17</v>
      </c>
      <c r="G1368" s="8">
        <f>IF(OR(LOOKUP(A1368,characters!A:A,characters!B:B)=-1, LOOKUP(A1368,characters!A:A,characters!B:B)+0.1&gt;=B1368),1,0)</f>
        <v/>
      </c>
    </row>
    <row r="1369" spans="1:10">
      <c r="A1369" s="4" t="s">
        <v>96</v>
      </c>
      <c r="B1369" s="7">
        <v>0</v>
      </c>
      <c r="C1369" s="6">
        <f>IF(G1369=1,1.0,0)</f>
        <v/>
      </c>
      <c r="D1369" s="5" t="s">
        <v>17</v>
      </c>
      <c r="E1369" s="5" t="s">
        <v>17</v>
      </c>
      <c r="F1369" s="5" t="s">
        <v>17</v>
      </c>
      <c r="G1369" s="8">
        <f>IF(OR(LOOKUP(A1369,characters!A:A,characters!B:B)=-1, LOOKUP(A1369,characters!A:A,characters!B:B)+0.1&gt;=B1369),1,0)</f>
        <v/>
      </c>
    </row>
    <row r="1370" spans="1:10">
      <c r="A1370" s="4" t="s">
        <v>70</v>
      </c>
      <c r="B1370" s="7">
        <v>0</v>
      </c>
      <c r="C1370" s="6">
        <f>IF(G1370=1,1.0,0)</f>
        <v/>
      </c>
      <c r="D1370" s="5" t="s">
        <v>17</v>
      </c>
      <c r="E1370" s="5" t="s">
        <v>17</v>
      </c>
      <c r="F1370" s="5" t="s">
        <v>17</v>
      </c>
      <c r="G1370" s="8">
        <f>IF(OR(LOOKUP(A1370,characters!A:A,characters!B:B)=-1, LOOKUP(A1370,characters!A:A,characters!B:B)+0.1&gt;=B1370),1,0)</f>
        <v/>
      </c>
    </row>
    <row r="1371" spans="1:10">
      <c r="A1371" s="4" t="s">
        <v>112</v>
      </c>
      <c r="B1371" s="7">
        <v>0</v>
      </c>
      <c r="C1371" s="6">
        <f>IF(G1371=1,1.0,0)</f>
        <v/>
      </c>
      <c r="D1371" s="5" t="s">
        <v>17</v>
      </c>
      <c r="E1371" s="6">
        <f>IF(G1371=1,0.99,0)</f>
        <v/>
      </c>
      <c r="F1371" s="5" t="s">
        <v>17</v>
      </c>
      <c r="G1371" s="8">
        <f>IF(OR(LOOKUP(A1371,characters!A:A,characters!B:B)=-1, LOOKUP(A1371,characters!A:A,characters!B:B)+0.1&gt;=B1371),1,0)</f>
        <v/>
      </c>
    </row>
    <row r="1372" spans="1:10">
      <c r="A1372" s="4" t="s">
        <v>40</v>
      </c>
      <c r="B1372" s="7">
        <v>0</v>
      </c>
      <c r="C1372" s="6">
        <f>IF(G1372=1,1.0,0)</f>
        <v/>
      </c>
      <c r="D1372" s="5" t="s">
        <v>17</v>
      </c>
      <c r="E1372" s="5" t="s">
        <v>17</v>
      </c>
      <c r="F1372" s="5" t="s">
        <v>17</v>
      </c>
      <c r="G1372" s="8">
        <f>IF(OR(LOOKUP(A1372,characters!A:A,characters!B:B)=-1, LOOKUP(A1372,characters!A:A,characters!B:B)+0.1&gt;=B1372),1,0)</f>
        <v/>
      </c>
    </row>
    <row r="1373" spans="1:10">
      <c r="A1373" s="4" t="s">
        <v>120</v>
      </c>
      <c r="B1373" s="7">
        <v>0</v>
      </c>
      <c r="C1373" s="6">
        <f>IF(G1373=1,1.0,0)</f>
        <v/>
      </c>
      <c r="D1373" s="5" t="s">
        <v>17</v>
      </c>
      <c r="E1373" s="5" t="s">
        <v>17</v>
      </c>
      <c r="F1373" s="5" t="s">
        <v>17</v>
      </c>
      <c r="G1373" s="8">
        <f>IF(OR(LOOKUP(A1373,characters!A:A,characters!B:B)=-1, LOOKUP(A1373,characters!A:A,characters!B:B)+0.1&gt;=B1373),1,0)</f>
        <v/>
      </c>
    </row>
    <row r="1374" spans="1:10">
      <c r="A1374" s="4" t="s">
        <v>118</v>
      </c>
      <c r="B1374" s="7">
        <v>0</v>
      </c>
      <c r="C1374" s="6">
        <f>IF(G1374=1,1.0,0)</f>
        <v/>
      </c>
      <c r="D1374" s="5" t="s">
        <v>17</v>
      </c>
      <c r="E1374" s="5" t="s">
        <v>17</v>
      </c>
      <c r="F1374" s="6">
        <f>IF(G1374=1,0.9,0)</f>
        <v/>
      </c>
      <c r="G1374" s="8">
        <f>IF(OR(LOOKUP(A1374,characters!A:A,characters!B:B)=-1, LOOKUP(A1374,characters!A:A,characters!B:B)+0.1&gt;=B1374),1,0)</f>
        <v/>
      </c>
    </row>
    <row r="1375" spans="1:10">
      <c r="A1375" s="4" t="s">
        <v>41</v>
      </c>
      <c r="B1375" s="7">
        <v>1</v>
      </c>
      <c r="C1375" s="6">
        <f>IF(G1375=1,1.0,0)</f>
        <v/>
      </c>
      <c r="D1375" s="5" t="s">
        <v>17</v>
      </c>
      <c r="E1375" s="5" t="s">
        <v>17</v>
      </c>
      <c r="F1375" s="5" t="s">
        <v>17</v>
      </c>
      <c r="G1375" s="8">
        <f>IF(OR(LOOKUP(A1375,characters!A:A,characters!B:B)=-1, LOOKUP(A1375,characters!A:A,characters!B:B)+0.1&gt;=B1375),1,0)</f>
        <v/>
      </c>
    </row>
    <row r="1376" spans="1:10">
      <c r="A1376" s="4" t="s">
        <v>42</v>
      </c>
      <c r="B1376" s="7">
        <v>0</v>
      </c>
      <c r="C1376" s="6">
        <f>IF(G1376=1,1.0,0)</f>
        <v/>
      </c>
      <c r="D1376" s="5" t="s">
        <v>17</v>
      </c>
      <c r="E1376" s="5" t="s">
        <v>17</v>
      </c>
      <c r="F1376" s="5" t="s">
        <v>17</v>
      </c>
      <c r="G1376" s="8">
        <f>IF(OR(LOOKUP(A1376,characters!A:A,characters!B:B)=-1, LOOKUP(A1376,characters!A:A,characters!B:B)+0.1&gt;=B1376),1,0)</f>
        <v/>
      </c>
    </row>
    <row r="1377" spans="1:12">
      <c r="A1377" s="4" t="s">
        <v>71</v>
      </c>
      <c r="B1377" s="7">
        <v>0</v>
      </c>
      <c r="C1377" s="6">
        <f>IF(G1377=1,1.0,0)</f>
        <v/>
      </c>
      <c r="D1377" s="5" t="s">
        <v>17</v>
      </c>
      <c r="E1377" s="5" t="s">
        <v>17</v>
      </c>
      <c r="F1377" s="5" t="s">
        <v>17</v>
      </c>
      <c r="G1377" s="8">
        <f>IF(OR(LOOKUP(A1377,characters!A:A,characters!B:B)=-1, LOOKUP(A1377,characters!A:A,characters!B:B)+0.1&gt;=B1377),1,0)</f>
        <v/>
      </c>
    </row>
    <row r="1378" spans="1:12">
      <c r="A1378" s="4" t="s">
        <v>72</v>
      </c>
      <c r="B1378" s="7">
        <v>0</v>
      </c>
      <c r="C1378" s="6">
        <f>IF(G1378=1,1.0,0)</f>
        <v/>
      </c>
      <c r="D1378" s="5" t="s">
        <v>17</v>
      </c>
      <c r="E1378" s="5" t="s">
        <v>17</v>
      </c>
      <c r="F1378" s="5" t="s">
        <v>17</v>
      </c>
      <c r="G1378" s="8">
        <f>IF(OR(LOOKUP(A1378,characters!A:A,characters!B:B)=-1, LOOKUP(A1378,characters!A:A,characters!B:B)+0.1&gt;=B1378),1,0)</f>
        <v/>
      </c>
    </row>
    <row r="1379" spans="1:12">
      <c r="A1379" s="4" t="s">
        <v>73</v>
      </c>
      <c r="B1379" s="7">
        <v>0</v>
      </c>
      <c r="C1379" s="6">
        <f>IF(G1379=1,1.0,0)</f>
        <v/>
      </c>
      <c r="D1379" s="5" t="s">
        <v>17</v>
      </c>
      <c r="E1379" s="5" t="s">
        <v>17</v>
      </c>
      <c r="F1379" s="6">
        <f>IF(G1379=1,1.0,0)</f>
        <v/>
      </c>
      <c r="G1379" s="8">
        <f>IF(OR(LOOKUP(A1379,characters!A:A,characters!B:B)=-1, LOOKUP(A1379,characters!A:A,characters!B:B)+0.1&gt;=B1379),1,0)</f>
        <v/>
      </c>
    </row>
    <row r="1380" spans="1:12">
      <c r="A1380" s="4" t="s">
        <v>74</v>
      </c>
      <c r="B1380" s="7">
        <v>1</v>
      </c>
      <c r="C1380" s="6">
        <f>IF(G1380=1,0.9,0)</f>
        <v/>
      </c>
      <c r="D1380" s="5" t="s">
        <v>17</v>
      </c>
      <c r="E1380" s="5" t="s">
        <v>17</v>
      </c>
      <c r="F1380" s="6">
        <f>IF(G1380=1,1.0,0)</f>
        <v/>
      </c>
      <c r="G1380" s="8">
        <f>IF(OR(LOOKUP(A1380,characters!A:A,characters!B:B)=-1, LOOKUP(A1380,characters!A:A,characters!B:B)+0.1&gt;=B1380),1,0)</f>
        <v/>
      </c>
    </row>
    <row r="1381" spans="1:12">
      <c r="A1381" s="4" t="s">
        <v>43</v>
      </c>
      <c r="B1381" s="7">
        <v>1</v>
      </c>
      <c r="C1381" s="6">
        <f>IF(G1381=1,1.0,0)</f>
        <v/>
      </c>
      <c r="D1381" s="5" t="s">
        <v>17</v>
      </c>
      <c r="E1381" s="5" t="s">
        <v>17</v>
      </c>
      <c r="F1381" s="5" t="s">
        <v>17</v>
      </c>
      <c r="G1381" s="8">
        <f>IF(OR(LOOKUP(A1381,characters!A:A,characters!B:B)=-1, LOOKUP(A1381,characters!A:A,characters!B:B)+0.1&gt;=B1381),1,0)</f>
        <v/>
      </c>
    </row>
    <row r="1388" spans="1:12">
      <c r="A1388" s="3" t="s">
        <v>132</v>
      </c>
    </row>
    <row r="1389" spans="1:12">
      <c r="A1389" s="3" t="s">
        <v>8</v>
      </c>
      <c r="B1389" s="3" t="s">
        <v>9</v>
      </c>
      <c r="C1389" s="3" t="s">
        <v>10</v>
      </c>
      <c r="D1389" s="3" t="s">
        <v>15</v>
      </c>
      <c r="E1389" s="3" t="s">
        <v>11</v>
      </c>
      <c r="F1389" s="3" t="s">
        <v>27</v>
      </c>
      <c r="G1389" s="3" t="s">
        <v>26</v>
      </c>
      <c r="H1389" s="3" t="s">
        <v>12</v>
      </c>
      <c r="I1389" s="3" t="s">
        <v>13</v>
      </c>
      <c r="J1389" s="3" t="s">
        <v>14</v>
      </c>
      <c r="K1389" s="3" t="s">
        <v>28</v>
      </c>
    </row>
    <row r="1390" spans="1:12">
      <c r="A1390" s="4" t="s">
        <v>16</v>
      </c>
      <c r="B1390" s="5" t="s">
        <v>17</v>
      </c>
      <c r="C1390" s="6">
        <f>IF(SUM(L1391:L1402)=0,0,SUM(C1391:C1402)/SUM(L1391:L1402))</f>
        <v/>
      </c>
      <c r="D1390" s="6">
        <f>IF(SUM(L1391:L1402)=0,0,SUM(D1391:D1402)/SUM(L1391:L1402))</f>
        <v/>
      </c>
      <c r="E1390" s="6">
        <f>IF(SUM(L1391:L1402)=0,0,SUM(E1391:E1402)/SUM(L1391:L1402))</f>
        <v/>
      </c>
      <c r="F1390" s="6">
        <f>IF(SUM(L1391:L1402)=0,0,SUM(F1391:F1402)/SUM(L1391:L1402))</f>
        <v/>
      </c>
      <c r="G1390" s="6">
        <f>IF(SUM(L1391:L1402)=0,0,SUM(G1391:G1402)/SUM(L1391:L1402))</f>
        <v/>
      </c>
      <c r="H1390" s="6">
        <f>IF(SUM(L1391:L1402)=0,0,SUM(H1391:H1402)/SUM(L1391:L1402))</f>
        <v/>
      </c>
      <c r="I1390" s="6">
        <f>IF(SUM(L1391:L1402)=0,0,SUM(I1391:I1402)/SUM(L1391:L1402))</f>
        <v/>
      </c>
      <c r="J1390" s="6">
        <f>IF(SUM(L1391:L1402)=0,0,SUM(J1391:J1402)/SUM(L1391:L1402))</f>
        <v/>
      </c>
      <c r="K1390" s="6">
        <f>IF(SUM(L1391:L1402)=0,0,SUM(K1391:K1402)/SUM(L1391:L1402))</f>
        <v/>
      </c>
    </row>
    <row r="1391" spans="1:12">
      <c r="A1391" s="4" t="s">
        <v>77</v>
      </c>
      <c r="B1391" s="7">
        <v>0</v>
      </c>
      <c r="C1391" s="6">
        <f>IF(L1391=1,1.0,0)</f>
        <v/>
      </c>
      <c r="D1391" s="6">
        <f>IF(L1391=1,0.99,0)</f>
        <v/>
      </c>
      <c r="E1391" s="5" t="s">
        <v>17</v>
      </c>
      <c r="F1391" s="5" t="s">
        <v>17</v>
      </c>
      <c r="G1391" s="5" t="s">
        <v>17</v>
      </c>
      <c r="H1391" s="5" t="s">
        <v>17</v>
      </c>
      <c r="I1391" s="5" t="s">
        <v>17</v>
      </c>
      <c r="J1391" s="5" t="s">
        <v>17</v>
      </c>
      <c r="K1391" s="5" t="s">
        <v>17</v>
      </c>
      <c r="L1391" s="8">
        <f>IF(OR(LOOKUP(A1391,characters!A:A,characters!B:B)=-1, LOOKUP(A1391,characters!A:A,characters!B:B)+0.1&gt;=B1391),1,0)</f>
        <v/>
      </c>
    </row>
    <row r="1392" spans="1:12">
      <c r="A1392" s="4" t="s">
        <v>53</v>
      </c>
      <c r="B1392" s="7">
        <v>0</v>
      </c>
      <c r="C1392" s="6">
        <f>IF(L1392=1,1.0,0)</f>
        <v/>
      </c>
      <c r="D1392" s="6">
        <f>IF(L1392=1,0.9,0)</f>
        <v/>
      </c>
      <c r="E1392" s="6">
        <f>IF(L1392=1,0.89,0)</f>
        <v/>
      </c>
      <c r="F1392" s="5" t="s">
        <v>17</v>
      </c>
      <c r="G1392" s="5" t="s">
        <v>17</v>
      </c>
      <c r="H1392" s="5" t="s">
        <v>17</v>
      </c>
      <c r="I1392" s="5" t="s">
        <v>17</v>
      </c>
      <c r="J1392" s="6">
        <f>IF(L1392=1,1.0,0)</f>
        <v/>
      </c>
      <c r="K1392" s="5" t="s">
        <v>17</v>
      </c>
      <c r="L1392" s="8">
        <f>IF(OR(LOOKUP(A1392,characters!A:A,characters!B:B)=-1, LOOKUP(A1392,characters!A:A,characters!B:B)+0.1&gt;=B1392),1,0)</f>
        <v/>
      </c>
    </row>
    <row r="1393" spans="1:12">
      <c r="A1393" s="4" t="s">
        <v>91</v>
      </c>
      <c r="B1393" s="7">
        <v>0</v>
      </c>
      <c r="C1393" s="6">
        <f>IF(L1393=1,1.0,0)</f>
        <v/>
      </c>
      <c r="D1393" s="5" t="s">
        <v>17</v>
      </c>
      <c r="E1393" s="6">
        <f>IF(L1393=1,0.8,0)</f>
        <v/>
      </c>
      <c r="F1393" s="5" t="s">
        <v>17</v>
      </c>
      <c r="G1393" s="5" t="s">
        <v>17</v>
      </c>
      <c r="H1393" s="6">
        <f>IF(L1393=1,0.9,0)</f>
        <v/>
      </c>
      <c r="I1393" s="6">
        <f>IF(L1393=1,0.9,0)</f>
        <v/>
      </c>
      <c r="J1393" s="5" t="s">
        <v>17</v>
      </c>
      <c r="K1393" s="5" t="s">
        <v>17</v>
      </c>
      <c r="L1393" s="8">
        <f>IF(OR(LOOKUP(A1393,characters!A:A,characters!B:B)=-1, LOOKUP(A1393,characters!A:A,characters!B:B)+0.1&gt;=B1393),1,0)</f>
        <v/>
      </c>
    </row>
    <row r="1394" spans="1:12">
      <c r="A1394" s="4" t="s">
        <v>78</v>
      </c>
      <c r="B1394" s="7">
        <v>0</v>
      </c>
      <c r="C1394" s="6">
        <f>IF(L1394=1,1.0,0)</f>
        <v/>
      </c>
      <c r="D1394" s="6">
        <f>IF(L1394=1,0.9,0)</f>
        <v/>
      </c>
      <c r="E1394" s="6">
        <f>IF(L1394=1,0.8,0)</f>
        <v/>
      </c>
      <c r="F1394" s="5" t="s">
        <v>17</v>
      </c>
      <c r="G1394" s="5" t="s">
        <v>17</v>
      </c>
      <c r="H1394" s="5" t="s">
        <v>17</v>
      </c>
      <c r="I1394" s="5" t="s">
        <v>17</v>
      </c>
      <c r="J1394" s="5" t="s">
        <v>17</v>
      </c>
      <c r="K1394" s="5" t="s">
        <v>17</v>
      </c>
      <c r="L1394" s="8">
        <f>IF(OR(LOOKUP(A1394,characters!A:A,characters!B:B)=-1, LOOKUP(A1394,characters!A:A,characters!B:B)+0.1&gt;=B1394),1,0)</f>
        <v/>
      </c>
    </row>
    <row r="1395" spans="1:12">
      <c r="A1395" s="4" t="s">
        <v>118</v>
      </c>
      <c r="B1395" s="7">
        <v>0</v>
      </c>
      <c r="C1395" s="6">
        <f>IF(L1395=1,0.9,0)</f>
        <v/>
      </c>
      <c r="D1395" s="6">
        <f>IF(L1395=1,1.0,0)</f>
        <v/>
      </c>
      <c r="E1395" s="5" t="s">
        <v>17</v>
      </c>
      <c r="F1395" s="6">
        <f>IF(L1395=1,0.8,0)</f>
        <v/>
      </c>
      <c r="G1395" s="6">
        <f>IF(L1395=1,0.8,0)</f>
        <v/>
      </c>
      <c r="H1395" s="5" t="s">
        <v>17</v>
      </c>
      <c r="I1395" s="5" t="s">
        <v>17</v>
      </c>
      <c r="J1395" s="5" t="s">
        <v>17</v>
      </c>
      <c r="K1395" s="6">
        <f>IF(L1395=1,0.7,0)</f>
        <v/>
      </c>
      <c r="L1395" s="8">
        <f>IF(OR(LOOKUP(A1395,characters!A:A,characters!B:B)=-1, LOOKUP(A1395,characters!A:A,characters!B:B)+0.1&gt;=B1395),1,0)</f>
        <v/>
      </c>
    </row>
    <row r="1396" spans="1:12">
      <c r="A1396" s="4" t="s">
        <v>49</v>
      </c>
      <c r="B1396" s="7">
        <v>0</v>
      </c>
      <c r="C1396" s="6">
        <f>IF(L1396=1,1.0,0)</f>
        <v/>
      </c>
      <c r="D1396" s="6">
        <f>IF(L1396=1,0.9,0)</f>
        <v/>
      </c>
      <c r="E1396" s="6">
        <f>IF(L1396=1,0.79,0)</f>
        <v/>
      </c>
      <c r="F1396" s="5" t="s">
        <v>17</v>
      </c>
      <c r="G1396" s="5" t="s">
        <v>17</v>
      </c>
      <c r="H1396" s="6">
        <f>IF(L1396=1,0.89,0)</f>
        <v/>
      </c>
      <c r="I1396" s="6">
        <f>IF(L1396=1,0.89,0)</f>
        <v/>
      </c>
      <c r="J1396" s="5" t="s">
        <v>17</v>
      </c>
      <c r="K1396" s="5" t="s">
        <v>17</v>
      </c>
      <c r="L1396" s="8">
        <f>IF(OR(LOOKUP(A1396,characters!A:A,characters!B:B)=-1, LOOKUP(A1396,characters!A:A,characters!B:B)+0.1&gt;=B1396),1,0)</f>
        <v/>
      </c>
    </row>
    <row r="1397" spans="1:12">
      <c r="A1397" s="4" t="s">
        <v>74</v>
      </c>
      <c r="B1397" s="7">
        <v>0</v>
      </c>
      <c r="C1397" s="6">
        <f>IF(L1397=1,1.0,0)</f>
        <v/>
      </c>
      <c r="D1397" s="6">
        <f>IF(L1397=1,1.0,0)</f>
        <v/>
      </c>
      <c r="E1397" s="5" t="s">
        <v>17</v>
      </c>
      <c r="F1397" s="6">
        <f>IF(L1397=1,0.9,0)</f>
        <v/>
      </c>
      <c r="G1397" s="6">
        <f>IF(L1397=1,0.9,0)</f>
        <v/>
      </c>
      <c r="H1397" s="5" t="s">
        <v>17</v>
      </c>
      <c r="I1397" s="5" t="s">
        <v>17</v>
      </c>
      <c r="J1397" s="5" t="s">
        <v>17</v>
      </c>
      <c r="K1397" s="5" t="s">
        <v>17</v>
      </c>
      <c r="L1397" s="8">
        <f>IF(OR(LOOKUP(A1397,characters!A:A,characters!B:B)=-1, LOOKUP(A1397,characters!A:A,characters!B:B)+0.1&gt;=B1397),1,0)</f>
        <v/>
      </c>
    </row>
    <row r="1398" spans="1:12">
      <c r="A1398" s="4" t="s">
        <v>93</v>
      </c>
      <c r="B1398" s="7">
        <v>0</v>
      </c>
      <c r="C1398" s="6">
        <f>IF(L1398=1,1.0,0)</f>
        <v/>
      </c>
      <c r="D1398" s="6">
        <f>IF(L1398=1,0.9,0)</f>
        <v/>
      </c>
      <c r="E1398" s="6">
        <f>IF(L1398=1,0.79,0)</f>
        <v/>
      </c>
      <c r="F1398" s="5" t="s">
        <v>17</v>
      </c>
      <c r="G1398" s="5" t="s">
        <v>17</v>
      </c>
      <c r="H1398" s="6">
        <f>IF(L1398=1,0.89,0)</f>
        <v/>
      </c>
      <c r="I1398" s="6">
        <f>IF(L1398=1,0.89,0)</f>
        <v/>
      </c>
      <c r="J1398" s="5" t="s">
        <v>17</v>
      </c>
      <c r="K1398" s="5" t="s">
        <v>17</v>
      </c>
      <c r="L1398" s="8">
        <f>IF(OR(LOOKUP(A1398,characters!A:A,characters!B:B)=-1, LOOKUP(A1398,characters!A:A,characters!B:B)+0.1&gt;=B1398),1,0)</f>
        <v/>
      </c>
    </row>
    <row r="1399" spans="1:12">
      <c r="A1399" s="4" t="s">
        <v>100</v>
      </c>
      <c r="B1399" s="7">
        <v>1</v>
      </c>
      <c r="C1399" s="6">
        <f>IF(L1399=1,1.0,0)</f>
        <v/>
      </c>
      <c r="D1399" s="6">
        <f>IF(L1399=1,0.9,0)</f>
        <v/>
      </c>
      <c r="E1399" s="6">
        <f>IF(L1399=1,0.8,0)</f>
        <v/>
      </c>
      <c r="F1399" s="5" t="s">
        <v>17</v>
      </c>
      <c r="G1399" s="5" t="s">
        <v>17</v>
      </c>
      <c r="H1399" s="5" t="s">
        <v>17</v>
      </c>
      <c r="I1399" s="5" t="s">
        <v>17</v>
      </c>
      <c r="J1399" s="5" t="s">
        <v>17</v>
      </c>
      <c r="K1399" s="5" t="s">
        <v>17</v>
      </c>
      <c r="L1399" s="8">
        <f>IF(OR(LOOKUP(A1399,characters!A:A,characters!B:B)=-1, LOOKUP(A1399,characters!A:A,characters!B:B)+0.1&gt;=B1399),1,0)</f>
        <v/>
      </c>
    </row>
    <row r="1400" spans="1:12">
      <c r="A1400" s="4" t="s">
        <v>101</v>
      </c>
      <c r="B1400" s="7">
        <v>1</v>
      </c>
      <c r="C1400" s="6">
        <f>IF(L1400=1,1.0,0)</f>
        <v/>
      </c>
      <c r="D1400" s="6">
        <f>IF(L1400=1,0.9,0)</f>
        <v/>
      </c>
      <c r="E1400" s="5" t="s">
        <v>17</v>
      </c>
      <c r="F1400" s="6">
        <f>IF(L1400=1,0.7,0)</f>
        <v/>
      </c>
      <c r="G1400" s="6">
        <f>IF(L1400=1,0.7,0)</f>
        <v/>
      </c>
      <c r="H1400" s="5" t="s">
        <v>17</v>
      </c>
      <c r="I1400" s="5" t="s">
        <v>17</v>
      </c>
      <c r="J1400" s="5" t="s">
        <v>17</v>
      </c>
      <c r="K1400" s="6">
        <f>IF(L1400=1,0.8,0)</f>
        <v/>
      </c>
      <c r="L1400" s="8">
        <f>IF(OR(LOOKUP(A1400,characters!A:A,characters!B:B)=-1, LOOKUP(A1400,characters!A:A,characters!B:B)+0.1&gt;=B1400),1,0)</f>
        <v/>
      </c>
    </row>
    <row r="1401" spans="1:12">
      <c r="A1401" s="4" t="s">
        <v>102</v>
      </c>
      <c r="B1401" s="7">
        <v>1</v>
      </c>
      <c r="C1401" s="6">
        <f>IF(L1401=1,1.0,0)</f>
        <v/>
      </c>
      <c r="D1401" s="6">
        <f>IF(L1401=1,0.9,0)</f>
        <v/>
      </c>
      <c r="E1401" s="6">
        <f>IF(L1401=1,0.89,0)</f>
        <v/>
      </c>
      <c r="F1401" s="5" t="s">
        <v>17</v>
      </c>
      <c r="G1401" s="5" t="s">
        <v>17</v>
      </c>
      <c r="H1401" s="5" t="s">
        <v>17</v>
      </c>
      <c r="I1401" s="5" t="s">
        <v>17</v>
      </c>
      <c r="J1401" s="5" t="s">
        <v>17</v>
      </c>
      <c r="K1401" s="5" t="s">
        <v>17</v>
      </c>
      <c r="L1401" s="8">
        <f>IF(OR(LOOKUP(A1401,characters!A:A,characters!B:B)=-1, LOOKUP(A1401,characters!A:A,characters!B:B)+0.1&gt;=B1401),1,0)</f>
        <v/>
      </c>
    </row>
    <row r="1402" spans="1:12">
      <c r="A1402" s="4" t="s">
        <v>73</v>
      </c>
      <c r="B1402" s="7">
        <v>1</v>
      </c>
      <c r="C1402" s="6">
        <f>IF(L1402=1,0.8,0)</f>
        <v/>
      </c>
      <c r="D1402" s="6">
        <f>IF(L1402=1,0.9,0)</f>
        <v/>
      </c>
      <c r="E1402" s="5" t="s">
        <v>17</v>
      </c>
      <c r="F1402" s="6">
        <f>IF(L1402=1,0.7,0)</f>
        <v/>
      </c>
      <c r="G1402" s="6">
        <f>IF(L1402=1,0.7,0)</f>
        <v/>
      </c>
      <c r="H1402" s="5" t="s">
        <v>17</v>
      </c>
      <c r="I1402" s="5" t="s">
        <v>17</v>
      </c>
      <c r="J1402" s="6">
        <f>IF(L1402=1,1.0,0)</f>
        <v/>
      </c>
      <c r="K1402" s="5" t="s">
        <v>17</v>
      </c>
      <c r="L1402" s="8">
        <f>IF(OR(LOOKUP(A1402,characters!A:A,characters!B:B)=-1, LOOKUP(A1402,characters!A:A,characters!B:B)+0.1&gt;=B1402),1,0)</f>
        <v/>
      </c>
    </row>
    <row r="1404" spans="1:12">
      <c r="A1404" s="3" t="s">
        <v>30</v>
      </c>
      <c r="B1404" s="3" t="s">
        <v>9</v>
      </c>
      <c r="C1404" s="3" t="s">
        <v>11</v>
      </c>
      <c r="D1404" s="3" t="s">
        <v>27</v>
      </c>
      <c r="E1404" s="3" t="s">
        <v>26</v>
      </c>
      <c r="F1404" s="3" t="s">
        <v>63</v>
      </c>
      <c r="G1404" s="3" t="s">
        <v>45</v>
      </c>
      <c r="H1404" s="3" t="s">
        <v>46</v>
      </c>
    </row>
    <row r="1405" spans="1:12">
      <c r="A1405" s="4" t="s">
        <v>16</v>
      </c>
      <c r="B1405" s="5" t="s">
        <v>17</v>
      </c>
      <c r="C1405" s="6">
        <f>IF(SUM(I1406:I1417)=0,0,SUM(C1406:C1417)/SUM(I1406:I1417))</f>
        <v/>
      </c>
      <c r="D1405" s="6">
        <f>IF(SUM(I1406:I1417)=0,0,SUM(D1406:D1417)/SUM(I1406:I1417))</f>
        <v/>
      </c>
      <c r="E1405" s="6">
        <f>IF(SUM(I1406:I1417)=0,0,SUM(E1406:E1417)/SUM(I1406:I1417))</f>
        <v/>
      </c>
      <c r="F1405" s="6">
        <f>IF(SUM(I1406:I1417)=0,0,SUM(F1406:F1417)/SUM(I1406:I1417))</f>
        <v/>
      </c>
      <c r="G1405" s="6">
        <f>IF(SUM(I1406:I1417)=0,0,SUM(G1406:G1417)/SUM(I1406:I1417))</f>
        <v/>
      </c>
      <c r="H1405" s="6">
        <f>IF(SUM(I1406:I1417)=0,0,SUM(H1406:H1417)/SUM(I1406:I1417))</f>
        <v/>
      </c>
    </row>
    <row r="1406" spans="1:12">
      <c r="A1406" s="4" t="s">
        <v>77</v>
      </c>
      <c r="B1406" s="7">
        <v>0</v>
      </c>
      <c r="C1406" s="5" t="s">
        <v>17</v>
      </c>
      <c r="D1406" s="5" t="s">
        <v>17</v>
      </c>
      <c r="E1406" s="5" t="s">
        <v>17</v>
      </c>
      <c r="F1406" s="5" t="s">
        <v>17</v>
      </c>
      <c r="G1406" s="5" t="s">
        <v>17</v>
      </c>
      <c r="H1406" s="5" t="s">
        <v>17</v>
      </c>
      <c r="I1406" s="8">
        <f>IF(OR(LOOKUP(A1406,characters!A:A,characters!B:B)=-1, LOOKUP(A1406,characters!A:A,characters!B:B)+0.1&gt;=B1406),1,0)</f>
        <v/>
      </c>
    </row>
    <row r="1407" spans="1:12">
      <c r="A1407" s="4" t="s">
        <v>100</v>
      </c>
      <c r="B1407" s="7">
        <v>1</v>
      </c>
      <c r="C1407" s="6">
        <f>IF(I1407=1,1.0,0)</f>
        <v/>
      </c>
      <c r="D1407" s="5" t="s">
        <v>17</v>
      </c>
      <c r="E1407" s="5" t="s">
        <v>17</v>
      </c>
      <c r="F1407" s="5" t="s">
        <v>17</v>
      </c>
      <c r="G1407" s="5" t="s">
        <v>17</v>
      </c>
      <c r="H1407" s="5" t="s">
        <v>17</v>
      </c>
      <c r="I1407" s="8">
        <f>IF(OR(LOOKUP(A1407,characters!A:A,characters!B:B)=-1, LOOKUP(A1407,characters!A:A,characters!B:B)+0.1&gt;=B1407),1,0)</f>
        <v/>
      </c>
    </row>
    <row r="1408" spans="1:12">
      <c r="A1408" s="4" t="s">
        <v>101</v>
      </c>
      <c r="B1408" s="7">
        <v>1</v>
      </c>
      <c r="C1408" s="5" t="s">
        <v>17</v>
      </c>
      <c r="D1408" s="6">
        <f>IF(I1408=1,1.0,0)</f>
        <v/>
      </c>
      <c r="E1408" s="6">
        <f>IF(I1408=1,0.99,0)</f>
        <v/>
      </c>
      <c r="F1408" s="5" t="s">
        <v>17</v>
      </c>
      <c r="G1408" s="5" t="s">
        <v>17</v>
      </c>
      <c r="H1408" s="5" t="s">
        <v>17</v>
      </c>
      <c r="I1408" s="8">
        <f>IF(OR(LOOKUP(A1408,characters!A:A,characters!B:B)=-1, LOOKUP(A1408,characters!A:A,characters!B:B)+0.1&gt;=B1408),1,0)</f>
        <v/>
      </c>
    </row>
    <row r="1409" spans="1:9">
      <c r="A1409" s="4" t="s">
        <v>102</v>
      </c>
      <c r="B1409" s="7">
        <v>1</v>
      </c>
      <c r="C1409" s="6">
        <f>IF(I1409=1,1.0,0)</f>
        <v/>
      </c>
      <c r="D1409" s="5" t="s">
        <v>17</v>
      </c>
      <c r="E1409" s="5" t="s">
        <v>17</v>
      </c>
      <c r="F1409" s="5" t="s">
        <v>17</v>
      </c>
      <c r="G1409" s="5" t="s">
        <v>17</v>
      </c>
      <c r="H1409" s="5" t="s">
        <v>17</v>
      </c>
      <c r="I1409" s="8">
        <f>IF(OR(LOOKUP(A1409,characters!A:A,characters!B:B)=-1, LOOKUP(A1409,characters!A:A,characters!B:B)+0.1&gt;=B1409),1,0)</f>
        <v/>
      </c>
    </row>
    <row r="1410" spans="1:9">
      <c r="A1410" s="4" t="s">
        <v>53</v>
      </c>
      <c r="B1410" s="7">
        <v>0</v>
      </c>
      <c r="C1410" s="6">
        <f>IF(I1410=1,0.9,0)</f>
        <v/>
      </c>
      <c r="D1410" s="5" t="s">
        <v>17</v>
      </c>
      <c r="E1410" s="5" t="s">
        <v>17</v>
      </c>
      <c r="F1410" s="6">
        <f>IF(I1410=1,1.0,0)</f>
        <v/>
      </c>
      <c r="G1410" s="5" t="s">
        <v>17</v>
      </c>
      <c r="H1410" s="5" t="s">
        <v>17</v>
      </c>
      <c r="I1410" s="8">
        <f>IF(OR(LOOKUP(A1410,characters!A:A,characters!B:B)=-1, LOOKUP(A1410,characters!A:A,characters!B:B)+0.1&gt;=B1410),1,0)</f>
        <v/>
      </c>
    </row>
    <row r="1411" spans="1:9">
      <c r="A1411" s="4" t="s">
        <v>91</v>
      </c>
      <c r="B1411" s="7">
        <v>0</v>
      </c>
      <c r="C1411" s="6">
        <f>IF(I1411=1,0.99,0)</f>
        <v/>
      </c>
      <c r="D1411" s="5" t="s">
        <v>17</v>
      </c>
      <c r="E1411" s="5" t="s">
        <v>17</v>
      </c>
      <c r="F1411" s="5" t="s">
        <v>17</v>
      </c>
      <c r="G1411" s="6">
        <f>IF(I1411=1,1.0,0)</f>
        <v/>
      </c>
      <c r="H1411" s="5" t="s">
        <v>17</v>
      </c>
      <c r="I1411" s="8">
        <f>IF(OR(LOOKUP(A1411,characters!A:A,characters!B:B)=-1, LOOKUP(A1411,characters!A:A,characters!B:B)+0.1&gt;=B1411),1,0)</f>
        <v/>
      </c>
    </row>
    <row r="1412" spans="1:9">
      <c r="A1412" s="4" t="s">
        <v>78</v>
      </c>
      <c r="B1412" s="7">
        <v>0</v>
      </c>
      <c r="C1412" s="6">
        <f>IF(I1412=1,1.0,0)</f>
        <v/>
      </c>
      <c r="D1412" s="5" t="s">
        <v>17</v>
      </c>
      <c r="E1412" s="5" t="s">
        <v>17</v>
      </c>
      <c r="F1412" s="5" t="s">
        <v>17</v>
      </c>
      <c r="G1412" s="5" t="s">
        <v>17</v>
      </c>
      <c r="H1412" s="5" t="s">
        <v>17</v>
      </c>
      <c r="I1412" s="8">
        <f>IF(OR(LOOKUP(A1412,characters!A:A,characters!B:B)=-1, LOOKUP(A1412,characters!A:A,characters!B:B)+0.1&gt;=B1412),1,0)</f>
        <v/>
      </c>
    </row>
    <row r="1413" spans="1:9">
      <c r="A1413" s="4" t="s">
        <v>118</v>
      </c>
      <c r="B1413" s="7">
        <v>0</v>
      </c>
      <c r="C1413" s="5" t="s">
        <v>17</v>
      </c>
      <c r="D1413" s="6">
        <f>IF(I1413=1,1.0,0)</f>
        <v/>
      </c>
      <c r="E1413" s="6">
        <f>IF(I1413=1,0.9,0)</f>
        <v/>
      </c>
      <c r="F1413" s="5" t="s">
        <v>17</v>
      </c>
      <c r="G1413" s="5" t="s">
        <v>17</v>
      </c>
      <c r="H1413" s="5" t="s">
        <v>17</v>
      </c>
      <c r="I1413" s="8">
        <f>IF(OR(LOOKUP(A1413,characters!A:A,characters!B:B)=-1, LOOKUP(A1413,characters!A:A,characters!B:B)+0.1&gt;=B1413),1,0)</f>
        <v/>
      </c>
    </row>
    <row r="1414" spans="1:9">
      <c r="A1414" s="4" t="s">
        <v>49</v>
      </c>
      <c r="B1414" s="7">
        <v>0</v>
      </c>
      <c r="C1414" s="6">
        <f>IF(I1414=1,0.99,0)</f>
        <v/>
      </c>
      <c r="D1414" s="5" t="s">
        <v>17</v>
      </c>
      <c r="E1414" s="5" t="s">
        <v>17</v>
      </c>
      <c r="F1414" s="6">
        <f>IF(I1414=1,1.0,0)</f>
        <v/>
      </c>
      <c r="G1414" s="5" t="s">
        <v>17</v>
      </c>
      <c r="H1414" s="5" t="s">
        <v>17</v>
      </c>
      <c r="I1414" s="8">
        <f>IF(OR(LOOKUP(A1414,characters!A:A,characters!B:B)=-1, LOOKUP(A1414,characters!A:A,characters!B:B)+0.1&gt;=B1414),1,0)</f>
        <v/>
      </c>
    </row>
    <row r="1415" spans="1:9">
      <c r="A1415" s="4" t="s">
        <v>73</v>
      </c>
      <c r="B1415" s="7">
        <v>1</v>
      </c>
      <c r="C1415" s="5" t="s">
        <v>17</v>
      </c>
      <c r="D1415" s="6">
        <f>IF(I1415=1,1.0,0)</f>
        <v/>
      </c>
      <c r="E1415" s="6">
        <f>IF(I1415=1,1.0,0)</f>
        <v/>
      </c>
      <c r="F1415" s="5" t="s">
        <v>17</v>
      </c>
      <c r="G1415" s="5" t="s">
        <v>17</v>
      </c>
      <c r="H1415" s="5" t="s">
        <v>17</v>
      </c>
      <c r="I1415" s="8">
        <f>IF(OR(LOOKUP(A1415,characters!A:A,characters!B:B)=-1, LOOKUP(A1415,characters!A:A,characters!B:B)+0.1&gt;=B1415),1,0)</f>
        <v/>
      </c>
    </row>
    <row r="1416" spans="1:9">
      <c r="A1416" s="4" t="s">
        <v>74</v>
      </c>
      <c r="B1416" s="7">
        <v>0</v>
      </c>
      <c r="C1416" s="5" t="s">
        <v>17</v>
      </c>
      <c r="D1416" s="6">
        <f>IF(I1416=1,1.0,0)</f>
        <v/>
      </c>
      <c r="E1416" s="6">
        <f>IF(I1416=1,0.9,0)</f>
        <v/>
      </c>
      <c r="F1416" s="5" t="s">
        <v>17</v>
      </c>
      <c r="G1416" s="5" t="s">
        <v>17</v>
      </c>
      <c r="H1416" s="5" t="s">
        <v>17</v>
      </c>
      <c r="I1416" s="8">
        <f>IF(OR(LOOKUP(A1416,characters!A:A,characters!B:B)=-1, LOOKUP(A1416,characters!A:A,characters!B:B)+0.1&gt;=B1416),1,0)</f>
        <v/>
      </c>
    </row>
    <row r="1417" spans="1:9">
      <c r="A1417" s="4" t="s">
        <v>93</v>
      </c>
      <c r="B1417" s="7">
        <v>0</v>
      </c>
      <c r="C1417" s="6">
        <f>IF(I1417=1,1.0,0)</f>
        <v/>
      </c>
      <c r="D1417" s="5" t="s">
        <v>17</v>
      </c>
      <c r="E1417" s="5" t="s">
        <v>17</v>
      </c>
      <c r="F1417" s="5" t="s">
        <v>17</v>
      </c>
      <c r="G1417" s="5" t="s">
        <v>17</v>
      </c>
      <c r="H1417" s="6">
        <f>IF(I1417=1,0.9,0)</f>
        <v/>
      </c>
      <c r="I1417" s="8">
        <f>IF(OR(LOOKUP(A1417,characters!A:A,characters!B:B)=-1, LOOKUP(A1417,characters!A:A,characters!B:B)+0.1&gt;=B1417),1,0)</f>
        <v/>
      </c>
    </row>
    <row r="1419" spans="1:9">
      <c r="A1419" s="3" t="s">
        <v>31</v>
      </c>
      <c r="B1419" s="3" t="s">
        <v>9</v>
      </c>
      <c r="C1419" s="3" t="s">
        <v>15</v>
      </c>
      <c r="D1419" s="3" t="s">
        <v>32</v>
      </c>
      <c r="E1419" s="3" t="s">
        <v>11</v>
      </c>
    </row>
    <row r="1420" spans="1:9">
      <c r="A1420" s="4" t="s">
        <v>16</v>
      </c>
      <c r="B1420" s="5" t="s">
        <v>17</v>
      </c>
      <c r="C1420" s="6">
        <f>IF(SUM(F1421:F1432)=0,0,SUM(C1421:C1432)/SUM(F1421:F1432))</f>
        <v/>
      </c>
      <c r="D1420" s="6">
        <f>IF(SUM(F1421:F1432)=0,0,SUM(D1421:D1432)/SUM(F1421:F1432))</f>
        <v/>
      </c>
      <c r="E1420" s="6">
        <f>IF(SUM(F1421:F1432)=0,0,SUM(E1421:E1432)/SUM(F1421:F1432))</f>
        <v/>
      </c>
    </row>
    <row r="1421" spans="1:9">
      <c r="A1421" s="4" t="s">
        <v>77</v>
      </c>
      <c r="B1421" s="7">
        <v>0</v>
      </c>
      <c r="C1421" s="6">
        <f>IF(F1421=1,1.0,0)</f>
        <v/>
      </c>
      <c r="D1421" s="5" t="s">
        <v>17</v>
      </c>
      <c r="E1421" s="5" t="s">
        <v>17</v>
      </c>
      <c r="F1421" s="8">
        <f>IF(OR(LOOKUP(A1421,characters!A:A,characters!B:B)=-1, LOOKUP(A1421,characters!A:A,characters!B:B)+0.1&gt;=B1421),1,0)</f>
        <v/>
      </c>
    </row>
    <row r="1422" spans="1:9">
      <c r="A1422" s="4" t="s">
        <v>100</v>
      </c>
      <c r="B1422" s="7">
        <v>1</v>
      </c>
      <c r="C1422" s="6">
        <f>IF(F1422=1,1.0,0)</f>
        <v/>
      </c>
      <c r="D1422" s="5" t="s">
        <v>17</v>
      </c>
      <c r="E1422" s="5" t="s">
        <v>17</v>
      </c>
      <c r="F1422" s="8">
        <f>IF(OR(LOOKUP(A1422,characters!A:A,characters!B:B)=-1, LOOKUP(A1422,characters!A:A,characters!B:B)+0.1&gt;=B1422),1,0)</f>
        <v/>
      </c>
    </row>
    <row r="1423" spans="1:9">
      <c r="A1423" s="4" t="s">
        <v>101</v>
      </c>
      <c r="B1423" s="7">
        <v>1</v>
      </c>
      <c r="C1423" s="5" t="s">
        <v>17</v>
      </c>
      <c r="D1423" s="6">
        <f>IF(F1423=1,1.0,0)</f>
        <v/>
      </c>
      <c r="E1423" s="5" t="s">
        <v>17</v>
      </c>
      <c r="F1423" s="8">
        <f>IF(OR(LOOKUP(A1423,characters!A:A,characters!B:B)=-1, LOOKUP(A1423,characters!A:A,characters!B:B)+0.1&gt;=B1423),1,0)</f>
        <v/>
      </c>
    </row>
    <row r="1424" spans="1:9">
      <c r="A1424" s="4" t="s">
        <v>102</v>
      </c>
      <c r="B1424" s="7">
        <v>1</v>
      </c>
      <c r="C1424" s="6">
        <f>IF(F1424=1,1.0,0)</f>
        <v/>
      </c>
      <c r="D1424" s="6">
        <f>IF(F1424=1,1.0,0)</f>
        <v/>
      </c>
      <c r="E1424" s="5" t="s">
        <v>17</v>
      </c>
      <c r="F1424" s="8">
        <f>IF(OR(LOOKUP(A1424,characters!A:A,characters!B:B)=-1, LOOKUP(A1424,characters!A:A,characters!B:B)+0.1&gt;=B1424),1,0)</f>
        <v/>
      </c>
    </row>
    <row r="1425" spans="1:6">
      <c r="A1425" s="4" t="s">
        <v>53</v>
      </c>
      <c r="B1425" s="7">
        <v>0</v>
      </c>
      <c r="C1425" s="6">
        <f>IF(F1425=1,1.0,0)</f>
        <v/>
      </c>
      <c r="D1425" s="5" t="s">
        <v>17</v>
      </c>
      <c r="E1425" s="6">
        <f>IF(F1425=1,0.99,0)</f>
        <v/>
      </c>
      <c r="F1425" s="8">
        <f>IF(OR(LOOKUP(A1425,characters!A:A,characters!B:B)=-1, LOOKUP(A1425,characters!A:A,characters!B:B)+0.1&gt;=B1425),1,0)</f>
        <v/>
      </c>
    </row>
    <row r="1426" spans="1:6">
      <c r="A1426" s="4" t="s">
        <v>91</v>
      </c>
      <c r="B1426" s="7">
        <v>0</v>
      </c>
      <c r="C1426" s="5" t="s">
        <v>17</v>
      </c>
      <c r="D1426" s="5" t="s">
        <v>17</v>
      </c>
      <c r="E1426" s="6">
        <f>IF(F1426=1,1.0,0)</f>
        <v/>
      </c>
      <c r="F1426" s="8">
        <f>IF(OR(LOOKUP(A1426,characters!A:A,characters!B:B)=-1, LOOKUP(A1426,characters!A:A,characters!B:B)+0.1&gt;=B1426),1,0)</f>
        <v/>
      </c>
    </row>
    <row r="1427" spans="1:6">
      <c r="A1427" s="4" t="s">
        <v>78</v>
      </c>
      <c r="B1427" s="7">
        <v>0</v>
      </c>
      <c r="C1427" s="6">
        <f>IF(F1427=1,1.0,0)</f>
        <v/>
      </c>
      <c r="D1427" s="6">
        <f>IF(F1427=1,0.99,0)</f>
        <v/>
      </c>
      <c r="E1427" s="5" t="s">
        <v>17</v>
      </c>
      <c r="F1427" s="8">
        <f>IF(OR(LOOKUP(A1427,characters!A:A,characters!B:B)=-1, LOOKUP(A1427,characters!A:A,characters!B:B)+0.1&gt;=B1427),1,0)</f>
        <v/>
      </c>
    </row>
    <row r="1428" spans="1:6">
      <c r="A1428" s="4" t="s">
        <v>118</v>
      </c>
      <c r="B1428" s="7">
        <v>0</v>
      </c>
      <c r="C1428" s="6">
        <f>IF(F1428=1,0.9,0)</f>
        <v/>
      </c>
      <c r="D1428" s="6">
        <f>IF(F1428=1,1.0,0)</f>
        <v/>
      </c>
      <c r="E1428" s="5" t="s">
        <v>17</v>
      </c>
      <c r="F1428" s="8">
        <f>IF(OR(LOOKUP(A1428,characters!A:A,characters!B:B)=-1, LOOKUP(A1428,characters!A:A,characters!B:B)+0.1&gt;=B1428),1,0)</f>
        <v/>
      </c>
    </row>
    <row r="1429" spans="1:6">
      <c r="A1429" s="4" t="s">
        <v>49</v>
      </c>
      <c r="B1429" s="7">
        <v>0</v>
      </c>
      <c r="C1429" s="6">
        <f>IF(F1429=1,1.0,0)</f>
        <v/>
      </c>
      <c r="D1429" s="5" t="s">
        <v>17</v>
      </c>
      <c r="E1429" s="6">
        <f>IF(F1429=1,1.0,0)</f>
        <v/>
      </c>
      <c r="F1429" s="8">
        <f>IF(OR(LOOKUP(A1429,characters!A:A,characters!B:B)=-1, LOOKUP(A1429,characters!A:A,characters!B:B)+0.1&gt;=B1429),1,0)</f>
        <v/>
      </c>
    </row>
    <row r="1430" spans="1:6">
      <c r="A1430" s="4" t="s">
        <v>73</v>
      </c>
      <c r="B1430" s="7">
        <v>1</v>
      </c>
      <c r="C1430" s="6">
        <f>IF(F1430=1,1.0,0)</f>
        <v/>
      </c>
      <c r="D1430" s="6">
        <f>IF(F1430=1,1.0,0)</f>
        <v/>
      </c>
      <c r="E1430" s="5" t="s">
        <v>17</v>
      </c>
      <c r="F1430" s="8">
        <f>IF(OR(LOOKUP(A1430,characters!A:A,characters!B:B)=-1, LOOKUP(A1430,characters!A:A,characters!B:B)+0.1&gt;=B1430),1,0)</f>
        <v/>
      </c>
    </row>
    <row r="1431" spans="1:6">
      <c r="A1431" s="4" t="s">
        <v>74</v>
      </c>
      <c r="B1431" s="7">
        <v>0</v>
      </c>
      <c r="C1431" s="6">
        <f>IF(F1431=1,1.0,0)</f>
        <v/>
      </c>
      <c r="D1431" s="6">
        <f>IF(F1431=1,0.9,0)</f>
        <v/>
      </c>
      <c r="E1431" s="5" t="s">
        <v>17</v>
      </c>
      <c r="F1431" s="8">
        <f>IF(OR(LOOKUP(A1431,characters!A:A,characters!B:B)=-1, LOOKUP(A1431,characters!A:A,characters!B:B)+0.1&gt;=B1431),1,0)</f>
        <v/>
      </c>
    </row>
    <row r="1432" spans="1:6">
      <c r="A1432" s="4" t="s">
        <v>93</v>
      </c>
      <c r="B1432" s="7">
        <v>0</v>
      </c>
      <c r="C1432" s="6">
        <f>IF(F1432=1,1.0,0)</f>
        <v/>
      </c>
      <c r="D1432" s="5" t="s">
        <v>17</v>
      </c>
      <c r="E1432" s="5" t="s">
        <v>17</v>
      </c>
      <c r="F1432" s="8">
        <f>IF(OR(LOOKUP(A1432,characters!A:A,characters!B:B)=-1, LOOKUP(A1432,characters!A:A,characters!B:B)+0.1&gt;=B1432),1,0)</f>
        <v/>
      </c>
    </row>
    <row r="1439" spans="1:6">
      <c r="A1439" s="3" t="s">
        <v>133</v>
      </c>
    </row>
    <row r="1440" spans="1:6">
      <c r="A1440" s="3" t="s">
        <v>8</v>
      </c>
      <c r="B1440" s="3" t="s">
        <v>9</v>
      </c>
      <c r="C1440" s="3" t="s">
        <v>12</v>
      </c>
      <c r="D1440" s="3" t="s">
        <v>13</v>
      </c>
      <c r="E1440" s="3" t="s">
        <v>10</v>
      </c>
      <c r="F1440" s="3" t="s">
        <v>11</v>
      </c>
    </row>
    <row r="1441" spans="1:7">
      <c r="A1441" s="4" t="s">
        <v>16</v>
      </c>
      <c r="B1441" s="5" t="s">
        <v>17</v>
      </c>
      <c r="C1441" s="6">
        <f>IF(SUM(G1442:G1450)=0,0,SUM(C1442:C1450)/SUM(G1442:G1450))</f>
        <v/>
      </c>
      <c r="D1441" s="6">
        <f>IF(SUM(G1442:G1450)=0,0,SUM(D1442:D1450)/SUM(G1442:G1450))</f>
        <v/>
      </c>
      <c r="E1441" s="6">
        <f>IF(SUM(G1442:G1450)=0,0,SUM(E1442:E1450)/SUM(G1442:G1450))</f>
        <v/>
      </c>
      <c r="F1441" s="6">
        <f>IF(SUM(G1442:G1450)=0,0,SUM(F1442:F1450)/SUM(G1442:G1450))</f>
        <v/>
      </c>
    </row>
    <row r="1442" spans="1:7">
      <c r="A1442" s="4" t="s">
        <v>59</v>
      </c>
      <c r="B1442" s="7">
        <v>0</v>
      </c>
      <c r="C1442" s="6">
        <f>IF(G1442=1,1.0,0)</f>
        <v/>
      </c>
      <c r="D1442" s="6">
        <f>IF(G1442=1,1.0,0)</f>
        <v/>
      </c>
      <c r="E1442" s="6">
        <f>IF(G1442=1,1.0,0)</f>
        <v/>
      </c>
      <c r="F1442" s="6">
        <f>IF(G1442=1,0.9,0)</f>
        <v/>
      </c>
      <c r="G1442" s="8">
        <f>IF(OR(LOOKUP(A1442,characters!A:A,characters!B:B)=-1, LOOKUP(A1442,characters!A:A,characters!B:B)+0.1&gt;=B1442),1,0)</f>
        <v/>
      </c>
    </row>
    <row r="1443" spans="1:7">
      <c r="A1443" s="4" t="s">
        <v>60</v>
      </c>
      <c r="B1443" s="7">
        <v>0</v>
      </c>
      <c r="C1443" s="6">
        <f>IF(G1443=1,1.0,0)</f>
        <v/>
      </c>
      <c r="D1443" s="6">
        <f>IF(G1443=1,1.0,0)</f>
        <v/>
      </c>
      <c r="E1443" s="6">
        <f>IF(G1443=1,1.0,0)</f>
        <v/>
      </c>
      <c r="F1443" s="6">
        <f>IF(G1443=1,0.9,0)</f>
        <v/>
      </c>
      <c r="G1443" s="8">
        <f>IF(OR(LOOKUP(A1443,characters!A:A,characters!B:B)=-1, LOOKUP(A1443,characters!A:A,characters!B:B)+0.1&gt;=B1443),1,0)</f>
        <v/>
      </c>
    </row>
    <row r="1444" spans="1:7">
      <c r="A1444" s="4" t="s">
        <v>19</v>
      </c>
      <c r="B1444" s="7">
        <v>0</v>
      </c>
      <c r="C1444" s="6">
        <f>IF(G1444=1,0.9,0)</f>
        <v/>
      </c>
      <c r="D1444" s="6">
        <f>IF(G1444=1,0.9,0)</f>
        <v/>
      </c>
      <c r="E1444" s="6">
        <f>IF(G1444=1,1.0,0)</f>
        <v/>
      </c>
      <c r="F1444" s="6">
        <f>IF(G1444=1,0.8,0)</f>
        <v/>
      </c>
      <c r="G1444" s="8">
        <f>IF(OR(LOOKUP(A1444,characters!A:A,characters!B:B)=-1, LOOKUP(A1444,characters!A:A,characters!B:B)+0.1&gt;=B1444),1,0)</f>
        <v/>
      </c>
    </row>
    <row r="1445" spans="1:7">
      <c r="A1445" s="4" t="s">
        <v>58</v>
      </c>
      <c r="B1445" s="7">
        <v>0</v>
      </c>
      <c r="C1445" s="6">
        <f>IF(G1445=1,0.9,0)</f>
        <v/>
      </c>
      <c r="D1445" s="6">
        <f>IF(G1445=1,0.9,0)</f>
        <v/>
      </c>
      <c r="E1445" s="6">
        <f>IF(G1445=1,1.0,0)</f>
        <v/>
      </c>
      <c r="F1445" s="6">
        <f>IF(G1445=1,0.8,0)</f>
        <v/>
      </c>
      <c r="G1445" s="8">
        <f>IF(OR(LOOKUP(A1445,characters!A:A,characters!B:B)=-1, LOOKUP(A1445,characters!A:A,characters!B:B)+0.1&gt;=B1445),1,0)</f>
        <v/>
      </c>
    </row>
    <row r="1446" spans="1:7">
      <c r="A1446" s="4" t="s">
        <v>56</v>
      </c>
      <c r="B1446" s="7">
        <v>1</v>
      </c>
      <c r="C1446" s="6">
        <f>IF(G1446=1,1.0,0)</f>
        <v/>
      </c>
      <c r="D1446" s="6">
        <f>IF(G1446=1,1.0,0)</f>
        <v/>
      </c>
      <c r="E1446" s="6">
        <f>IF(G1446=1,1.0,0)</f>
        <v/>
      </c>
      <c r="F1446" s="6">
        <f>IF(G1446=1,0.9,0)</f>
        <v/>
      </c>
      <c r="G1446" s="8">
        <f>IF(OR(LOOKUP(A1446,characters!A:A,characters!B:B)=-1, LOOKUP(A1446,characters!A:A,characters!B:B)+0.1&gt;=B1446),1,0)</f>
        <v/>
      </c>
    </row>
    <row r="1447" spans="1:7">
      <c r="A1447" s="4" t="s">
        <v>57</v>
      </c>
      <c r="B1447" s="7">
        <v>1</v>
      </c>
      <c r="C1447" s="6">
        <f>IF(G1447=1,1.0,0)</f>
        <v/>
      </c>
      <c r="D1447" s="6">
        <f>IF(G1447=1,0.99,0)</f>
        <v/>
      </c>
      <c r="E1447" s="6">
        <f>IF(G1447=1,1.0,0)</f>
        <v/>
      </c>
      <c r="F1447" s="6">
        <f>IF(G1447=1,0.89,0)</f>
        <v/>
      </c>
      <c r="G1447" s="8">
        <f>IF(OR(LOOKUP(A1447,characters!A:A,characters!B:B)=-1, LOOKUP(A1447,characters!A:A,characters!B:B)+0.1&gt;=B1447),1,0)</f>
        <v/>
      </c>
    </row>
    <row r="1448" spans="1:7">
      <c r="A1448" s="4" t="s">
        <v>55</v>
      </c>
      <c r="B1448" s="7">
        <v>2</v>
      </c>
      <c r="C1448" s="6">
        <f>IF(G1448=1,0.9,0)</f>
        <v/>
      </c>
      <c r="D1448" s="6">
        <f>IF(G1448=1,0.9,0)</f>
        <v/>
      </c>
      <c r="E1448" s="6">
        <f>IF(G1448=1,1.0,0)</f>
        <v/>
      </c>
      <c r="F1448" s="6">
        <f>IF(G1448=1,0.8,0)</f>
        <v/>
      </c>
      <c r="G1448" s="8">
        <f>IF(OR(LOOKUP(A1448,characters!A:A,characters!B:B)=-1, LOOKUP(A1448,characters!A:A,characters!B:B)+0.1&gt;=B1448),1,0)</f>
        <v/>
      </c>
    </row>
    <row r="1449" spans="1:7">
      <c r="A1449" s="4" t="s">
        <v>62</v>
      </c>
      <c r="B1449" s="7">
        <v>2</v>
      </c>
      <c r="C1449" s="6">
        <f>IF(G1449=1,1.0,0)</f>
        <v/>
      </c>
      <c r="D1449" s="6">
        <f>IF(G1449=1,0.99,0)</f>
        <v/>
      </c>
      <c r="E1449" s="6">
        <f>IF(G1449=1,0.79,0)</f>
        <v/>
      </c>
      <c r="F1449" s="6">
        <f>IF(G1449=1,0.89,0)</f>
        <v/>
      </c>
      <c r="G1449" s="8">
        <f>IF(OR(LOOKUP(A1449,characters!A:A,characters!B:B)=-1, LOOKUP(A1449,characters!A:A,characters!B:B)+0.1&gt;=B1449),1,0)</f>
        <v/>
      </c>
    </row>
    <row r="1450" spans="1:7">
      <c r="A1450" s="4" t="s">
        <v>61</v>
      </c>
      <c r="B1450" s="7">
        <v>2</v>
      </c>
      <c r="C1450" s="6">
        <f>IF(G1450=1,1.0,0)</f>
        <v/>
      </c>
      <c r="D1450" s="6">
        <f>IF(G1450=1,1.0,0)</f>
        <v/>
      </c>
      <c r="E1450" s="5" t="s">
        <v>17</v>
      </c>
      <c r="F1450" s="6">
        <f>IF(G1450=1,0.9,0)</f>
        <v/>
      </c>
      <c r="G1450" s="8">
        <f>IF(OR(LOOKUP(A1450,characters!A:A,characters!B:B)=-1, LOOKUP(A1450,characters!A:A,characters!B:B)+0.1&gt;=B1450),1,0)</f>
        <v/>
      </c>
    </row>
    <row r="1452" spans="1:7">
      <c r="A1452" s="3" t="s">
        <v>23</v>
      </c>
      <c r="B1452" s="3" t="s">
        <v>9</v>
      </c>
      <c r="C1452" s="3" t="s">
        <v>12</v>
      </c>
      <c r="D1452" s="3" t="s">
        <v>13</v>
      </c>
    </row>
    <row r="1453" spans="1:7">
      <c r="A1453" s="4" t="s">
        <v>16</v>
      </c>
      <c r="B1453" s="5" t="s">
        <v>17</v>
      </c>
      <c r="C1453" s="6">
        <f>IF(SUM(E1454:E1462)=0,0,SUM(C1454:C1462)/SUM(E1454:E1462))</f>
        <v/>
      </c>
      <c r="D1453" s="6">
        <f>IF(SUM(E1454:E1462)=0,0,SUM(D1454:D1462)/SUM(E1454:E1462))</f>
        <v/>
      </c>
    </row>
    <row r="1454" spans="1:7">
      <c r="A1454" s="4" t="s">
        <v>55</v>
      </c>
      <c r="B1454" s="7">
        <v>2</v>
      </c>
      <c r="C1454" s="6">
        <f>IF(E1454=1,1.0,0)</f>
        <v/>
      </c>
      <c r="D1454" s="6">
        <f>IF(E1454=1,0.99,0)</f>
        <v/>
      </c>
      <c r="E1454" s="8">
        <f>IF(OR(LOOKUP(A1454,characters!A:A,characters!B:B)=-1, LOOKUP(A1454,characters!A:A,characters!B:B)+0.1&gt;=B1454),1,0)</f>
        <v/>
      </c>
    </row>
    <row r="1455" spans="1:7">
      <c r="A1455" s="4" t="s">
        <v>56</v>
      </c>
      <c r="B1455" s="7">
        <v>1</v>
      </c>
      <c r="C1455" s="6">
        <f>IF(E1455=1,1.0,0)</f>
        <v/>
      </c>
      <c r="D1455" s="6">
        <f>IF(E1455=1,0.99,0)</f>
        <v/>
      </c>
      <c r="E1455" s="8">
        <f>IF(OR(LOOKUP(A1455,characters!A:A,characters!B:B)=-1, LOOKUP(A1455,characters!A:A,characters!B:B)+0.1&gt;=B1455),1,0)</f>
        <v/>
      </c>
    </row>
    <row r="1456" spans="1:7">
      <c r="A1456" s="4" t="s">
        <v>59</v>
      </c>
      <c r="B1456" s="7">
        <v>0</v>
      </c>
      <c r="C1456" s="6">
        <f>IF(E1456=1,1.0,0)</f>
        <v/>
      </c>
      <c r="D1456" s="6">
        <f>IF(E1456=1,0.99,0)</f>
        <v/>
      </c>
      <c r="E1456" s="8">
        <f>IF(OR(LOOKUP(A1456,characters!A:A,characters!B:B)=-1, LOOKUP(A1456,characters!A:A,characters!B:B)+0.1&gt;=B1456),1,0)</f>
        <v/>
      </c>
    </row>
    <row r="1457" spans="1:5">
      <c r="A1457" s="4" t="s">
        <v>60</v>
      </c>
      <c r="B1457" s="7">
        <v>0</v>
      </c>
      <c r="C1457" s="6">
        <f>IF(E1457=1,1.0,0)</f>
        <v/>
      </c>
      <c r="D1457" s="6">
        <f>IF(E1457=1,0.99,0)</f>
        <v/>
      </c>
      <c r="E1457" s="8">
        <f>IF(OR(LOOKUP(A1457,characters!A:A,characters!B:B)=-1, LOOKUP(A1457,characters!A:A,characters!B:B)+0.1&gt;=B1457),1,0)</f>
        <v/>
      </c>
    </row>
    <row r="1458" spans="1:5">
      <c r="A1458" s="4" t="s">
        <v>62</v>
      </c>
      <c r="B1458" s="7">
        <v>2</v>
      </c>
      <c r="C1458" s="6">
        <f>IF(E1458=1,1.0,0)</f>
        <v/>
      </c>
      <c r="D1458" s="6">
        <f>IF(E1458=1,0.99,0)</f>
        <v/>
      </c>
      <c r="E1458" s="8">
        <f>IF(OR(LOOKUP(A1458,characters!A:A,characters!B:B)=-1, LOOKUP(A1458,characters!A:A,characters!B:B)+0.1&gt;=B1458),1,0)</f>
        <v/>
      </c>
    </row>
    <row r="1459" spans="1:5">
      <c r="A1459" s="4" t="s">
        <v>19</v>
      </c>
      <c r="B1459" s="7">
        <v>0</v>
      </c>
      <c r="C1459" s="6">
        <f>IF(E1459=1,1.0,0)</f>
        <v/>
      </c>
      <c r="D1459" s="6">
        <f>IF(E1459=1,0.99,0)</f>
        <v/>
      </c>
      <c r="E1459" s="8">
        <f>IF(OR(LOOKUP(A1459,characters!A:A,characters!B:B)=-1, LOOKUP(A1459,characters!A:A,characters!B:B)+0.1&gt;=B1459),1,0)</f>
        <v/>
      </c>
    </row>
    <row r="1460" spans="1:5">
      <c r="A1460" s="4" t="s">
        <v>57</v>
      </c>
      <c r="B1460" s="7">
        <v>1</v>
      </c>
      <c r="C1460" s="6">
        <f>IF(E1460=1,1.0,0)</f>
        <v/>
      </c>
      <c r="D1460" s="6">
        <f>IF(E1460=1,0.99,0)</f>
        <v/>
      </c>
      <c r="E1460" s="8">
        <f>IF(OR(LOOKUP(A1460,characters!A:A,characters!B:B)=-1, LOOKUP(A1460,characters!A:A,characters!B:B)+0.1&gt;=B1460),1,0)</f>
        <v/>
      </c>
    </row>
    <row r="1461" spans="1:5">
      <c r="A1461" s="4" t="s">
        <v>58</v>
      </c>
      <c r="B1461" s="7">
        <v>0</v>
      </c>
      <c r="C1461" s="6">
        <f>IF(E1461=1,1.0,0)</f>
        <v/>
      </c>
      <c r="D1461" s="6">
        <f>IF(E1461=1,0.99,0)</f>
        <v/>
      </c>
      <c r="E1461" s="8">
        <f>IF(OR(LOOKUP(A1461,characters!A:A,characters!B:B)=-1, LOOKUP(A1461,characters!A:A,characters!B:B)+0.1&gt;=B1461),1,0)</f>
        <v/>
      </c>
    </row>
    <row r="1462" spans="1:5">
      <c r="A1462" s="4" t="s">
        <v>61</v>
      </c>
      <c r="B1462" s="7">
        <v>2</v>
      </c>
      <c r="C1462" s="6">
        <f>IF(E1462=1,1.0,0)</f>
        <v/>
      </c>
      <c r="D1462" s="6">
        <f>IF(E1462=1,0.9,0)</f>
        <v/>
      </c>
      <c r="E1462" s="8">
        <f>IF(OR(LOOKUP(A1462,characters!A:A,characters!B:B)=-1, LOOKUP(A1462,characters!A:A,characters!B:B)+0.1&gt;=B1462),1,0)</f>
        <v/>
      </c>
    </row>
    <row r="1464" spans="1:5">
      <c r="A1464" s="3" t="s">
        <v>24</v>
      </c>
      <c r="B1464" s="3" t="s">
        <v>9</v>
      </c>
      <c r="C1464" s="3" t="s">
        <v>10</v>
      </c>
      <c r="D1464" s="3" t="s">
        <v>11</v>
      </c>
    </row>
    <row r="1465" spans="1:5">
      <c r="A1465" s="4" t="s">
        <v>16</v>
      </c>
      <c r="B1465" s="5" t="s">
        <v>17</v>
      </c>
      <c r="C1465" s="6">
        <f>IF(SUM(E1466:E1474)=0,0,SUM(C1466:C1474)/SUM(E1466:E1474))</f>
        <v/>
      </c>
      <c r="D1465" s="6">
        <f>IF(SUM(E1466:E1474)=0,0,SUM(D1466:D1474)/SUM(E1466:E1474))</f>
        <v/>
      </c>
    </row>
    <row r="1466" spans="1:5">
      <c r="A1466" s="4" t="s">
        <v>55</v>
      </c>
      <c r="B1466" s="7">
        <v>2</v>
      </c>
      <c r="C1466" s="6">
        <f>IF(E1466=1,1.0,0)</f>
        <v/>
      </c>
      <c r="D1466" s="6">
        <f>IF(E1466=1,0.9,0)</f>
        <v/>
      </c>
      <c r="E1466" s="8">
        <f>IF(OR(LOOKUP(A1466,characters!A:A,characters!B:B)=-1, LOOKUP(A1466,characters!A:A,characters!B:B)+0.1&gt;=B1466),1,0)</f>
        <v/>
      </c>
    </row>
    <row r="1467" spans="1:5">
      <c r="A1467" s="4" t="s">
        <v>56</v>
      </c>
      <c r="B1467" s="7">
        <v>1</v>
      </c>
      <c r="C1467" s="6">
        <f>IF(E1467=1,1.0,0)</f>
        <v/>
      </c>
      <c r="D1467" s="6">
        <f>IF(E1467=1,1.0,0)</f>
        <v/>
      </c>
      <c r="E1467" s="8">
        <f>IF(OR(LOOKUP(A1467,characters!A:A,characters!B:B)=-1, LOOKUP(A1467,characters!A:A,characters!B:B)+0.1&gt;=B1467),1,0)</f>
        <v/>
      </c>
    </row>
    <row r="1468" spans="1:5">
      <c r="A1468" s="4" t="s">
        <v>59</v>
      </c>
      <c r="B1468" s="7">
        <v>0</v>
      </c>
      <c r="C1468" s="6">
        <f>IF(E1468=1,0.9,0)</f>
        <v/>
      </c>
      <c r="D1468" s="6">
        <f>IF(E1468=1,1.0,0)</f>
        <v/>
      </c>
      <c r="E1468" s="8">
        <f>IF(OR(LOOKUP(A1468,characters!A:A,characters!B:B)=-1, LOOKUP(A1468,characters!A:A,characters!B:B)+0.1&gt;=B1468),1,0)</f>
        <v/>
      </c>
    </row>
    <row r="1469" spans="1:5">
      <c r="A1469" s="4" t="s">
        <v>60</v>
      </c>
      <c r="B1469" s="7">
        <v>0</v>
      </c>
      <c r="C1469" s="5" t="s">
        <v>17</v>
      </c>
      <c r="D1469" s="6">
        <f>IF(E1469=1,1.0,0)</f>
        <v/>
      </c>
      <c r="E1469" s="8">
        <f>IF(OR(LOOKUP(A1469,characters!A:A,characters!B:B)=-1, LOOKUP(A1469,characters!A:A,characters!B:B)+0.1&gt;=B1469),1,0)</f>
        <v/>
      </c>
    </row>
    <row r="1470" spans="1:5">
      <c r="A1470" s="4" t="s">
        <v>62</v>
      </c>
      <c r="B1470" s="7">
        <v>2</v>
      </c>
      <c r="C1470" s="5" t="s">
        <v>17</v>
      </c>
      <c r="D1470" s="6">
        <f>IF(E1470=1,1.0,0)</f>
        <v/>
      </c>
      <c r="E1470" s="8">
        <f>IF(OR(LOOKUP(A1470,characters!A:A,characters!B:B)=-1, LOOKUP(A1470,characters!A:A,characters!B:B)+0.1&gt;=B1470),1,0)</f>
        <v/>
      </c>
    </row>
    <row r="1471" spans="1:5">
      <c r="A1471" s="4" t="s">
        <v>19</v>
      </c>
      <c r="B1471" s="7">
        <v>0</v>
      </c>
      <c r="C1471" s="6">
        <f>IF(E1471=1,1.0,0)</f>
        <v/>
      </c>
      <c r="D1471" s="6">
        <f>IF(E1471=1,0.99,0)</f>
        <v/>
      </c>
      <c r="E1471" s="8">
        <f>IF(OR(LOOKUP(A1471,characters!A:A,characters!B:B)=-1, LOOKUP(A1471,characters!A:A,characters!B:B)+0.1&gt;=B1471),1,0)</f>
        <v/>
      </c>
    </row>
    <row r="1472" spans="1:5">
      <c r="A1472" s="4" t="s">
        <v>57</v>
      </c>
      <c r="B1472" s="7">
        <v>1</v>
      </c>
      <c r="C1472" s="5" t="s">
        <v>17</v>
      </c>
      <c r="D1472" s="6">
        <f>IF(E1472=1,1.0,0)</f>
        <v/>
      </c>
      <c r="E1472" s="8">
        <f>IF(OR(LOOKUP(A1472,characters!A:A,characters!B:B)=-1, LOOKUP(A1472,characters!A:A,characters!B:B)+0.1&gt;=B1472),1,0)</f>
        <v/>
      </c>
    </row>
    <row r="1473" spans="1:7">
      <c r="A1473" s="4" t="s">
        <v>58</v>
      </c>
      <c r="B1473" s="7">
        <v>0</v>
      </c>
      <c r="C1473" s="6">
        <f>IF(E1473=1,1.0,0)</f>
        <v/>
      </c>
      <c r="D1473" s="6">
        <f>IF(E1473=1,0.9,0)</f>
        <v/>
      </c>
      <c r="E1473" s="8">
        <f>IF(OR(LOOKUP(A1473,characters!A:A,characters!B:B)=-1, LOOKUP(A1473,characters!A:A,characters!B:B)+0.1&gt;=B1473),1,0)</f>
        <v/>
      </c>
    </row>
    <row r="1474" spans="1:7">
      <c r="A1474" s="4" t="s">
        <v>61</v>
      </c>
      <c r="B1474" s="7">
        <v>2</v>
      </c>
      <c r="C1474" s="5" t="s">
        <v>17</v>
      </c>
      <c r="D1474" s="6">
        <f>IF(E1474=1,1.0,0)</f>
        <v/>
      </c>
      <c r="E1474" s="8">
        <f>IF(OR(LOOKUP(A1474,characters!A:A,characters!B:B)=-1, LOOKUP(A1474,characters!A:A,characters!B:B)+0.1&gt;=B1474),1,0)</f>
        <v/>
      </c>
    </row>
    <row r="1481" spans="1:7">
      <c r="A1481" s="3" t="s">
        <v>134</v>
      </c>
    </row>
    <row r="1482" spans="1:7">
      <c r="A1482" s="3" t="s">
        <v>8</v>
      </c>
      <c r="B1482" s="3" t="s">
        <v>9</v>
      </c>
      <c r="C1482" s="3" t="s">
        <v>12</v>
      </c>
      <c r="D1482" s="3" t="s">
        <v>13</v>
      </c>
      <c r="E1482" s="3" t="s">
        <v>11</v>
      </c>
      <c r="F1482" s="3" t="s">
        <v>10</v>
      </c>
    </row>
    <row r="1483" spans="1:7">
      <c r="A1483" s="4" t="s">
        <v>16</v>
      </c>
      <c r="B1483" s="5" t="s">
        <v>17</v>
      </c>
      <c r="C1483" s="6">
        <f>IF(SUM(G1484:G1486)=0,0,SUM(C1484:C1486)/SUM(G1484:G1486))</f>
        <v/>
      </c>
      <c r="D1483" s="6">
        <f>IF(SUM(G1484:G1486)=0,0,SUM(D1484:D1486)/SUM(G1484:G1486))</f>
        <v/>
      </c>
      <c r="E1483" s="6">
        <f>IF(SUM(G1484:G1486)=0,0,SUM(E1484:E1486)/SUM(G1484:G1486))</f>
        <v/>
      </c>
      <c r="F1483" s="6">
        <f>IF(SUM(G1484:G1486)=0,0,SUM(F1484:F1486)/SUM(G1484:G1486))</f>
        <v/>
      </c>
    </row>
    <row r="1484" spans="1:7">
      <c r="A1484" s="4" t="s">
        <v>56</v>
      </c>
      <c r="B1484" s="7">
        <v>0</v>
      </c>
      <c r="C1484" s="6">
        <f>IF(G1484=1,1.0,0)</f>
        <v/>
      </c>
      <c r="D1484" s="6">
        <f>IF(G1484=1,1.0,0)</f>
        <v/>
      </c>
      <c r="E1484" s="6">
        <f>IF(G1484=1,0.9,0)</f>
        <v/>
      </c>
      <c r="F1484" s="6">
        <f>IF(G1484=1,1.0,0)</f>
        <v/>
      </c>
      <c r="G1484" s="8">
        <f>IF(OR(LOOKUP(A1484,characters!A:A,characters!B:B)=-1, LOOKUP(A1484,characters!A:A,characters!B:B)+0.1&gt;=B1484),1,0)</f>
        <v/>
      </c>
    </row>
    <row r="1485" spans="1:7">
      <c r="A1485" s="4" t="s">
        <v>61</v>
      </c>
      <c r="B1485" s="7">
        <v>0</v>
      </c>
      <c r="C1485" s="6">
        <f>IF(G1485=1,1.0,0)</f>
        <v/>
      </c>
      <c r="D1485" s="6">
        <f>IF(G1485=1,1.0,0)</f>
        <v/>
      </c>
      <c r="E1485" s="6">
        <f>IF(G1485=1,0.9,0)</f>
        <v/>
      </c>
      <c r="F1485" s="5" t="s">
        <v>17</v>
      </c>
      <c r="G1485" s="8">
        <f>IF(OR(LOOKUP(A1485,characters!A:A,characters!B:B)=-1, LOOKUP(A1485,characters!A:A,characters!B:B)+0.1&gt;=B1485),1,0)</f>
        <v/>
      </c>
    </row>
    <row r="1486" spans="1:7">
      <c r="A1486" s="4" t="s">
        <v>62</v>
      </c>
      <c r="B1486" s="7">
        <v>3</v>
      </c>
      <c r="C1486" s="6">
        <f>IF(G1486=1,1.0,0)</f>
        <v/>
      </c>
      <c r="D1486" s="6">
        <f>IF(G1486=1,0.99,0)</f>
        <v/>
      </c>
      <c r="E1486" s="6">
        <f>IF(G1486=1,0.89,0)</f>
        <v/>
      </c>
      <c r="F1486" s="6">
        <f>IF(G1486=1,0.79,0)</f>
        <v/>
      </c>
      <c r="G1486" s="8">
        <f>IF(OR(LOOKUP(A1486,characters!A:A,characters!B:B)=-1, LOOKUP(A1486,characters!A:A,characters!B:B)+0.1&gt;=B1486),1,0)</f>
        <v/>
      </c>
    </row>
    <row r="1488" spans="1:7">
      <c r="A1488" s="3" t="s">
        <v>23</v>
      </c>
      <c r="B1488" s="3" t="s">
        <v>9</v>
      </c>
      <c r="C1488" s="3" t="s">
        <v>12</v>
      </c>
      <c r="D1488" s="3" t="s">
        <v>13</v>
      </c>
    </row>
    <row r="1489" spans="1:5">
      <c r="A1489" s="4" t="s">
        <v>16</v>
      </c>
      <c r="B1489" s="5" t="s">
        <v>17</v>
      </c>
      <c r="C1489" s="6">
        <f>IF(SUM(E1490:E1492)=0,0,SUM(C1490:C1492)/SUM(E1490:E1492))</f>
        <v/>
      </c>
      <c r="D1489" s="6">
        <f>IF(SUM(E1490:E1492)=0,0,SUM(D1490:D1492)/SUM(E1490:E1492))</f>
        <v/>
      </c>
    </row>
    <row r="1490" spans="1:5">
      <c r="A1490" s="4" t="s">
        <v>56</v>
      </c>
      <c r="B1490" s="7">
        <v>0</v>
      </c>
      <c r="C1490" s="6">
        <f>IF(E1490=1,1.0,0)</f>
        <v/>
      </c>
      <c r="D1490" s="6">
        <f>IF(E1490=1,0.99,0)</f>
        <v/>
      </c>
      <c r="E1490" s="8">
        <f>IF(OR(LOOKUP(A1490,characters!A:A,characters!B:B)=-1, LOOKUP(A1490,characters!A:A,characters!B:B)+0.1&gt;=B1490),1,0)</f>
        <v/>
      </c>
    </row>
    <row r="1491" spans="1:5">
      <c r="A1491" s="4" t="s">
        <v>62</v>
      </c>
      <c r="B1491" s="7">
        <v>3</v>
      </c>
      <c r="C1491" s="6">
        <f>IF(E1491=1,1.0,0)</f>
        <v/>
      </c>
      <c r="D1491" s="6">
        <f>IF(E1491=1,0.99,0)</f>
        <v/>
      </c>
      <c r="E1491" s="8">
        <f>IF(OR(LOOKUP(A1491,characters!A:A,characters!B:B)=-1, LOOKUP(A1491,characters!A:A,characters!B:B)+0.1&gt;=B1491),1,0)</f>
        <v/>
      </c>
    </row>
    <row r="1492" spans="1:5">
      <c r="A1492" s="4" t="s">
        <v>61</v>
      </c>
      <c r="B1492" s="7">
        <v>0</v>
      </c>
      <c r="C1492" s="6">
        <f>IF(E1492=1,1.0,0)</f>
        <v/>
      </c>
      <c r="D1492" s="6">
        <f>IF(E1492=1,0.9,0)</f>
        <v/>
      </c>
      <c r="E1492" s="8">
        <f>IF(OR(LOOKUP(A1492,characters!A:A,characters!B:B)=-1, LOOKUP(A1492,characters!A:A,characters!B:B)+0.1&gt;=B1492),1,0)</f>
        <v/>
      </c>
    </row>
    <row r="1494" spans="1:5">
      <c r="A1494" s="3" t="s">
        <v>24</v>
      </c>
      <c r="B1494" s="3" t="s">
        <v>9</v>
      </c>
      <c r="C1494" s="3" t="s">
        <v>11</v>
      </c>
      <c r="D1494" s="3" t="s">
        <v>10</v>
      </c>
    </row>
    <row r="1495" spans="1:5">
      <c r="A1495" s="4" t="s">
        <v>16</v>
      </c>
      <c r="B1495" s="5" t="s">
        <v>17</v>
      </c>
      <c r="C1495" s="6">
        <f>IF(SUM(E1496:E1498)=0,0,SUM(C1496:C1498)/SUM(E1496:E1498))</f>
        <v/>
      </c>
      <c r="D1495" s="6">
        <f>IF(SUM(E1496:E1498)=0,0,SUM(D1496:D1498)/SUM(E1496:E1498))</f>
        <v/>
      </c>
    </row>
    <row r="1496" spans="1:5">
      <c r="A1496" s="4" t="s">
        <v>56</v>
      </c>
      <c r="B1496" s="7">
        <v>0</v>
      </c>
      <c r="C1496" s="6">
        <f>IF(E1496=1,1.0,0)</f>
        <v/>
      </c>
      <c r="D1496" s="6">
        <f>IF(E1496=1,1.0,0)</f>
        <v/>
      </c>
      <c r="E1496" s="8">
        <f>IF(OR(LOOKUP(A1496,characters!A:A,characters!B:B)=-1, LOOKUP(A1496,characters!A:A,characters!B:B)+0.1&gt;=B1496),1,0)</f>
        <v/>
      </c>
    </row>
    <row r="1497" spans="1:5">
      <c r="A1497" s="4" t="s">
        <v>62</v>
      </c>
      <c r="B1497" s="7">
        <v>3</v>
      </c>
      <c r="C1497" s="6">
        <f>IF(E1497=1,1.0,0)</f>
        <v/>
      </c>
      <c r="D1497" s="5" t="s">
        <v>17</v>
      </c>
      <c r="E1497" s="8">
        <f>IF(OR(LOOKUP(A1497,characters!A:A,characters!B:B)=-1, LOOKUP(A1497,characters!A:A,characters!B:B)+0.1&gt;=B1497),1,0)</f>
        <v/>
      </c>
    </row>
    <row r="1498" spans="1:5">
      <c r="A1498" s="4" t="s">
        <v>61</v>
      </c>
      <c r="B1498" s="7">
        <v>0</v>
      </c>
      <c r="C1498" s="6">
        <f>IF(E1498=1,1.0,0)</f>
        <v/>
      </c>
      <c r="D1498" s="5" t="s">
        <v>17</v>
      </c>
      <c r="E1498" s="8">
        <f>IF(OR(LOOKUP(A1498,characters!A:A,characters!B:B)=-1, LOOKUP(A1498,characters!A:A,characters!B:B)+0.1&gt;=B1498),1,0)</f>
        <v/>
      </c>
    </row>
    <row r="1505" spans="1:7">
      <c r="A1505" s="3" t="s">
        <v>135</v>
      </c>
    </row>
    <row r="1506" spans="1:7">
      <c r="A1506" s="3" t="s">
        <v>8</v>
      </c>
      <c r="B1506" s="3" t="s">
        <v>9</v>
      </c>
      <c r="C1506" s="3" t="s">
        <v>10</v>
      </c>
      <c r="D1506" s="3" t="s">
        <v>12</v>
      </c>
      <c r="E1506" s="3" t="s">
        <v>13</v>
      </c>
      <c r="F1506" s="3" t="s">
        <v>11</v>
      </c>
    </row>
    <row r="1507" spans="1:7">
      <c r="A1507" s="4" t="s">
        <v>16</v>
      </c>
      <c r="B1507" s="5" t="s">
        <v>17</v>
      </c>
      <c r="C1507" s="6">
        <f>IF(SUM(G1508:G1509)=0,0,SUM(C1508:C1509)/SUM(G1508:G1509))</f>
        <v/>
      </c>
      <c r="D1507" s="6">
        <f>IF(SUM(G1508:G1509)=0,0,SUM(D1508:D1509)/SUM(G1508:G1509))</f>
        <v/>
      </c>
      <c r="E1507" s="6">
        <f>IF(SUM(G1508:G1509)=0,0,SUM(E1508:E1509)/SUM(G1508:G1509))</f>
        <v/>
      </c>
      <c r="F1507" s="6">
        <f>IF(SUM(G1508:G1509)=0,0,SUM(F1508:F1509)/SUM(G1508:G1509))</f>
        <v/>
      </c>
    </row>
    <row r="1508" spans="1:7">
      <c r="A1508" s="4" t="s">
        <v>19</v>
      </c>
      <c r="B1508" s="7">
        <v>0</v>
      </c>
      <c r="C1508" s="6">
        <f>IF(G1508=1,1.0,0)</f>
        <v/>
      </c>
      <c r="D1508" s="6">
        <f>IF(G1508=1,0.9,0)</f>
        <v/>
      </c>
      <c r="E1508" s="6">
        <f>IF(G1508=1,0.9,0)</f>
        <v/>
      </c>
      <c r="F1508" s="6">
        <f>IF(G1508=1,0.8,0)</f>
        <v/>
      </c>
      <c r="G1508" s="8">
        <f>IF(OR(LOOKUP(A1508,characters!A:A,characters!B:B)=-1, LOOKUP(A1508,characters!A:A,characters!B:B)+0.1&gt;=B1508),1,0)</f>
        <v/>
      </c>
    </row>
    <row r="1509" spans="1:7">
      <c r="A1509" s="4" t="s">
        <v>58</v>
      </c>
      <c r="B1509" s="7">
        <v>1</v>
      </c>
      <c r="C1509" s="6">
        <f>IF(G1509=1,1.0,0)</f>
        <v/>
      </c>
      <c r="D1509" s="6">
        <f>IF(G1509=1,0.9,0)</f>
        <v/>
      </c>
      <c r="E1509" s="6">
        <f>IF(G1509=1,0.9,0)</f>
        <v/>
      </c>
      <c r="F1509" s="6">
        <f>IF(G1509=1,0.8,0)</f>
        <v/>
      </c>
      <c r="G1509" s="8">
        <f>IF(OR(LOOKUP(A1509,characters!A:A,characters!B:B)=-1, LOOKUP(A1509,characters!A:A,characters!B:B)+0.1&gt;=B1509),1,0)</f>
        <v/>
      </c>
    </row>
    <row r="1511" spans="1:7">
      <c r="A1511" s="3" t="s">
        <v>30</v>
      </c>
      <c r="B1511" s="3" t="s">
        <v>9</v>
      </c>
      <c r="C1511" s="3" t="s">
        <v>66</v>
      </c>
      <c r="D1511" s="3" t="s">
        <v>11</v>
      </c>
      <c r="E1511" s="3" t="s">
        <v>65</v>
      </c>
    </row>
    <row r="1512" spans="1:7">
      <c r="A1512" s="4" t="s">
        <v>16</v>
      </c>
      <c r="B1512" s="5" t="s">
        <v>17</v>
      </c>
      <c r="C1512" s="6">
        <f>IF(SUM(F1513:F1514)=0,0,SUM(C1513:C1514)/SUM(F1513:F1514))</f>
        <v/>
      </c>
      <c r="D1512" s="6">
        <f>IF(SUM(F1513:F1514)=0,0,SUM(D1513:D1514)/SUM(F1513:F1514))</f>
        <v/>
      </c>
      <c r="E1512" s="6">
        <f>IF(SUM(F1513:F1514)=0,0,SUM(E1513:E1514)/SUM(F1513:F1514))</f>
        <v/>
      </c>
    </row>
    <row r="1513" spans="1:7">
      <c r="A1513" s="4" t="s">
        <v>19</v>
      </c>
      <c r="B1513" s="7">
        <v>0</v>
      </c>
      <c r="C1513" s="6">
        <f>IF(F1513=1,1.0,0)</f>
        <v/>
      </c>
      <c r="D1513" s="6">
        <f>IF(F1513=1,0.9,0)</f>
        <v/>
      </c>
      <c r="E1513" s="5" t="s">
        <v>17</v>
      </c>
      <c r="F1513" s="8">
        <f>IF(OR(LOOKUP(A1513,characters!A:A,characters!B:B)=-1, LOOKUP(A1513,characters!A:A,characters!B:B)+0.1&gt;=B1513),1,0)</f>
        <v/>
      </c>
    </row>
    <row r="1514" spans="1:7">
      <c r="A1514" s="4" t="s">
        <v>58</v>
      </c>
      <c r="B1514" s="7">
        <v>1</v>
      </c>
      <c r="C1514" s="5" t="s">
        <v>17</v>
      </c>
      <c r="D1514" s="6">
        <f>IF(F1514=1,0.9,0)</f>
        <v/>
      </c>
      <c r="E1514" s="6">
        <f>IF(F1514=1,1.0,0)</f>
        <v/>
      </c>
      <c r="F1514" s="8">
        <f>IF(OR(LOOKUP(A1514,characters!A:A,characters!B:B)=-1, LOOKUP(A1514,characters!A:A,characters!B:B)+0.1&gt;=B1514),1,0)</f>
        <v/>
      </c>
    </row>
    <row r="1516" spans="1:7">
      <c r="A1516" s="3" t="s">
        <v>31</v>
      </c>
      <c r="B1516" s="3" t="s">
        <v>9</v>
      </c>
      <c r="C1516" s="3" t="s">
        <v>11</v>
      </c>
    </row>
    <row r="1517" spans="1:7">
      <c r="A1517" s="4" t="s">
        <v>16</v>
      </c>
      <c r="B1517" s="5" t="s">
        <v>17</v>
      </c>
      <c r="C1517" s="6">
        <f>IF(SUM(D1518:D1519)=0,0,SUM(C1518:C1519)/SUM(D1518:D1519))</f>
        <v/>
      </c>
    </row>
    <row r="1518" spans="1:7">
      <c r="A1518" s="4" t="s">
        <v>19</v>
      </c>
      <c r="B1518" s="7">
        <v>0</v>
      </c>
      <c r="C1518" s="6">
        <f>IF(D1518=1,1.0,0)</f>
        <v/>
      </c>
      <c r="D1518" s="8">
        <f>IF(OR(LOOKUP(A1518,characters!A:A,characters!B:B)=-1, LOOKUP(A1518,characters!A:A,characters!B:B)+0.1&gt;=B1518),1,0)</f>
        <v/>
      </c>
    </row>
    <row r="1519" spans="1:7">
      <c r="A1519" s="4" t="s">
        <v>58</v>
      </c>
      <c r="B1519" s="7">
        <v>1</v>
      </c>
      <c r="C1519" s="6">
        <f>IF(D1519=1,1.0,0)</f>
        <v/>
      </c>
      <c r="D1519" s="8">
        <f>IF(OR(LOOKUP(A1519,characters!A:A,characters!B:B)=-1, LOOKUP(A1519,characters!A:A,characters!B:B)+0.1&gt;=B1519),1,0)</f>
        <v/>
      </c>
    </row>
    <row r="1526" spans="1:12">
      <c r="A1526" s="3" t="s">
        <v>136</v>
      </c>
    </row>
    <row r="1527" spans="1:12">
      <c r="A1527" s="3" t="s">
        <v>8</v>
      </c>
      <c r="B1527" s="3" t="s">
        <v>9</v>
      </c>
      <c r="C1527" s="3" t="s">
        <v>10</v>
      </c>
      <c r="D1527" s="3" t="s">
        <v>15</v>
      </c>
      <c r="E1527" s="3" t="s">
        <v>11</v>
      </c>
      <c r="F1527" s="3" t="s">
        <v>27</v>
      </c>
      <c r="G1527" s="3" t="s">
        <v>26</v>
      </c>
      <c r="H1527" s="3" t="s">
        <v>12</v>
      </c>
      <c r="I1527" s="3" t="s">
        <v>13</v>
      </c>
      <c r="J1527" s="3" t="s">
        <v>14</v>
      </c>
      <c r="K1527" s="3" t="s">
        <v>28</v>
      </c>
    </row>
    <row r="1528" spans="1:12">
      <c r="A1528" s="4" t="s">
        <v>16</v>
      </c>
      <c r="B1528" s="5" t="s">
        <v>17</v>
      </c>
      <c r="C1528" s="6">
        <f>IF(SUM(L1529:L1540)=0,0,SUM(C1529:C1540)/SUM(L1529:L1540))</f>
        <v/>
      </c>
      <c r="D1528" s="6">
        <f>IF(SUM(L1529:L1540)=0,0,SUM(D1529:D1540)/SUM(L1529:L1540))</f>
        <v/>
      </c>
      <c r="E1528" s="6">
        <f>IF(SUM(L1529:L1540)=0,0,SUM(E1529:E1540)/SUM(L1529:L1540))</f>
        <v/>
      </c>
      <c r="F1528" s="6">
        <f>IF(SUM(L1529:L1540)=0,0,SUM(F1529:F1540)/SUM(L1529:L1540))</f>
        <v/>
      </c>
      <c r="G1528" s="6">
        <f>IF(SUM(L1529:L1540)=0,0,SUM(G1529:G1540)/SUM(L1529:L1540))</f>
        <v/>
      </c>
      <c r="H1528" s="6">
        <f>IF(SUM(L1529:L1540)=0,0,SUM(H1529:H1540)/SUM(L1529:L1540))</f>
        <v/>
      </c>
      <c r="I1528" s="6">
        <f>IF(SUM(L1529:L1540)=0,0,SUM(I1529:I1540)/SUM(L1529:L1540))</f>
        <v/>
      </c>
      <c r="J1528" s="6">
        <f>IF(SUM(L1529:L1540)=0,0,SUM(J1529:J1540)/SUM(L1529:L1540))</f>
        <v/>
      </c>
      <c r="K1528" s="6">
        <f>IF(SUM(L1529:L1540)=0,0,SUM(K1529:K1540)/SUM(L1529:L1540))</f>
        <v/>
      </c>
    </row>
    <row r="1529" spans="1:12">
      <c r="A1529" s="4" t="s">
        <v>100</v>
      </c>
      <c r="B1529" s="7">
        <v>1</v>
      </c>
      <c r="C1529" s="6">
        <f>IF(L1529=1,1.0,0)</f>
        <v/>
      </c>
      <c r="D1529" s="6">
        <f>IF(L1529=1,0.9,0)</f>
        <v/>
      </c>
      <c r="E1529" s="6">
        <f>IF(L1529=1,0.8,0)</f>
        <v/>
      </c>
      <c r="F1529" s="5" t="s">
        <v>17</v>
      </c>
      <c r="G1529" s="5" t="s">
        <v>17</v>
      </c>
      <c r="H1529" s="5" t="s">
        <v>17</v>
      </c>
      <c r="I1529" s="5" t="s">
        <v>17</v>
      </c>
      <c r="J1529" s="5" t="s">
        <v>17</v>
      </c>
      <c r="K1529" s="5" t="s">
        <v>17</v>
      </c>
      <c r="L1529" s="8">
        <f>IF(OR(LOOKUP(A1529,characters!A:A,characters!B:B)=-1, LOOKUP(A1529,characters!A:A,characters!B:B)+0.1&gt;=B1529),1,0)</f>
        <v/>
      </c>
    </row>
    <row r="1530" spans="1:12">
      <c r="A1530" s="4" t="s">
        <v>101</v>
      </c>
      <c r="B1530" s="7">
        <v>1</v>
      </c>
      <c r="C1530" s="6">
        <f>IF(L1530=1,1.0,0)</f>
        <v/>
      </c>
      <c r="D1530" s="6">
        <f>IF(L1530=1,0.9,0)</f>
        <v/>
      </c>
      <c r="E1530" s="5" t="s">
        <v>17</v>
      </c>
      <c r="F1530" s="6">
        <f>IF(L1530=1,0.7,0)</f>
        <v/>
      </c>
      <c r="G1530" s="6">
        <f>IF(L1530=1,0.7,0)</f>
        <v/>
      </c>
      <c r="H1530" s="5" t="s">
        <v>17</v>
      </c>
      <c r="I1530" s="5" t="s">
        <v>17</v>
      </c>
      <c r="J1530" s="5" t="s">
        <v>17</v>
      </c>
      <c r="K1530" s="6">
        <f>IF(L1530=1,0.8,0)</f>
        <v/>
      </c>
      <c r="L1530" s="8">
        <f>IF(OR(LOOKUP(A1530,characters!A:A,characters!B:B)=-1, LOOKUP(A1530,characters!A:A,characters!B:B)+0.1&gt;=B1530),1,0)</f>
        <v/>
      </c>
    </row>
    <row r="1531" spans="1:12">
      <c r="A1531" s="4" t="s">
        <v>102</v>
      </c>
      <c r="B1531" s="7">
        <v>1</v>
      </c>
      <c r="C1531" s="6">
        <f>IF(L1531=1,1.0,0)</f>
        <v/>
      </c>
      <c r="D1531" s="6">
        <f>IF(L1531=1,0.9,0)</f>
        <v/>
      </c>
      <c r="E1531" s="6">
        <f>IF(L1531=1,0.89,0)</f>
        <v/>
      </c>
      <c r="F1531" s="5" t="s">
        <v>17</v>
      </c>
      <c r="G1531" s="5" t="s">
        <v>17</v>
      </c>
      <c r="H1531" s="5" t="s">
        <v>17</v>
      </c>
      <c r="I1531" s="5" t="s">
        <v>17</v>
      </c>
      <c r="J1531" s="5" t="s">
        <v>17</v>
      </c>
      <c r="K1531" s="5" t="s">
        <v>17</v>
      </c>
      <c r="L1531" s="8">
        <f>IF(OR(LOOKUP(A1531,characters!A:A,characters!B:B)=-1, LOOKUP(A1531,characters!A:A,characters!B:B)+0.1&gt;=B1531),1,0)</f>
        <v/>
      </c>
    </row>
    <row r="1532" spans="1:12">
      <c r="A1532" s="4" t="s">
        <v>53</v>
      </c>
      <c r="B1532" s="7">
        <v>1</v>
      </c>
      <c r="C1532" s="6">
        <f>IF(L1532=1,1.0,0)</f>
        <v/>
      </c>
      <c r="D1532" s="6">
        <f>IF(L1532=1,0.9,0)</f>
        <v/>
      </c>
      <c r="E1532" s="6">
        <f>IF(L1532=1,0.89,0)</f>
        <v/>
      </c>
      <c r="F1532" s="5" t="s">
        <v>17</v>
      </c>
      <c r="G1532" s="5" t="s">
        <v>17</v>
      </c>
      <c r="H1532" s="5" t="s">
        <v>17</v>
      </c>
      <c r="I1532" s="5" t="s">
        <v>17</v>
      </c>
      <c r="J1532" s="6">
        <f>IF(L1532=1,1.0,0)</f>
        <v/>
      </c>
      <c r="K1532" s="5" t="s">
        <v>17</v>
      </c>
      <c r="L1532" s="8">
        <f>IF(OR(LOOKUP(A1532,characters!A:A,characters!B:B)=-1, LOOKUP(A1532,characters!A:A,characters!B:B)+0.1&gt;=B1532),1,0)</f>
        <v/>
      </c>
    </row>
    <row r="1533" spans="1:12">
      <c r="A1533" s="4" t="s">
        <v>91</v>
      </c>
      <c r="B1533" s="7">
        <v>1</v>
      </c>
      <c r="C1533" s="6">
        <f>IF(L1533=1,1.0,0)</f>
        <v/>
      </c>
      <c r="D1533" s="5" t="s">
        <v>17</v>
      </c>
      <c r="E1533" s="6">
        <f>IF(L1533=1,0.8,0)</f>
        <v/>
      </c>
      <c r="F1533" s="5" t="s">
        <v>17</v>
      </c>
      <c r="G1533" s="5" t="s">
        <v>17</v>
      </c>
      <c r="H1533" s="6">
        <f>IF(L1533=1,0.9,0)</f>
        <v/>
      </c>
      <c r="I1533" s="6">
        <f>IF(L1533=1,0.9,0)</f>
        <v/>
      </c>
      <c r="J1533" s="5" t="s">
        <v>17</v>
      </c>
      <c r="K1533" s="5" t="s">
        <v>17</v>
      </c>
      <c r="L1533" s="8">
        <f>IF(OR(LOOKUP(A1533,characters!A:A,characters!B:B)=-1, LOOKUP(A1533,characters!A:A,characters!B:B)+0.1&gt;=B1533),1,0)</f>
        <v/>
      </c>
    </row>
    <row r="1534" spans="1:12">
      <c r="A1534" s="4" t="s">
        <v>78</v>
      </c>
      <c r="B1534" s="7">
        <v>1</v>
      </c>
      <c r="C1534" s="6">
        <f>IF(L1534=1,1.0,0)</f>
        <v/>
      </c>
      <c r="D1534" s="6">
        <f>IF(L1534=1,0.9,0)</f>
        <v/>
      </c>
      <c r="E1534" s="6">
        <f>IF(L1534=1,0.8,0)</f>
        <v/>
      </c>
      <c r="F1534" s="5" t="s">
        <v>17</v>
      </c>
      <c r="G1534" s="5" t="s">
        <v>17</v>
      </c>
      <c r="H1534" s="5" t="s">
        <v>17</v>
      </c>
      <c r="I1534" s="5" t="s">
        <v>17</v>
      </c>
      <c r="J1534" s="5" t="s">
        <v>17</v>
      </c>
      <c r="K1534" s="5" t="s">
        <v>17</v>
      </c>
      <c r="L1534" s="8">
        <f>IF(OR(LOOKUP(A1534,characters!A:A,characters!B:B)=-1, LOOKUP(A1534,characters!A:A,characters!B:B)+0.1&gt;=B1534),1,0)</f>
        <v/>
      </c>
    </row>
    <row r="1535" spans="1:12">
      <c r="A1535" s="4" t="s">
        <v>49</v>
      </c>
      <c r="B1535" s="7">
        <v>1</v>
      </c>
      <c r="C1535" s="6">
        <f>IF(L1535=1,1.0,0)</f>
        <v/>
      </c>
      <c r="D1535" s="6">
        <f>IF(L1535=1,0.9,0)</f>
        <v/>
      </c>
      <c r="E1535" s="6">
        <f>IF(L1535=1,0.79,0)</f>
        <v/>
      </c>
      <c r="F1535" s="5" t="s">
        <v>17</v>
      </c>
      <c r="G1535" s="5" t="s">
        <v>17</v>
      </c>
      <c r="H1535" s="6">
        <f>IF(L1535=1,0.89,0)</f>
        <v/>
      </c>
      <c r="I1535" s="6">
        <f>IF(L1535=1,0.89,0)</f>
        <v/>
      </c>
      <c r="J1535" s="5" t="s">
        <v>17</v>
      </c>
      <c r="K1535" s="5" t="s">
        <v>17</v>
      </c>
      <c r="L1535" s="8">
        <f>IF(OR(LOOKUP(A1535,characters!A:A,characters!B:B)=-1, LOOKUP(A1535,characters!A:A,characters!B:B)+0.1&gt;=B1535),1,0)</f>
        <v/>
      </c>
    </row>
    <row r="1536" spans="1:12">
      <c r="A1536" s="4" t="s">
        <v>73</v>
      </c>
      <c r="B1536" s="7">
        <v>1</v>
      </c>
      <c r="C1536" s="6">
        <f>IF(L1536=1,0.8,0)</f>
        <v/>
      </c>
      <c r="D1536" s="6">
        <f>IF(L1536=1,0.9,0)</f>
        <v/>
      </c>
      <c r="E1536" s="5" t="s">
        <v>17</v>
      </c>
      <c r="F1536" s="6">
        <f>IF(L1536=1,0.7,0)</f>
        <v/>
      </c>
      <c r="G1536" s="6">
        <f>IF(L1536=1,0.7,0)</f>
        <v/>
      </c>
      <c r="H1536" s="5" t="s">
        <v>17</v>
      </c>
      <c r="I1536" s="5" t="s">
        <v>17</v>
      </c>
      <c r="J1536" s="6">
        <f>IF(L1536=1,1.0,0)</f>
        <v/>
      </c>
      <c r="K1536" s="5" t="s">
        <v>17</v>
      </c>
      <c r="L1536" s="8">
        <f>IF(OR(LOOKUP(A1536,characters!A:A,characters!B:B)=-1, LOOKUP(A1536,characters!A:A,characters!B:B)+0.1&gt;=B1536),1,0)</f>
        <v/>
      </c>
    </row>
    <row r="1537" spans="1:12">
      <c r="A1537" s="4" t="s">
        <v>74</v>
      </c>
      <c r="B1537" s="7">
        <v>1</v>
      </c>
      <c r="C1537" s="6">
        <f>IF(L1537=1,1.0,0)</f>
        <v/>
      </c>
      <c r="D1537" s="6">
        <f>IF(L1537=1,1.0,0)</f>
        <v/>
      </c>
      <c r="E1537" s="5" t="s">
        <v>17</v>
      </c>
      <c r="F1537" s="6">
        <f>IF(L1537=1,0.9,0)</f>
        <v/>
      </c>
      <c r="G1537" s="6">
        <f>IF(L1537=1,0.9,0)</f>
        <v/>
      </c>
      <c r="H1537" s="5" t="s">
        <v>17</v>
      </c>
      <c r="I1537" s="5" t="s">
        <v>17</v>
      </c>
      <c r="J1537" s="5" t="s">
        <v>17</v>
      </c>
      <c r="K1537" s="5" t="s">
        <v>17</v>
      </c>
      <c r="L1537" s="8">
        <f>IF(OR(LOOKUP(A1537,characters!A:A,characters!B:B)=-1, LOOKUP(A1537,characters!A:A,characters!B:B)+0.1&gt;=B1537),1,0)</f>
        <v/>
      </c>
    </row>
    <row r="1538" spans="1:12">
      <c r="A1538" s="4" t="s">
        <v>93</v>
      </c>
      <c r="B1538" s="7">
        <v>1</v>
      </c>
      <c r="C1538" s="6">
        <f>IF(L1538=1,1.0,0)</f>
        <v/>
      </c>
      <c r="D1538" s="6">
        <f>IF(L1538=1,0.9,0)</f>
        <v/>
      </c>
      <c r="E1538" s="6">
        <f>IF(L1538=1,0.79,0)</f>
        <v/>
      </c>
      <c r="F1538" s="5" t="s">
        <v>17</v>
      </c>
      <c r="G1538" s="5" t="s">
        <v>17</v>
      </c>
      <c r="H1538" s="6">
        <f>IF(L1538=1,0.89,0)</f>
        <v/>
      </c>
      <c r="I1538" s="6">
        <f>IF(L1538=1,0.89,0)</f>
        <v/>
      </c>
      <c r="J1538" s="5" t="s">
        <v>17</v>
      </c>
      <c r="K1538" s="5" t="s">
        <v>17</v>
      </c>
      <c r="L1538" s="8">
        <f>IF(OR(LOOKUP(A1538,characters!A:A,characters!B:B)=-1, LOOKUP(A1538,characters!A:A,characters!B:B)+0.1&gt;=B1538),1,0)</f>
        <v/>
      </c>
    </row>
    <row r="1539" spans="1:12">
      <c r="A1539" s="4" t="s">
        <v>77</v>
      </c>
      <c r="B1539" s="7">
        <v>2</v>
      </c>
      <c r="C1539" s="6">
        <f>IF(L1539=1,1.0,0)</f>
        <v/>
      </c>
      <c r="D1539" s="6">
        <f>IF(L1539=1,0.99,0)</f>
        <v/>
      </c>
      <c r="E1539" s="5" t="s">
        <v>17</v>
      </c>
      <c r="F1539" s="5" t="s">
        <v>17</v>
      </c>
      <c r="G1539" s="5" t="s">
        <v>17</v>
      </c>
      <c r="H1539" s="5" t="s">
        <v>17</v>
      </c>
      <c r="I1539" s="5" t="s">
        <v>17</v>
      </c>
      <c r="J1539" s="5" t="s">
        <v>17</v>
      </c>
      <c r="K1539" s="5" t="s">
        <v>17</v>
      </c>
      <c r="L1539" s="8">
        <f>IF(OR(LOOKUP(A1539,characters!A:A,characters!B:B)=-1, LOOKUP(A1539,characters!A:A,characters!B:B)+0.1&gt;=B1539),1,0)</f>
        <v/>
      </c>
    </row>
    <row r="1540" spans="1:12">
      <c r="A1540" s="4" t="s">
        <v>118</v>
      </c>
      <c r="B1540" s="7">
        <v>2</v>
      </c>
      <c r="C1540" s="6">
        <f>IF(L1540=1,0.9,0)</f>
        <v/>
      </c>
      <c r="D1540" s="6">
        <f>IF(L1540=1,1.0,0)</f>
        <v/>
      </c>
      <c r="E1540" s="5" t="s">
        <v>17</v>
      </c>
      <c r="F1540" s="6">
        <f>IF(L1540=1,0.8,0)</f>
        <v/>
      </c>
      <c r="G1540" s="6">
        <f>IF(L1540=1,0.8,0)</f>
        <v/>
      </c>
      <c r="H1540" s="5" t="s">
        <v>17</v>
      </c>
      <c r="I1540" s="5" t="s">
        <v>17</v>
      </c>
      <c r="J1540" s="5" t="s">
        <v>17</v>
      </c>
      <c r="K1540" s="6">
        <f>IF(L1540=1,0.7,0)</f>
        <v/>
      </c>
      <c r="L1540" s="8">
        <f>IF(OR(LOOKUP(A1540,characters!A:A,characters!B:B)=-1, LOOKUP(A1540,characters!A:A,characters!B:B)+0.1&gt;=B1540),1,0)</f>
        <v/>
      </c>
    </row>
    <row r="1542" spans="1:12">
      <c r="A1542" s="3" t="s">
        <v>23</v>
      </c>
      <c r="B1542" s="3" t="s">
        <v>9</v>
      </c>
      <c r="C1542" s="3" t="s">
        <v>11</v>
      </c>
      <c r="D1542" s="3" t="s">
        <v>109</v>
      </c>
      <c r="E1542" s="3" t="s">
        <v>14</v>
      </c>
      <c r="F1542" s="3" t="s">
        <v>12</v>
      </c>
      <c r="G1542" s="3" t="s">
        <v>13</v>
      </c>
      <c r="H1542" s="3" t="s">
        <v>27</v>
      </c>
      <c r="I1542" s="3" t="s">
        <v>26</v>
      </c>
    </row>
    <row r="1543" spans="1:12">
      <c r="A1543" s="4" t="s">
        <v>16</v>
      </c>
      <c r="B1543" s="5" t="s">
        <v>17</v>
      </c>
      <c r="C1543" s="6">
        <f>IF(SUM(J1544:J1555)=0,0,SUM(C1544:C1555)/SUM(J1544:J1555))</f>
        <v/>
      </c>
      <c r="D1543" s="6">
        <f>IF(SUM(J1544:J1555)=0,0,SUM(D1544:D1555)/SUM(J1544:J1555))</f>
        <v/>
      </c>
      <c r="E1543" s="6">
        <f>IF(SUM(J1544:J1555)=0,0,SUM(E1544:E1555)/SUM(J1544:J1555))</f>
        <v/>
      </c>
      <c r="F1543" s="6">
        <f>IF(SUM(J1544:J1555)=0,0,SUM(F1544:F1555)/SUM(J1544:J1555))</f>
        <v/>
      </c>
      <c r="G1543" s="6">
        <f>IF(SUM(J1544:J1555)=0,0,SUM(G1544:G1555)/SUM(J1544:J1555))</f>
        <v/>
      </c>
      <c r="H1543" s="6">
        <f>IF(SUM(J1544:J1555)=0,0,SUM(H1544:H1555)/SUM(J1544:J1555))</f>
        <v/>
      </c>
      <c r="I1543" s="6">
        <f>IF(SUM(J1544:J1555)=0,0,SUM(I1544:I1555)/SUM(J1544:J1555))</f>
        <v/>
      </c>
    </row>
    <row r="1544" spans="1:12">
      <c r="A1544" s="4" t="s">
        <v>77</v>
      </c>
      <c r="B1544" s="7">
        <v>2</v>
      </c>
      <c r="C1544" s="5" t="s">
        <v>17</v>
      </c>
      <c r="D1544" s="5" t="s">
        <v>17</v>
      </c>
      <c r="E1544" s="5" t="s">
        <v>17</v>
      </c>
      <c r="F1544" s="5" t="s">
        <v>17</v>
      </c>
      <c r="G1544" s="5" t="s">
        <v>17</v>
      </c>
      <c r="H1544" s="5" t="s">
        <v>17</v>
      </c>
      <c r="I1544" s="5" t="s">
        <v>17</v>
      </c>
      <c r="J1544" s="8">
        <f>IF(OR(LOOKUP(A1544,characters!A:A,characters!B:B)=-1, LOOKUP(A1544,characters!A:A,characters!B:B)+0.1&gt;=B1544),1,0)</f>
        <v/>
      </c>
    </row>
    <row r="1545" spans="1:12">
      <c r="A1545" s="4" t="s">
        <v>100</v>
      </c>
      <c r="B1545" s="7">
        <v>1</v>
      </c>
      <c r="C1545" s="6">
        <f>IF(J1545=1,1.0,0)</f>
        <v/>
      </c>
      <c r="D1545" s="5" t="s">
        <v>17</v>
      </c>
      <c r="E1545" s="5" t="s">
        <v>17</v>
      </c>
      <c r="F1545" s="5" t="s">
        <v>17</v>
      </c>
      <c r="G1545" s="5" t="s">
        <v>17</v>
      </c>
      <c r="H1545" s="5" t="s">
        <v>17</v>
      </c>
      <c r="I1545" s="5" t="s">
        <v>17</v>
      </c>
      <c r="J1545" s="8">
        <f>IF(OR(LOOKUP(A1545,characters!A:A,characters!B:B)=-1, LOOKUP(A1545,characters!A:A,characters!B:B)+0.1&gt;=B1545),1,0)</f>
        <v/>
      </c>
    </row>
    <row r="1546" spans="1:12">
      <c r="A1546" s="4" t="s">
        <v>101</v>
      </c>
      <c r="B1546" s="7">
        <v>1</v>
      </c>
      <c r="C1546" s="5" t="s">
        <v>17</v>
      </c>
      <c r="D1546" s="6">
        <f>IF(J1546=1,1.0,0)</f>
        <v/>
      </c>
      <c r="E1546" s="5" t="s">
        <v>17</v>
      </c>
      <c r="F1546" s="5" t="s">
        <v>17</v>
      </c>
      <c r="G1546" s="5" t="s">
        <v>17</v>
      </c>
      <c r="H1546" s="5" t="s">
        <v>17</v>
      </c>
      <c r="I1546" s="5" t="s">
        <v>17</v>
      </c>
      <c r="J1546" s="8">
        <f>IF(OR(LOOKUP(A1546,characters!A:A,characters!B:B)=-1, LOOKUP(A1546,characters!A:A,characters!B:B)+0.1&gt;=B1546),1,0)</f>
        <v/>
      </c>
    </row>
    <row r="1547" spans="1:12">
      <c r="A1547" s="4" t="s">
        <v>102</v>
      </c>
      <c r="B1547" s="7">
        <v>1</v>
      </c>
      <c r="C1547" s="5" t="s">
        <v>17</v>
      </c>
      <c r="D1547" s="6">
        <f>IF(J1547=1,1.0,0)</f>
        <v/>
      </c>
      <c r="E1547" s="5" t="s">
        <v>17</v>
      </c>
      <c r="F1547" s="5" t="s">
        <v>17</v>
      </c>
      <c r="G1547" s="5" t="s">
        <v>17</v>
      </c>
      <c r="H1547" s="5" t="s">
        <v>17</v>
      </c>
      <c r="I1547" s="5" t="s">
        <v>17</v>
      </c>
      <c r="J1547" s="8">
        <f>IF(OR(LOOKUP(A1547,characters!A:A,characters!B:B)=-1, LOOKUP(A1547,characters!A:A,characters!B:B)+0.1&gt;=B1547),1,0)</f>
        <v/>
      </c>
    </row>
    <row r="1548" spans="1:12">
      <c r="A1548" s="4" t="s">
        <v>53</v>
      </c>
      <c r="B1548" s="7">
        <v>1</v>
      </c>
      <c r="C1548" s="6">
        <f>IF(J1548=1,0.9,0)</f>
        <v/>
      </c>
      <c r="D1548" s="5" t="s">
        <v>17</v>
      </c>
      <c r="E1548" s="6">
        <f>IF(J1548=1,1.0,0)</f>
        <v/>
      </c>
      <c r="F1548" s="5" t="s">
        <v>17</v>
      </c>
      <c r="G1548" s="5" t="s">
        <v>17</v>
      </c>
      <c r="H1548" s="5" t="s">
        <v>17</v>
      </c>
      <c r="I1548" s="5" t="s">
        <v>17</v>
      </c>
      <c r="J1548" s="8">
        <f>IF(OR(LOOKUP(A1548,characters!A:A,characters!B:B)=-1, LOOKUP(A1548,characters!A:A,characters!B:B)+0.1&gt;=B1548),1,0)</f>
        <v/>
      </c>
    </row>
    <row r="1549" spans="1:12">
      <c r="A1549" s="4" t="s">
        <v>91</v>
      </c>
      <c r="B1549" s="7">
        <v>1</v>
      </c>
      <c r="C1549" s="5" t="s">
        <v>17</v>
      </c>
      <c r="D1549" s="5" t="s">
        <v>17</v>
      </c>
      <c r="E1549" s="5" t="s">
        <v>17</v>
      </c>
      <c r="F1549" s="6">
        <f>IF(J1549=1,1.0,0)</f>
        <v/>
      </c>
      <c r="G1549" s="6">
        <f>IF(J1549=1,0.99,0)</f>
        <v/>
      </c>
      <c r="H1549" s="5" t="s">
        <v>17</v>
      </c>
      <c r="I1549" s="5" t="s">
        <v>17</v>
      </c>
      <c r="J1549" s="8">
        <f>IF(OR(LOOKUP(A1549,characters!A:A,characters!B:B)=-1, LOOKUP(A1549,characters!A:A,characters!B:B)+0.1&gt;=B1549),1,0)</f>
        <v/>
      </c>
    </row>
    <row r="1550" spans="1:12">
      <c r="A1550" s="4" t="s">
        <v>78</v>
      </c>
      <c r="B1550" s="7">
        <v>1</v>
      </c>
      <c r="C1550" s="6">
        <f>IF(J1550=1,1.0,0)</f>
        <v/>
      </c>
      <c r="D1550" s="5" t="s">
        <v>17</v>
      </c>
      <c r="E1550" s="5" t="s">
        <v>17</v>
      </c>
      <c r="F1550" s="5" t="s">
        <v>17</v>
      </c>
      <c r="G1550" s="5" t="s">
        <v>17</v>
      </c>
      <c r="H1550" s="5" t="s">
        <v>17</v>
      </c>
      <c r="I1550" s="5" t="s">
        <v>17</v>
      </c>
      <c r="J1550" s="8">
        <f>IF(OR(LOOKUP(A1550,characters!A:A,characters!B:B)=-1, LOOKUP(A1550,characters!A:A,characters!B:B)+0.1&gt;=B1550),1,0)</f>
        <v/>
      </c>
    </row>
    <row r="1551" spans="1:12">
      <c r="A1551" s="4" t="s">
        <v>118</v>
      </c>
      <c r="B1551" s="7">
        <v>2</v>
      </c>
      <c r="C1551" s="5" t="s">
        <v>17</v>
      </c>
      <c r="D1551" s="5" t="s">
        <v>17</v>
      </c>
      <c r="E1551" s="5" t="s">
        <v>17</v>
      </c>
      <c r="F1551" s="5" t="s">
        <v>17</v>
      </c>
      <c r="G1551" s="5" t="s">
        <v>17</v>
      </c>
      <c r="H1551" s="6">
        <f>IF(J1551=1,1.0,0)</f>
        <v/>
      </c>
      <c r="I1551" s="6">
        <f>IF(J1551=1,0.9,0)</f>
        <v/>
      </c>
      <c r="J1551" s="8">
        <f>IF(OR(LOOKUP(A1551,characters!A:A,characters!B:B)=-1, LOOKUP(A1551,characters!A:A,characters!B:B)+0.1&gt;=B1551),1,0)</f>
        <v/>
      </c>
    </row>
    <row r="1552" spans="1:12">
      <c r="A1552" s="4" t="s">
        <v>49</v>
      </c>
      <c r="B1552" s="7">
        <v>1</v>
      </c>
      <c r="C1552" s="5" t="s">
        <v>17</v>
      </c>
      <c r="D1552" s="5" t="s">
        <v>17</v>
      </c>
      <c r="E1552" s="5" t="s">
        <v>17</v>
      </c>
      <c r="F1552" s="6">
        <f>IF(J1552=1,1.0,0)</f>
        <v/>
      </c>
      <c r="G1552" s="6">
        <f>IF(J1552=1,0.99,0)</f>
        <v/>
      </c>
      <c r="H1552" s="5" t="s">
        <v>17</v>
      </c>
      <c r="I1552" s="5" t="s">
        <v>17</v>
      </c>
      <c r="J1552" s="8">
        <f>IF(OR(LOOKUP(A1552,characters!A:A,characters!B:B)=-1, LOOKUP(A1552,characters!A:A,characters!B:B)+0.1&gt;=B1552),1,0)</f>
        <v/>
      </c>
    </row>
    <row r="1553" spans="1:10">
      <c r="A1553" s="4" t="s">
        <v>73</v>
      </c>
      <c r="B1553" s="7">
        <v>1</v>
      </c>
      <c r="C1553" s="5" t="s">
        <v>17</v>
      </c>
      <c r="D1553" s="5" t="s">
        <v>17</v>
      </c>
      <c r="E1553" s="6">
        <f>IF(J1553=1,1.0,0)</f>
        <v/>
      </c>
      <c r="F1553" s="5" t="s">
        <v>17</v>
      </c>
      <c r="G1553" s="5" t="s">
        <v>17</v>
      </c>
      <c r="H1553" s="5" t="s">
        <v>17</v>
      </c>
      <c r="I1553" s="5" t="s">
        <v>17</v>
      </c>
      <c r="J1553" s="8">
        <f>IF(OR(LOOKUP(A1553,characters!A:A,characters!B:B)=-1, LOOKUP(A1553,characters!A:A,characters!B:B)+0.1&gt;=B1553),1,0)</f>
        <v/>
      </c>
    </row>
    <row r="1554" spans="1:10">
      <c r="A1554" s="4" t="s">
        <v>74</v>
      </c>
      <c r="B1554" s="7">
        <v>1</v>
      </c>
      <c r="C1554" s="5" t="s">
        <v>17</v>
      </c>
      <c r="D1554" s="5" t="s">
        <v>17</v>
      </c>
      <c r="E1554" s="5" t="s">
        <v>17</v>
      </c>
      <c r="F1554" s="5" t="s">
        <v>17</v>
      </c>
      <c r="G1554" s="5" t="s">
        <v>17</v>
      </c>
      <c r="H1554" s="6">
        <f>IF(J1554=1,1.0,0)</f>
        <v/>
      </c>
      <c r="I1554" s="6">
        <f>IF(J1554=1,0.9,0)</f>
        <v/>
      </c>
      <c r="J1554" s="8">
        <f>IF(OR(LOOKUP(A1554,characters!A:A,characters!B:B)=-1, LOOKUP(A1554,characters!A:A,characters!B:B)+0.1&gt;=B1554),1,0)</f>
        <v/>
      </c>
    </row>
    <row r="1555" spans="1:10">
      <c r="A1555" s="4" t="s">
        <v>93</v>
      </c>
      <c r="B1555" s="7">
        <v>1</v>
      </c>
      <c r="C1555" s="5" t="s">
        <v>17</v>
      </c>
      <c r="D1555" s="5" t="s">
        <v>17</v>
      </c>
      <c r="E1555" s="5" t="s">
        <v>17</v>
      </c>
      <c r="F1555" s="6">
        <f>IF(J1555=1,1.0,0)</f>
        <v/>
      </c>
      <c r="G1555" s="6">
        <f>IF(J1555=1,0.99,0)</f>
        <v/>
      </c>
      <c r="H1555" s="5" t="s">
        <v>17</v>
      </c>
      <c r="I1555" s="5" t="s">
        <v>17</v>
      </c>
      <c r="J1555" s="8">
        <f>IF(OR(LOOKUP(A1555,characters!A:A,characters!B:B)=-1, LOOKUP(A1555,characters!A:A,characters!B:B)+0.1&gt;=B1555),1,0)</f>
        <v/>
      </c>
    </row>
    <row r="1557" spans="1:10">
      <c r="A1557" s="3" t="s">
        <v>24</v>
      </c>
      <c r="B1557" s="3" t="s">
        <v>9</v>
      </c>
      <c r="C1557" s="3" t="s">
        <v>10</v>
      </c>
      <c r="D1557" s="3" t="s">
        <v>11</v>
      </c>
    </row>
    <row r="1558" spans="1:10">
      <c r="A1558" s="4" t="s">
        <v>16</v>
      </c>
      <c r="B1558" s="5" t="s">
        <v>17</v>
      </c>
      <c r="C1558" s="6">
        <f>IF(SUM(E1559:E1570)=0,0,SUM(C1559:C1570)/SUM(E1559:E1570))</f>
        <v/>
      </c>
      <c r="D1558" s="6">
        <f>IF(SUM(E1559:E1570)=0,0,SUM(D1559:D1570)/SUM(E1559:E1570))</f>
        <v/>
      </c>
    </row>
    <row r="1559" spans="1:10">
      <c r="A1559" s="4" t="s">
        <v>77</v>
      </c>
      <c r="B1559" s="7">
        <v>2</v>
      </c>
      <c r="C1559" s="6">
        <f>IF(E1559=1,1.0,0)</f>
        <v/>
      </c>
      <c r="D1559" s="5" t="s">
        <v>17</v>
      </c>
      <c r="E1559" s="8">
        <f>IF(OR(LOOKUP(A1559,characters!A:A,characters!B:B)=-1, LOOKUP(A1559,characters!A:A,characters!B:B)+0.1&gt;=B1559),1,0)</f>
        <v/>
      </c>
    </row>
    <row r="1560" spans="1:10">
      <c r="A1560" s="4" t="s">
        <v>100</v>
      </c>
      <c r="B1560" s="7">
        <v>1</v>
      </c>
      <c r="C1560" s="6">
        <f>IF(E1560=1,1.0,0)</f>
        <v/>
      </c>
      <c r="D1560" s="5" t="s">
        <v>17</v>
      </c>
      <c r="E1560" s="8">
        <f>IF(OR(LOOKUP(A1560,characters!A:A,characters!B:B)=-1, LOOKUP(A1560,characters!A:A,characters!B:B)+0.1&gt;=B1560),1,0)</f>
        <v/>
      </c>
    </row>
    <row r="1561" spans="1:10">
      <c r="A1561" s="4" t="s">
        <v>101</v>
      </c>
      <c r="B1561" s="7">
        <v>1</v>
      </c>
      <c r="C1561" s="6">
        <f>IF(E1561=1,1.0,0)</f>
        <v/>
      </c>
      <c r="D1561" s="5" t="s">
        <v>17</v>
      </c>
      <c r="E1561" s="8">
        <f>IF(OR(LOOKUP(A1561,characters!A:A,characters!B:B)=-1, LOOKUP(A1561,characters!A:A,characters!B:B)+0.1&gt;=B1561),1,0)</f>
        <v/>
      </c>
    </row>
    <row r="1562" spans="1:10">
      <c r="A1562" s="4" t="s">
        <v>102</v>
      </c>
      <c r="B1562" s="7">
        <v>1</v>
      </c>
      <c r="C1562" s="6">
        <f>IF(E1562=1,1.0,0)</f>
        <v/>
      </c>
      <c r="D1562" s="5" t="s">
        <v>17</v>
      </c>
      <c r="E1562" s="8">
        <f>IF(OR(LOOKUP(A1562,characters!A:A,characters!B:B)=-1, LOOKUP(A1562,characters!A:A,characters!B:B)+0.1&gt;=B1562),1,0)</f>
        <v/>
      </c>
    </row>
    <row r="1563" spans="1:10">
      <c r="A1563" s="4" t="s">
        <v>53</v>
      </c>
      <c r="B1563" s="7">
        <v>1</v>
      </c>
      <c r="C1563" s="6">
        <f>IF(E1563=1,1.0,0)</f>
        <v/>
      </c>
      <c r="D1563" s="5" t="s">
        <v>17</v>
      </c>
      <c r="E1563" s="8">
        <f>IF(OR(LOOKUP(A1563,characters!A:A,characters!B:B)=-1, LOOKUP(A1563,characters!A:A,characters!B:B)+0.1&gt;=B1563),1,0)</f>
        <v/>
      </c>
    </row>
    <row r="1564" spans="1:10">
      <c r="A1564" s="4" t="s">
        <v>91</v>
      </c>
      <c r="B1564" s="7">
        <v>1</v>
      </c>
      <c r="C1564" s="6">
        <f>IF(E1564=1,1.0,0)</f>
        <v/>
      </c>
      <c r="D1564" s="6">
        <f>IF(E1564=1,0.99,0)</f>
        <v/>
      </c>
      <c r="E1564" s="8">
        <f>IF(OR(LOOKUP(A1564,characters!A:A,characters!B:B)=-1, LOOKUP(A1564,characters!A:A,characters!B:B)+0.1&gt;=B1564),1,0)</f>
        <v/>
      </c>
    </row>
    <row r="1565" spans="1:10">
      <c r="A1565" s="4" t="s">
        <v>78</v>
      </c>
      <c r="B1565" s="7">
        <v>1</v>
      </c>
      <c r="C1565" s="6">
        <f>IF(E1565=1,1.0,0)</f>
        <v/>
      </c>
      <c r="D1565" s="5" t="s">
        <v>17</v>
      </c>
      <c r="E1565" s="8">
        <f>IF(OR(LOOKUP(A1565,characters!A:A,characters!B:B)=-1, LOOKUP(A1565,characters!A:A,characters!B:B)+0.1&gt;=B1565),1,0)</f>
        <v/>
      </c>
    </row>
    <row r="1566" spans="1:10">
      <c r="A1566" s="4" t="s">
        <v>118</v>
      </c>
      <c r="B1566" s="7">
        <v>2</v>
      </c>
      <c r="C1566" s="6">
        <f>IF(E1566=1,1.0,0)</f>
        <v/>
      </c>
      <c r="D1566" s="5" t="s">
        <v>17</v>
      </c>
      <c r="E1566" s="8">
        <f>IF(OR(LOOKUP(A1566,characters!A:A,characters!B:B)=-1, LOOKUP(A1566,characters!A:A,characters!B:B)+0.1&gt;=B1566),1,0)</f>
        <v/>
      </c>
    </row>
    <row r="1567" spans="1:10">
      <c r="A1567" s="4" t="s">
        <v>49</v>
      </c>
      <c r="B1567" s="7">
        <v>1</v>
      </c>
      <c r="C1567" s="6">
        <f>IF(E1567=1,1.0,0)</f>
        <v/>
      </c>
      <c r="D1567" s="6">
        <f>IF(E1567=1,0.99,0)</f>
        <v/>
      </c>
      <c r="E1567" s="8">
        <f>IF(OR(LOOKUP(A1567,characters!A:A,characters!B:B)=-1, LOOKUP(A1567,characters!A:A,characters!B:B)+0.1&gt;=B1567),1,0)</f>
        <v/>
      </c>
    </row>
    <row r="1568" spans="1:10">
      <c r="A1568" s="4" t="s">
        <v>73</v>
      </c>
      <c r="B1568" s="7">
        <v>1</v>
      </c>
      <c r="C1568" s="6">
        <f>IF(E1568=1,1.0,0)</f>
        <v/>
      </c>
      <c r="D1568" s="5" t="s">
        <v>17</v>
      </c>
      <c r="E1568" s="8">
        <f>IF(OR(LOOKUP(A1568,characters!A:A,characters!B:B)=-1, LOOKUP(A1568,characters!A:A,characters!B:B)+0.1&gt;=B1568),1,0)</f>
        <v/>
      </c>
    </row>
    <row r="1569" spans="1:8">
      <c r="A1569" s="4" t="s">
        <v>74</v>
      </c>
      <c r="B1569" s="7">
        <v>1</v>
      </c>
      <c r="C1569" s="6">
        <f>IF(E1569=1,1.0,0)</f>
        <v/>
      </c>
      <c r="D1569" s="5" t="s">
        <v>17</v>
      </c>
      <c r="E1569" s="8">
        <f>IF(OR(LOOKUP(A1569,characters!A:A,characters!B:B)=-1, LOOKUP(A1569,characters!A:A,characters!B:B)+0.1&gt;=B1569),1,0)</f>
        <v/>
      </c>
    </row>
    <row r="1570" spans="1:8">
      <c r="A1570" s="4" t="s">
        <v>93</v>
      </c>
      <c r="B1570" s="7">
        <v>1</v>
      </c>
      <c r="C1570" s="6">
        <f>IF(E1570=1,1.0,0)</f>
        <v/>
      </c>
      <c r="D1570" s="6">
        <f>IF(E1570=1,0.99,0)</f>
        <v/>
      </c>
      <c r="E1570" s="8">
        <f>IF(OR(LOOKUP(A1570,characters!A:A,characters!B:B)=-1, LOOKUP(A1570,characters!A:A,characters!B:B)+0.1&gt;=B1570),1,0)</f>
        <v/>
      </c>
    </row>
    <row r="1577" spans="1:8">
      <c r="A1577" s="3" t="s">
        <v>137</v>
      </c>
    </row>
    <row r="1578" spans="1:8">
      <c r="A1578" s="3" t="s">
        <v>8</v>
      </c>
      <c r="B1578" s="3" t="s">
        <v>9</v>
      </c>
      <c r="C1578" s="3" t="s">
        <v>12</v>
      </c>
      <c r="D1578" s="3" t="s">
        <v>13</v>
      </c>
      <c r="E1578" s="3" t="s">
        <v>11</v>
      </c>
      <c r="F1578" s="3" t="s">
        <v>10</v>
      </c>
      <c r="G1578" s="3" t="s">
        <v>14</v>
      </c>
    </row>
    <row r="1579" spans="1:8">
      <c r="A1579" s="4" t="s">
        <v>16</v>
      </c>
      <c r="B1579" s="5" t="s">
        <v>17</v>
      </c>
      <c r="C1579" s="6">
        <f>IF(SUM(H1580:H1583)=0,0,SUM(C1580:C1583)/SUM(H1580:H1583))</f>
        <v/>
      </c>
      <c r="D1579" s="6">
        <f>IF(SUM(H1580:H1583)=0,0,SUM(D1580:D1583)/SUM(H1580:H1583))</f>
        <v/>
      </c>
      <c r="E1579" s="6">
        <f>IF(SUM(H1580:H1583)=0,0,SUM(E1580:E1583)/SUM(H1580:H1583))</f>
        <v/>
      </c>
      <c r="F1579" s="6">
        <f>IF(SUM(H1580:H1583)=0,0,SUM(F1580:F1583)/SUM(H1580:H1583))</f>
        <v/>
      </c>
      <c r="G1579" s="6">
        <f>IF(SUM(H1580:H1583)=0,0,SUM(G1580:G1583)/SUM(H1580:H1583))</f>
        <v/>
      </c>
    </row>
    <row r="1580" spans="1:8">
      <c r="A1580" s="4" t="s">
        <v>86</v>
      </c>
      <c r="B1580" s="7">
        <v>1</v>
      </c>
      <c r="C1580" s="6">
        <f>IF(H1580=1,1.0,0)</f>
        <v/>
      </c>
      <c r="D1580" s="6">
        <f>IF(H1580=1,1.0,0)</f>
        <v/>
      </c>
      <c r="E1580" s="6">
        <f>IF(H1580=1,0.9,0)</f>
        <v/>
      </c>
      <c r="F1580" s="5" t="s">
        <v>17</v>
      </c>
      <c r="G1580" s="5" t="s">
        <v>17</v>
      </c>
      <c r="H1580" s="8">
        <f>IF(OR(LOOKUP(A1580,characters!A:A,characters!B:B)=-1, LOOKUP(A1580,characters!A:A,characters!B:B)+0.1&gt;=B1580),1,0)</f>
        <v/>
      </c>
    </row>
    <row r="1581" spans="1:8">
      <c r="A1581" s="4" t="s">
        <v>55</v>
      </c>
      <c r="B1581" s="7">
        <v>1</v>
      </c>
      <c r="C1581" s="6">
        <f>IF(H1581=1,0.9,0)</f>
        <v/>
      </c>
      <c r="D1581" s="6">
        <f>IF(H1581=1,0.9,0)</f>
        <v/>
      </c>
      <c r="E1581" s="6">
        <f>IF(H1581=1,0.8,0)</f>
        <v/>
      </c>
      <c r="F1581" s="6">
        <f>IF(H1581=1,1.0,0)</f>
        <v/>
      </c>
      <c r="G1581" s="5" t="s">
        <v>17</v>
      </c>
      <c r="H1581" s="8">
        <f>IF(OR(LOOKUP(A1581,characters!A:A,characters!B:B)=-1, LOOKUP(A1581,characters!A:A,characters!B:B)+0.1&gt;=B1581),1,0)</f>
        <v/>
      </c>
    </row>
    <row r="1582" spans="1:8">
      <c r="A1582" s="4" t="s">
        <v>91</v>
      </c>
      <c r="B1582" s="7">
        <v>1</v>
      </c>
      <c r="C1582" s="6">
        <f>IF(H1582=1,0.9,0)</f>
        <v/>
      </c>
      <c r="D1582" s="6">
        <f>IF(H1582=1,0.9,0)</f>
        <v/>
      </c>
      <c r="E1582" s="6">
        <f>IF(H1582=1,0.8,0)</f>
        <v/>
      </c>
      <c r="F1582" s="6">
        <f>IF(H1582=1,1.0,0)</f>
        <v/>
      </c>
      <c r="G1582" s="5" t="s">
        <v>17</v>
      </c>
      <c r="H1582" s="8">
        <f>IF(OR(LOOKUP(A1582,characters!A:A,characters!B:B)=-1, LOOKUP(A1582,characters!A:A,characters!B:B)+0.1&gt;=B1582),1,0)</f>
        <v/>
      </c>
    </row>
    <row r="1583" spans="1:8">
      <c r="A1583" s="4" t="s">
        <v>90</v>
      </c>
      <c r="B1583" s="7">
        <v>1</v>
      </c>
      <c r="C1583" s="6">
        <f>IF(H1583=1,0.9,0)</f>
        <v/>
      </c>
      <c r="D1583" s="6">
        <f>IF(H1583=1,0.9,0)</f>
        <v/>
      </c>
      <c r="E1583" s="6">
        <f>IF(H1583=1,0.8,0)</f>
        <v/>
      </c>
      <c r="F1583" s="6">
        <f>IF(H1583=1,1.0,0)</f>
        <v/>
      </c>
      <c r="G1583" s="6">
        <f>IF(H1583=1,1.0,0)</f>
        <v/>
      </c>
      <c r="H1583" s="8">
        <f>IF(OR(LOOKUP(A1583,characters!A:A,characters!B:B)=-1, LOOKUP(A1583,characters!A:A,characters!B:B)+0.1&gt;=B1583),1,0)</f>
        <v/>
      </c>
    </row>
    <row r="1585" spans="1:6">
      <c r="A1585" s="3" t="s">
        <v>23</v>
      </c>
      <c r="B1585" s="3" t="s">
        <v>9</v>
      </c>
      <c r="C1585" s="3" t="s">
        <v>13</v>
      </c>
      <c r="D1585" s="3" t="s">
        <v>12</v>
      </c>
      <c r="E1585" s="3" t="s">
        <v>14</v>
      </c>
    </row>
    <row r="1586" spans="1:6">
      <c r="A1586" s="4" t="s">
        <v>16</v>
      </c>
      <c r="B1586" s="5" t="s">
        <v>17</v>
      </c>
      <c r="C1586" s="6">
        <f>IF(SUM(F1587:F1590)=0,0,SUM(C1587:C1590)/SUM(F1587:F1590))</f>
        <v/>
      </c>
      <c r="D1586" s="6">
        <f>IF(SUM(F1587:F1590)=0,0,SUM(D1587:D1590)/SUM(F1587:F1590))</f>
        <v/>
      </c>
      <c r="E1586" s="6">
        <f>IF(SUM(F1587:F1590)=0,0,SUM(E1587:E1590)/SUM(F1587:F1590))</f>
        <v/>
      </c>
    </row>
    <row r="1587" spans="1:6">
      <c r="A1587" s="4" t="s">
        <v>86</v>
      </c>
      <c r="B1587" s="7">
        <v>1</v>
      </c>
      <c r="C1587" s="6">
        <f>IF(F1587=1,1.0,0)</f>
        <v/>
      </c>
      <c r="D1587" s="6">
        <f>IF(F1587=1,0.99,0)</f>
        <v/>
      </c>
      <c r="E1587" s="5" t="s">
        <v>17</v>
      </c>
      <c r="F1587" s="8">
        <f>IF(OR(LOOKUP(A1587,characters!A:A,characters!B:B)=-1, LOOKUP(A1587,characters!A:A,characters!B:B)+0.1&gt;=B1587),1,0)</f>
        <v/>
      </c>
    </row>
    <row r="1588" spans="1:6">
      <c r="A1588" s="4" t="s">
        <v>55</v>
      </c>
      <c r="B1588" s="7">
        <v>1</v>
      </c>
      <c r="C1588" s="6">
        <f>IF(F1588=1,0.99,0)</f>
        <v/>
      </c>
      <c r="D1588" s="6">
        <f>IF(F1588=1,1.0,0)</f>
        <v/>
      </c>
      <c r="E1588" s="5" t="s">
        <v>17</v>
      </c>
      <c r="F1588" s="8">
        <f>IF(OR(LOOKUP(A1588,characters!A:A,characters!B:B)=-1, LOOKUP(A1588,characters!A:A,characters!B:B)+0.1&gt;=B1588),1,0)</f>
        <v/>
      </c>
    </row>
    <row r="1589" spans="1:6">
      <c r="A1589" s="4" t="s">
        <v>91</v>
      </c>
      <c r="B1589" s="7">
        <v>1</v>
      </c>
      <c r="C1589" s="6">
        <f>IF(F1589=1,0.99,0)</f>
        <v/>
      </c>
      <c r="D1589" s="6">
        <f>IF(F1589=1,1.0,0)</f>
        <v/>
      </c>
      <c r="E1589" s="5" t="s">
        <v>17</v>
      </c>
      <c r="F1589" s="8">
        <f>IF(OR(LOOKUP(A1589,characters!A:A,characters!B:B)=-1, LOOKUP(A1589,characters!A:A,characters!B:B)+0.1&gt;=B1589),1,0)</f>
        <v/>
      </c>
    </row>
    <row r="1590" spans="1:6">
      <c r="A1590" s="4" t="s">
        <v>90</v>
      </c>
      <c r="B1590" s="7">
        <v>1</v>
      </c>
      <c r="C1590" s="5" t="s">
        <v>17</v>
      </c>
      <c r="D1590" s="6">
        <f>IF(F1590=1,1.0,0)</f>
        <v/>
      </c>
      <c r="E1590" s="6">
        <f>IF(F1590=1,0.9,0)</f>
        <v/>
      </c>
      <c r="F1590" s="8">
        <f>IF(OR(LOOKUP(A1590,characters!A:A,characters!B:B)=-1, LOOKUP(A1590,characters!A:A,characters!B:B)+0.1&gt;=B1590),1,0)</f>
        <v/>
      </c>
    </row>
    <row r="1592" spans="1:6">
      <c r="A1592" s="3" t="s">
        <v>24</v>
      </c>
      <c r="B1592" s="3" t="s">
        <v>9</v>
      </c>
      <c r="C1592" s="3" t="s">
        <v>11</v>
      </c>
      <c r="D1592" s="3" t="s">
        <v>10</v>
      </c>
    </row>
    <row r="1593" spans="1:6">
      <c r="A1593" s="4" t="s">
        <v>16</v>
      </c>
      <c r="B1593" s="5" t="s">
        <v>17</v>
      </c>
      <c r="C1593" s="6">
        <f>IF(SUM(E1594:E1597)=0,0,SUM(C1594:C1597)/SUM(E1594:E1597))</f>
        <v/>
      </c>
      <c r="D1593" s="6">
        <f>IF(SUM(E1594:E1597)=0,0,SUM(D1594:D1597)/SUM(E1594:E1597))</f>
        <v/>
      </c>
    </row>
    <row r="1594" spans="1:6">
      <c r="A1594" s="4" t="s">
        <v>86</v>
      </c>
      <c r="B1594" s="7">
        <v>1</v>
      </c>
      <c r="C1594" s="6">
        <f>IF(E1594=1,1.0,0)</f>
        <v/>
      </c>
      <c r="D1594" s="6">
        <f>IF(E1594=1,0.9,0)</f>
        <v/>
      </c>
      <c r="E1594" s="8">
        <f>IF(OR(LOOKUP(A1594,characters!A:A,characters!B:B)=-1, LOOKUP(A1594,characters!A:A,characters!B:B)+0.1&gt;=B1594),1,0)</f>
        <v/>
      </c>
    </row>
    <row r="1595" spans="1:6">
      <c r="A1595" s="4" t="s">
        <v>55</v>
      </c>
      <c r="B1595" s="7">
        <v>1</v>
      </c>
      <c r="C1595" s="6">
        <f>IF(E1595=1,0.9,0)</f>
        <v/>
      </c>
      <c r="D1595" s="6">
        <f>IF(E1595=1,1.0,0)</f>
        <v/>
      </c>
      <c r="E1595" s="8">
        <f>IF(OR(LOOKUP(A1595,characters!A:A,characters!B:B)=-1, LOOKUP(A1595,characters!A:A,characters!B:B)+0.1&gt;=B1595),1,0)</f>
        <v/>
      </c>
    </row>
    <row r="1596" spans="1:6">
      <c r="A1596" s="4" t="s">
        <v>91</v>
      </c>
      <c r="B1596" s="7">
        <v>1</v>
      </c>
      <c r="C1596" s="6">
        <f>IF(E1596=1,0.99,0)</f>
        <v/>
      </c>
      <c r="D1596" s="6">
        <f>IF(E1596=1,1.0,0)</f>
        <v/>
      </c>
      <c r="E1596" s="8">
        <f>IF(OR(LOOKUP(A1596,characters!A:A,characters!B:B)=-1, LOOKUP(A1596,characters!A:A,characters!B:B)+0.1&gt;=B1596),1,0)</f>
        <v/>
      </c>
    </row>
    <row r="1597" spans="1:6">
      <c r="A1597" s="4" t="s">
        <v>90</v>
      </c>
      <c r="B1597" s="7">
        <v>1</v>
      </c>
      <c r="C1597" s="5" t="s">
        <v>17</v>
      </c>
      <c r="D1597" s="6">
        <f>IF(E1597=1,1.0,0)</f>
        <v/>
      </c>
      <c r="E1597" s="8">
        <f>IF(OR(LOOKUP(A1597,characters!A:A,characters!B:B)=-1, LOOKUP(A1597,characters!A:A,characters!B:B)+0.1&gt;=B1597),1,0)</f>
        <v/>
      </c>
    </row>
    <row r="1604" spans="1:10">
      <c r="A1604" s="3" t="s">
        <v>138</v>
      </c>
    </row>
    <row r="1605" spans="1:10">
      <c r="A1605" s="3" t="s">
        <v>8</v>
      </c>
      <c r="B1605" s="3" t="s">
        <v>9</v>
      </c>
      <c r="C1605" s="3" t="s">
        <v>10</v>
      </c>
      <c r="D1605" s="3" t="s">
        <v>15</v>
      </c>
      <c r="E1605" s="3" t="s">
        <v>27</v>
      </c>
      <c r="F1605" s="3" t="s">
        <v>26</v>
      </c>
      <c r="G1605" s="3" t="s">
        <v>28</v>
      </c>
      <c r="H1605" s="3" t="s">
        <v>34</v>
      </c>
      <c r="I1605" s="3" t="s">
        <v>35</v>
      </c>
    </row>
    <row r="1606" spans="1:10">
      <c r="A1606" s="4" t="s">
        <v>16</v>
      </c>
      <c r="B1606" s="5" t="s">
        <v>17</v>
      </c>
      <c r="C1606" s="6">
        <f>IF(SUM(J1607:J1609)=0,0,SUM(C1607:C1609)/SUM(J1607:J1609))</f>
        <v/>
      </c>
      <c r="D1606" s="6">
        <f>IF(SUM(J1607:J1609)=0,0,SUM(D1607:D1609)/SUM(J1607:J1609))</f>
        <v/>
      </c>
      <c r="E1606" s="6">
        <f>IF(SUM(J1607:J1609)=0,0,SUM(E1607:E1609)/SUM(J1607:J1609))</f>
        <v/>
      </c>
      <c r="F1606" s="6">
        <f>IF(SUM(J1607:J1609)=0,0,SUM(F1607:F1609)/SUM(J1607:J1609))</f>
        <v/>
      </c>
      <c r="G1606" s="6">
        <f>IF(SUM(J1607:J1609)=0,0,SUM(G1607:G1609)/SUM(J1607:J1609))</f>
        <v/>
      </c>
      <c r="H1606" s="6">
        <f>IF(SUM(J1607:J1609)=0,0,SUM(H1607:H1609)/SUM(J1607:J1609))</f>
        <v/>
      </c>
      <c r="I1606" s="6">
        <f>IF(SUM(J1607:J1609)=0,0,SUM(I1607:I1609)/SUM(J1607:J1609))</f>
        <v/>
      </c>
    </row>
    <row r="1607" spans="1:10">
      <c r="A1607" s="4" t="s">
        <v>118</v>
      </c>
      <c r="B1607" s="7">
        <v>0</v>
      </c>
      <c r="C1607" s="6">
        <f>IF(J1607=1,0.9,0)</f>
        <v/>
      </c>
      <c r="D1607" s="6">
        <f>IF(J1607=1,1.0,0)</f>
        <v/>
      </c>
      <c r="E1607" s="6">
        <f>IF(J1607=1,0.8,0)</f>
        <v/>
      </c>
      <c r="F1607" s="6">
        <f>IF(J1607=1,0.8,0)</f>
        <v/>
      </c>
      <c r="G1607" s="6">
        <f>IF(J1607=1,0.7,0)</f>
        <v/>
      </c>
      <c r="H1607" s="5" t="s">
        <v>17</v>
      </c>
      <c r="I1607" s="5" t="s">
        <v>17</v>
      </c>
      <c r="J1607" s="8">
        <f>IF(OR(LOOKUP(A1607,characters!A:A,characters!B:B)=-1, LOOKUP(A1607,characters!A:A,characters!B:B)+0.1&gt;=B1607),1,0)</f>
        <v/>
      </c>
    </row>
    <row r="1608" spans="1:10">
      <c r="A1608" s="4" t="s">
        <v>74</v>
      </c>
      <c r="B1608" s="7">
        <v>0</v>
      </c>
      <c r="C1608" s="6">
        <f>IF(J1608=1,1.0,0)</f>
        <v/>
      </c>
      <c r="D1608" s="6">
        <f>IF(J1608=1,1.0,0)</f>
        <v/>
      </c>
      <c r="E1608" s="6">
        <f>IF(J1608=1,0.9,0)</f>
        <v/>
      </c>
      <c r="F1608" s="6">
        <f>IF(J1608=1,0.9,0)</f>
        <v/>
      </c>
      <c r="G1608" s="5" t="s">
        <v>17</v>
      </c>
      <c r="H1608" s="5" t="s">
        <v>17</v>
      </c>
      <c r="I1608" s="5" t="s">
        <v>17</v>
      </c>
      <c r="J1608" s="8">
        <f>IF(OR(LOOKUP(A1608,characters!A:A,characters!B:B)=-1, LOOKUP(A1608,characters!A:A,characters!B:B)+0.1&gt;=B1608),1,0)</f>
        <v/>
      </c>
    </row>
    <row r="1609" spans="1:10">
      <c r="A1609" s="4" t="s">
        <v>69</v>
      </c>
      <c r="B1609" s="7">
        <v>1</v>
      </c>
      <c r="C1609" s="6">
        <f>IF(J1609=1,1.0,0)</f>
        <v/>
      </c>
      <c r="D1609" s="5" t="s">
        <v>17</v>
      </c>
      <c r="E1609" s="5" t="s">
        <v>17</v>
      </c>
      <c r="F1609" s="5" t="s">
        <v>17</v>
      </c>
      <c r="G1609" s="6">
        <f>IF(J1609=1,0.8,0)</f>
        <v/>
      </c>
      <c r="H1609" s="6">
        <f>IF(J1609=1,0.9,0)</f>
        <v/>
      </c>
      <c r="I1609" s="6">
        <f>IF(J1609=1,0.9,0)</f>
        <v/>
      </c>
      <c r="J1609" s="8">
        <f>IF(OR(LOOKUP(A1609,characters!A:A,characters!B:B)=-1, LOOKUP(A1609,characters!A:A,characters!B:B)+0.1&gt;=B1609),1,0)</f>
        <v/>
      </c>
    </row>
    <row r="1611" spans="1:10">
      <c r="A1611" s="3" t="s">
        <v>23</v>
      </c>
      <c r="B1611" s="3" t="s">
        <v>9</v>
      </c>
      <c r="C1611" s="3" t="s">
        <v>27</v>
      </c>
      <c r="D1611" s="3" t="s">
        <v>26</v>
      </c>
    </row>
    <row r="1612" spans="1:10">
      <c r="A1612" s="4" t="s">
        <v>16</v>
      </c>
      <c r="B1612" s="5" t="s">
        <v>17</v>
      </c>
      <c r="C1612" s="6">
        <f>IF(SUM(E1613:E1615)=0,0,SUM(C1613:C1615)/SUM(E1613:E1615))</f>
        <v/>
      </c>
      <c r="D1612" s="6">
        <f>IF(SUM(E1613:E1615)=0,0,SUM(D1613:D1615)/SUM(E1613:E1615))</f>
        <v/>
      </c>
    </row>
    <row r="1613" spans="1:10">
      <c r="A1613" s="4" t="s">
        <v>69</v>
      </c>
      <c r="B1613" s="7">
        <v>1</v>
      </c>
      <c r="C1613" s="6">
        <f>IF(E1613=1,1.0,0)</f>
        <v/>
      </c>
      <c r="D1613" s="6">
        <f>IF(E1613=1,0.9,0)</f>
        <v/>
      </c>
      <c r="E1613" s="8">
        <f>IF(OR(LOOKUP(A1613,characters!A:A,characters!B:B)=-1, LOOKUP(A1613,characters!A:A,characters!B:B)+0.1&gt;=B1613),1,0)</f>
        <v/>
      </c>
    </row>
    <row r="1614" spans="1:10">
      <c r="A1614" s="4" t="s">
        <v>118</v>
      </c>
      <c r="B1614" s="7">
        <v>0</v>
      </c>
      <c r="C1614" s="6">
        <f>IF(E1614=1,1.0,0)</f>
        <v/>
      </c>
      <c r="D1614" s="6">
        <f>IF(E1614=1,0.9,0)</f>
        <v/>
      </c>
      <c r="E1614" s="8">
        <f>IF(OR(LOOKUP(A1614,characters!A:A,characters!B:B)=-1, LOOKUP(A1614,characters!A:A,characters!B:B)+0.1&gt;=B1614),1,0)</f>
        <v/>
      </c>
    </row>
    <row r="1615" spans="1:10">
      <c r="A1615" s="4" t="s">
        <v>74</v>
      </c>
      <c r="B1615" s="7">
        <v>0</v>
      </c>
      <c r="C1615" s="6">
        <f>IF(E1615=1,1.0,0)</f>
        <v/>
      </c>
      <c r="D1615" s="6">
        <f>IF(E1615=1,0.9,0)</f>
        <v/>
      </c>
      <c r="E1615" s="8">
        <f>IF(OR(LOOKUP(A1615,characters!A:A,characters!B:B)=-1, LOOKUP(A1615,characters!A:A,characters!B:B)+0.1&gt;=B1615),1,0)</f>
        <v/>
      </c>
    </row>
    <row r="1617" spans="1:4">
      <c r="A1617" s="3" t="s">
        <v>24</v>
      </c>
      <c r="B1617" s="3" t="s">
        <v>9</v>
      </c>
      <c r="C1617" s="3" t="s">
        <v>10</v>
      </c>
    </row>
    <row r="1618" spans="1:4">
      <c r="A1618" s="4" t="s">
        <v>16</v>
      </c>
      <c r="B1618" s="5" t="s">
        <v>17</v>
      </c>
      <c r="C1618" s="6">
        <f>IF(SUM(D1619:D1621)=0,0,SUM(C1619:C1621)/SUM(D1619:D1621))</f>
        <v/>
      </c>
    </row>
    <row r="1619" spans="1:4">
      <c r="A1619" s="4" t="s">
        <v>69</v>
      </c>
      <c r="B1619" s="7">
        <v>1</v>
      </c>
      <c r="C1619" s="6">
        <f>IF(D1619=1,1.0,0)</f>
        <v/>
      </c>
      <c r="D1619" s="8">
        <f>IF(OR(LOOKUP(A1619,characters!A:A,characters!B:B)=-1, LOOKUP(A1619,characters!A:A,characters!B:B)+0.1&gt;=B1619),1,0)</f>
        <v/>
      </c>
    </row>
    <row r="1620" spans="1:4">
      <c r="A1620" s="4" t="s">
        <v>118</v>
      </c>
      <c r="B1620" s="7">
        <v>0</v>
      </c>
      <c r="C1620" s="6">
        <f>IF(D1620=1,1.0,0)</f>
        <v/>
      </c>
      <c r="D1620" s="8">
        <f>IF(OR(LOOKUP(A1620,characters!A:A,characters!B:B)=-1, LOOKUP(A1620,characters!A:A,characters!B:B)+0.1&gt;=B1620),1,0)</f>
        <v/>
      </c>
    </row>
    <row r="1621" spans="1:4">
      <c r="A1621" s="4" t="s">
        <v>74</v>
      </c>
      <c r="B1621" s="7">
        <v>0</v>
      </c>
      <c r="C1621" s="6">
        <f>IF(D1621=1,1.0,0)</f>
        <v/>
      </c>
      <c r="D1621" s="8">
        <f>IF(OR(LOOKUP(A1621,characters!A:A,characters!B:B)=-1, LOOKUP(A1621,characters!A:A,characters!B:B)+0.1&gt;=B1621),1,0)</f>
        <v/>
      </c>
    </row>
  </sheetData>
  <mergeCells count="3">
    <mergeCell ref="B3:C3"/>
    <mergeCell ref="B4:G4"/>
    <mergeCell ref="A1:E1"/>
  </mergeCells>
  <conditionalFormatting sqref="C100">
    <cfRule type="cellIs" dxfId="1" priority="175" operator="equal">
      <formula>0</formula>
    </cfRule>
  </conditionalFormatting>
  <conditionalFormatting sqref="C1000">
    <cfRule type="cellIs" dxfId="1" priority="2173" operator="equal">
      <formula>0</formula>
    </cfRule>
  </conditionalFormatting>
  <conditionalFormatting sqref="C1001">
    <cfRule type="cellIs" dxfId="1" priority="2177" operator="equal">
      <formula>0</formula>
    </cfRule>
  </conditionalFormatting>
  <conditionalFormatting sqref="C1002">
    <cfRule type="cellIs" dxfId="1" priority="2181" operator="equal">
      <formula>0</formula>
    </cfRule>
  </conditionalFormatting>
  <conditionalFormatting sqref="C1003">
    <cfRule type="cellIs" dxfId="1" priority="2184" operator="equal">
      <formula>0</formula>
    </cfRule>
  </conditionalFormatting>
  <conditionalFormatting sqref="C1004">
    <cfRule type="cellIs" dxfId="1" priority="2188" operator="equal">
      <formula>0</formula>
    </cfRule>
  </conditionalFormatting>
  <conditionalFormatting sqref="C1005">
    <cfRule type="cellIs" dxfId="1" priority="2192" operator="equal">
      <formula>0</formula>
    </cfRule>
  </conditionalFormatting>
  <conditionalFormatting sqref="C1006">
    <cfRule type="cellIs" dxfId="1" priority="2196" operator="equal">
      <formula>0</formula>
    </cfRule>
  </conditionalFormatting>
  <conditionalFormatting sqref="C1008">
    <cfRule type="expression" dxfId="0" priority="2199">
      <formula>C1009=0</formula>
    </cfRule>
  </conditionalFormatting>
  <conditionalFormatting sqref="C1009">
    <cfRule type="cellIs" dxfId="1" priority="2201" operator="equal">
      <formula>0</formula>
    </cfRule>
  </conditionalFormatting>
  <conditionalFormatting sqref="C101">
    <cfRule type="cellIs" dxfId="1" priority="178" operator="equal">
      <formula>0</formula>
    </cfRule>
  </conditionalFormatting>
  <conditionalFormatting sqref="C1010">
    <cfRule type="cellIs" dxfId="1" priority="2203" operator="equal">
      <formula>0</formula>
    </cfRule>
  </conditionalFormatting>
  <conditionalFormatting sqref="C1011">
    <cfRule type="cellIs" dxfId="1" priority="2205" operator="equal">
      <formula>0</formula>
    </cfRule>
  </conditionalFormatting>
  <conditionalFormatting sqref="C1012">
    <cfRule type="cellIs" dxfId="1" priority="2207" operator="equal">
      <formula>0</formula>
    </cfRule>
  </conditionalFormatting>
  <conditionalFormatting sqref="C1013">
    <cfRule type="cellIs" dxfId="1" priority="2209" operator="equal">
      <formula>0</formula>
    </cfRule>
  </conditionalFormatting>
  <conditionalFormatting sqref="C1014">
    <cfRule type="cellIs" dxfId="1" priority="2211" operator="equal">
      <formula>0</formula>
    </cfRule>
  </conditionalFormatting>
  <conditionalFormatting sqref="C1015">
    <cfRule type="cellIs" dxfId="1" priority="2213" operator="equal">
      <formula>0</formula>
    </cfRule>
  </conditionalFormatting>
  <conditionalFormatting sqref="C1017">
    <cfRule type="expression" dxfId="0" priority="2215">
      <formula>C1018=0</formula>
    </cfRule>
  </conditionalFormatting>
  <conditionalFormatting sqref="C1018">
    <cfRule type="cellIs" dxfId="1" priority="2217" operator="equal">
      <formula>0</formula>
    </cfRule>
  </conditionalFormatting>
  <conditionalFormatting sqref="C1019">
    <cfRule type="cellIs" dxfId="1" priority="2219" operator="equal">
      <formula>0</formula>
    </cfRule>
  </conditionalFormatting>
  <conditionalFormatting sqref="C1020">
    <cfRule type="cellIs" dxfId="1" priority="2220" operator="equal">
      <formula>0</formula>
    </cfRule>
  </conditionalFormatting>
  <conditionalFormatting sqref="C1021">
    <cfRule type="cellIs" dxfId="1" priority="2222" operator="equal">
      <formula>0</formula>
    </cfRule>
  </conditionalFormatting>
  <conditionalFormatting sqref="C1022">
    <cfRule type="cellIs" dxfId="1" priority="2223" operator="equal">
      <formula>0</formula>
    </cfRule>
  </conditionalFormatting>
  <conditionalFormatting sqref="C1023">
    <cfRule type="cellIs" dxfId="1" priority="2225" operator="equal">
      <formula>0</formula>
    </cfRule>
  </conditionalFormatting>
  <conditionalFormatting sqref="C1024">
    <cfRule type="cellIs" dxfId="1" priority="2227" operator="equal">
      <formula>0</formula>
    </cfRule>
  </conditionalFormatting>
  <conditionalFormatting sqref="C1032">
    <cfRule type="expression" dxfId="0" priority="2228">
      <formula>C1033=0</formula>
    </cfRule>
  </conditionalFormatting>
  <conditionalFormatting sqref="C1033">
    <cfRule type="cellIs" dxfId="1" priority="2234" operator="equal">
      <formula>0</formula>
    </cfRule>
  </conditionalFormatting>
  <conditionalFormatting sqref="C1034">
    <cfRule type="cellIs" dxfId="1" priority="2240" operator="equal">
      <formula>0</formula>
    </cfRule>
  </conditionalFormatting>
  <conditionalFormatting sqref="C1035">
    <cfRule type="cellIs" dxfId="1" priority="2244" operator="equal">
      <formula>0</formula>
    </cfRule>
  </conditionalFormatting>
  <conditionalFormatting sqref="C1036">
    <cfRule type="cellIs" dxfId="1" priority="2250" operator="equal">
      <formula>0</formula>
    </cfRule>
  </conditionalFormatting>
  <conditionalFormatting sqref="C1037">
    <cfRule type="cellIs" dxfId="1" priority="2253" operator="equal">
      <formula>0</formula>
    </cfRule>
  </conditionalFormatting>
  <conditionalFormatting sqref="C1038">
    <cfRule type="cellIs" dxfId="1" priority="2257" operator="equal">
      <formula>0</formula>
    </cfRule>
  </conditionalFormatting>
  <conditionalFormatting sqref="C1039">
    <cfRule type="cellIs" dxfId="1" priority="2261" operator="equal">
      <formula>0</formula>
    </cfRule>
  </conditionalFormatting>
  <conditionalFormatting sqref="C1041">
    <cfRule type="expression" dxfId="0" priority="2265">
      <formula>C1042=0</formula>
    </cfRule>
  </conditionalFormatting>
  <conditionalFormatting sqref="C1042">
    <cfRule type="cellIs" dxfId="1" priority="2267" operator="equal">
      <formula>0</formula>
    </cfRule>
  </conditionalFormatting>
  <conditionalFormatting sqref="C1043">
    <cfRule type="cellIs" dxfId="1" priority="2269" operator="equal">
      <formula>0</formula>
    </cfRule>
  </conditionalFormatting>
  <conditionalFormatting sqref="C1044">
    <cfRule type="cellIs" dxfId="1" priority="2271" operator="equal">
      <formula>0</formula>
    </cfRule>
  </conditionalFormatting>
  <conditionalFormatting sqref="C1045">
    <cfRule type="cellIs" dxfId="1" priority="2273" operator="equal">
      <formula>0</formula>
    </cfRule>
  </conditionalFormatting>
  <conditionalFormatting sqref="C1047">
    <cfRule type="cellIs" dxfId="1" priority="2275" operator="equal">
      <formula>0</formula>
    </cfRule>
  </conditionalFormatting>
  <conditionalFormatting sqref="C1048">
    <cfRule type="cellIs" dxfId="1" priority="2277" operator="equal">
      <formula>0</formula>
    </cfRule>
  </conditionalFormatting>
  <conditionalFormatting sqref="C1050">
    <cfRule type="expression" dxfId="0" priority="2279">
      <formula>C1051=0</formula>
    </cfRule>
  </conditionalFormatting>
  <conditionalFormatting sqref="C1051">
    <cfRule type="cellIs" dxfId="1" priority="2280" operator="equal">
      <formula>0</formula>
    </cfRule>
  </conditionalFormatting>
  <conditionalFormatting sqref="C1052">
    <cfRule type="cellIs" dxfId="1" priority="2281" operator="equal">
      <formula>0</formula>
    </cfRule>
  </conditionalFormatting>
  <conditionalFormatting sqref="C1053">
    <cfRule type="cellIs" dxfId="1" priority="2282" operator="equal">
      <formula>0</formula>
    </cfRule>
  </conditionalFormatting>
  <conditionalFormatting sqref="C1054">
    <cfRule type="cellIs" dxfId="1" priority="2283" operator="equal">
      <formula>0</formula>
    </cfRule>
  </conditionalFormatting>
  <conditionalFormatting sqref="C1055">
    <cfRule type="cellIs" dxfId="1" priority="2284" operator="equal">
      <formula>0</formula>
    </cfRule>
  </conditionalFormatting>
  <conditionalFormatting sqref="C1056">
    <cfRule type="cellIs" dxfId="1" priority="2285" operator="equal">
      <formula>0</formula>
    </cfRule>
  </conditionalFormatting>
  <conditionalFormatting sqref="C1057">
    <cfRule type="cellIs" dxfId="1" priority="2286" operator="equal">
      <formula>0</formula>
    </cfRule>
  </conditionalFormatting>
  <conditionalFormatting sqref="C1065">
    <cfRule type="expression" dxfId="0" priority="2287">
      <formula>C1066=0</formula>
    </cfRule>
  </conditionalFormatting>
  <conditionalFormatting sqref="C1066">
    <cfRule type="cellIs" dxfId="1" priority="2294" operator="equal">
      <formula>0</formula>
    </cfRule>
  </conditionalFormatting>
  <conditionalFormatting sqref="C1067">
    <cfRule type="cellIs" dxfId="1" priority="2301" operator="equal">
      <formula>0</formula>
    </cfRule>
  </conditionalFormatting>
  <conditionalFormatting sqref="C1068">
    <cfRule type="cellIs" dxfId="1" priority="2305" operator="equal">
      <formula>0</formula>
    </cfRule>
  </conditionalFormatting>
  <conditionalFormatting sqref="C1069">
    <cfRule type="cellIs" dxfId="1" priority="2309" operator="equal">
      <formula>0</formula>
    </cfRule>
  </conditionalFormatting>
  <conditionalFormatting sqref="C1070">
    <cfRule type="cellIs" dxfId="1" priority="2313" operator="equal">
      <formula>0</formula>
    </cfRule>
  </conditionalFormatting>
  <conditionalFormatting sqref="C1071">
    <cfRule type="cellIs" dxfId="1" priority="2316" operator="equal">
      <formula>0</formula>
    </cfRule>
  </conditionalFormatting>
  <conditionalFormatting sqref="C1072">
    <cfRule type="cellIs" dxfId="1" priority="2320" operator="equal">
      <formula>0</formula>
    </cfRule>
  </conditionalFormatting>
  <conditionalFormatting sqref="C1073">
    <cfRule type="cellIs" dxfId="1" priority="2324" operator="equal">
      <formula>0</formula>
    </cfRule>
  </conditionalFormatting>
  <conditionalFormatting sqref="C1074">
    <cfRule type="cellIs" dxfId="1" priority="2328" operator="equal">
      <formula>0</formula>
    </cfRule>
  </conditionalFormatting>
  <conditionalFormatting sqref="C1075">
    <cfRule type="cellIs" dxfId="1" priority="2331" operator="equal">
      <formula>0</formula>
    </cfRule>
  </conditionalFormatting>
  <conditionalFormatting sqref="C1076">
    <cfRule type="cellIs" dxfId="1" priority="2336" operator="equal">
      <formula>0</formula>
    </cfRule>
  </conditionalFormatting>
  <conditionalFormatting sqref="C1077">
    <cfRule type="cellIs" dxfId="1" priority="2340" operator="equal">
      <formula>0</formula>
    </cfRule>
  </conditionalFormatting>
  <conditionalFormatting sqref="C1078">
    <cfRule type="cellIs" dxfId="1" priority="2344" operator="equal">
      <formula>0</formula>
    </cfRule>
  </conditionalFormatting>
  <conditionalFormatting sqref="C1079">
    <cfRule type="cellIs" dxfId="1" priority="2348" operator="equal">
      <formula>0</formula>
    </cfRule>
  </conditionalFormatting>
  <conditionalFormatting sqref="C1080">
    <cfRule type="cellIs" dxfId="1" priority="2352" operator="equal">
      <formula>0</formula>
    </cfRule>
  </conditionalFormatting>
  <conditionalFormatting sqref="C1081">
    <cfRule type="cellIs" dxfId="1" priority="2356" operator="equal">
      <formula>0</formula>
    </cfRule>
  </conditionalFormatting>
  <conditionalFormatting sqref="C1082">
    <cfRule type="cellIs" dxfId="1" priority="2360" operator="equal">
      <formula>0</formula>
    </cfRule>
  </conditionalFormatting>
  <conditionalFormatting sqref="C1083">
    <cfRule type="cellIs" dxfId="1" priority="2365" operator="equal">
      <formula>0</formula>
    </cfRule>
  </conditionalFormatting>
  <conditionalFormatting sqref="C1085">
    <cfRule type="expression" dxfId="0" priority="2369">
      <formula>C1086=0</formula>
    </cfRule>
  </conditionalFormatting>
  <conditionalFormatting sqref="C1086">
    <cfRule type="cellIs" dxfId="1" priority="2378" operator="equal">
      <formula>0</formula>
    </cfRule>
  </conditionalFormatting>
  <conditionalFormatting sqref="C1087">
    <cfRule type="cellIs" dxfId="1" priority="2387" operator="equal">
      <formula>0</formula>
    </cfRule>
  </conditionalFormatting>
  <conditionalFormatting sqref="C1099">
    <cfRule type="cellIs" dxfId="1" priority="2410" operator="equal">
      <formula>0</formula>
    </cfRule>
  </conditionalFormatting>
  <conditionalFormatting sqref="C1105">
    <cfRule type="expression" dxfId="0" priority="2420">
      <formula>C1106=0</formula>
    </cfRule>
  </conditionalFormatting>
  <conditionalFormatting sqref="C1106">
    <cfRule type="cellIs" dxfId="1" priority="2423" operator="equal">
      <formula>0</formula>
    </cfRule>
  </conditionalFormatting>
  <conditionalFormatting sqref="C1107">
    <cfRule type="cellIs" dxfId="1" priority="2426" operator="equal">
      <formula>0</formula>
    </cfRule>
  </conditionalFormatting>
  <conditionalFormatting sqref="C1109">
    <cfRule type="cellIs" dxfId="1" priority="2428" operator="equal">
      <formula>0</formula>
    </cfRule>
  </conditionalFormatting>
  <conditionalFormatting sqref="C1110">
    <cfRule type="cellIs" dxfId="1" priority="2429" operator="equal">
      <formula>0</formula>
    </cfRule>
  </conditionalFormatting>
  <conditionalFormatting sqref="C1111">
    <cfRule type="cellIs" dxfId="1" priority="2430" operator="equal">
      <formula>0</formula>
    </cfRule>
  </conditionalFormatting>
  <conditionalFormatting sqref="C1112">
    <cfRule type="cellIs" dxfId="1" priority="2431" operator="equal">
      <formula>0</formula>
    </cfRule>
  </conditionalFormatting>
  <conditionalFormatting sqref="C1113">
    <cfRule type="cellIs" dxfId="1" priority="2432" operator="equal">
      <formula>0</formula>
    </cfRule>
  </conditionalFormatting>
  <conditionalFormatting sqref="C1114">
    <cfRule type="cellIs" dxfId="1" priority="2433" operator="equal">
      <formula>0</formula>
    </cfRule>
  </conditionalFormatting>
  <conditionalFormatting sqref="C1115">
    <cfRule type="cellIs" dxfId="1" priority="2434" operator="equal">
      <formula>0</formula>
    </cfRule>
  </conditionalFormatting>
  <conditionalFormatting sqref="C1116">
    <cfRule type="cellIs" dxfId="1" priority="2435" operator="equal">
      <formula>0</formula>
    </cfRule>
  </conditionalFormatting>
  <conditionalFormatting sqref="C1117">
    <cfRule type="cellIs" dxfId="1" priority="2436" operator="equal">
      <formula>0</formula>
    </cfRule>
  </conditionalFormatting>
  <conditionalFormatting sqref="C1118">
    <cfRule type="cellIs" dxfId="1" priority="2437" operator="equal">
      <formula>0</formula>
    </cfRule>
  </conditionalFormatting>
  <conditionalFormatting sqref="C1119">
    <cfRule type="cellIs" dxfId="1" priority="2438" operator="equal">
      <formula>0</formula>
    </cfRule>
  </conditionalFormatting>
  <conditionalFormatting sqref="C1120">
    <cfRule type="cellIs" dxfId="1" priority="2439" operator="equal">
      <formula>0</formula>
    </cfRule>
  </conditionalFormatting>
  <conditionalFormatting sqref="C1121">
    <cfRule type="cellIs" dxfId="1" priority="2441" operator="equal">
      <formula>0</formula>
    </cfRule>
  </conditionalFormatting>
  <conditionalFormatting sqref="C1122">
    <cfRule type="cellIs" dxfId="1" priority="2442" operator="equal">
      <formula>0</formula>
    </cfRule>
  </conditionalFormatting>
  <conditionalFormatting sqref="C1123">
    <cfRule type="cellIs" dxfId="1" priority="2443" operator="equal">
      <formula>0</formula>
    </cfRule>
  </conditionalFormatting>
  <conditionalFormatting sqref="C1131">
    <cfRule type="expression" dxfId="0" priority="2444">
      <formula>C1132=0</formula>
    </cfRule>
  </conditionalFormatting>
  <conditionalFormatting sqref="C1132">
    <cfRule type="cellIs" dxfId="1" priority="2453" operator="equal">
      <formula>0</formula>
    </cfRule>
  </conditionalFormatting>
  <conditionalFormatting sqref="C1133">
    <cfRule type="cellIs" dxfId="1" priority="2462" operator="equal">
      <formula>0</formula>
    </cfRule>
  </conditionalFormatting>
  <conditionalFormatting sqref="C1134">
    <cfRule type="cellIs" dxfId="1" priority="2467" operator="equal">
      <formula>0</formula>
    </cfRule>
  </conditionalFormatting>
  <conditionalFormatting sqref="C1135">
    <cfRule type="cellIs" dxfId="1" priority="2471" operator="equal">
      <formula>0</formula>
    </cfRule>
  </conditionalFormatting>
  <conditionalFormatting sqref="C1136">
    <cfRule type="cellIs" dxfId="1" priority="2476" operator="equal">
      <formula>0</formula>
    </cfRule>
  </conditionalFormatting>
  <conditionalFormatting sqref="C1137">
    <cfRule type="cellIs" dxfId="1" priority="2481" operator="equal">
      <formula>0</formula>
    </cfRule>
  </conditionalFormatting>
  <conditionalFormatting sqref="C1138">
    <cfRule type="cellIs" dxfId="1" priority="2486" operator="equal">
      <formula>0</formula>
    </cfRule>
  </conditionalFormatting>
  <conditionalFormatting sqref="C1139">
    <cfRule type="cellIs" dxfId="1" priority="2489" operator="equal">
      <formula>0</formula>
    </cfRule>
  </conditionalFormatting>
  <conditionalFormatting sqref="C1141">
    <cfRule type="expression" dxfId="0" priority="2494">
      <formula>C1142=0</formula>
    </cfRule>
  </conditionalFormatting>
  <conditionalFormatting sqref="C1142">
    <cfRule type="cellIs" dxfId="1" priority="2499" operator="equal">
      <formula>0</formula>
    </cfRule>
  </conditionalFormatting>
  <conditionalFormatting sqref="C1143">
    <cfRule type="cellIs" dxfId="1" priority="2504" operator="equal">
      <formula>0</formula>
    </cfRule>
  </conditionalFormatting>
  <conditionalFormatting sqref="C1146">
    <cfRule type="cellIs" dxfId="1" priority="2509" operator="equal">
      <formula>0</formula>
    </cfRule>
  </conditionalFormatting>
  <conditionalFormatting sqref="C1147">
    <cfRule type="cellIs" dxfId="1" priority="2510" operator="equal">
      <formula>0</formula>
    </cfRule>
  </conditionalFormatting>
  <conditionalFormatting sqref="C1149">
    <cfRule type="cellIs" dxfId="1" priority="2513" operator="equal">
      <formula>0</formula>
    </cfRule>
  </conditionalFormatting>
  <conditionalFormatting sqref="C1151">
    <cfRule type="expression" dxfId="0" priority="2514">
      <formula>C1152=0</formula>
    </cfRule>
  </conditionalFormatting>
  <conditionalFormatting sqref="C1152">
    <cfRule type="cellIs" dxfId="1" priority="2515" operator="equal">
      <formula>0</formula>
    </cfRule>
  </conditionalFormatting>
  <conditionalFormatting sqref="C1153">
    <cfRule type="cellIs" dxfId="1" priority="2516" operator="equal">
      <formula>0</formula>
    </cfRule>
  </conditionalFormatting>
  <conditionalFormatting sqref="C1154">
    <cfRule type="cellIs" dxfId="1" priority="2517" operator="equal">
      <formula>0</formula>
    </cfRule>
  </conditionalFormatting>
  <conditionalFormatting sqref="C1155">
    <cfRule type="cellIs" dxfId="1" priority="2518" operator="equal">
      <formula>0</formula>
    </cfRule>
  </conditionalFormatting>
  <conditionalFormatting sqref="C1156">
    <cfRule type="cellIs" dxfId="1" priority="2519" operator="equal">
      <formula>0</formula>
    </cfRule>
  </conditionalFormatting>
  <conditionalFormatting sqref="C1157">
    <cfRule type="cellIs" dxfId="1" priority="2520" operator="equal">
      <formula>0</formula>
    </cfRule>
  </conditionalFormatting>
  <conditionalFormatting sqref="C1158">
    <cfRule type="cellIs" dxfId="1" priority="2521" operator="equal">
      <formula>0</formula>
    </cfRule>
  </conditionalFormatting>
  <conditionalFormatting sqref="C1159">
    <cfRule type="cellIs" dxfId="1" priority="2522" operator="equal">
      <formula>0</formula>
    </cfRule>
  </conditionalFormatting>
  <conditionalFormatting sqref="C1167">
    <cfRule type="expression" dxfId="0" priority="2523">
      <formula>C1168=0</formula>
    </cfRule>
  </conditionalFormatting>
  <conditionalFormatting sqref="C1168">
    <cfRule type="cellIs" dxfId="1" priority="2529" operator="equal">
      <formula>0</formula>
    </cfRule>
  </conditionalFormatting>
  <conditionalFormatting sqref="C1169">
    <cfRule type="cellIs" dxfId="1" priority="2535" operator="equal">
      <formula>0</formula>
    </cfRule>
  </conditionalFormatting>
  <conditionalFormatting sqref="C117">
    <cfRule type="expression" dxfId="0" priority="188">
      <formula>C118=0</formula>
    </cfRule>
  </conditionalFormatting>
  <conditionalFormatting sqref="C1170">
    <cfRule type="cellIs" dxfId="1" priority="2539" operator="equal">
      <formula>0</formula>
    </cfRule>
  </conditionalFormatting>
  <conditionalFormatting sqref="C1171">
    <cfRule type="cellIs" dxfId="1" priority="2543" operator="equal">
      <formula>0</formula>
    </cfRule>
  </conditionalFormatting>
  <conditionalFormatting sqref="C1172">
    <cfRule type="cellIs" dxfId="1" priority="2547" operator="equal">
      <formula>0</formula>
    </cfRule>
  </conditionalFormatting>
  <conditionalFormatting sqref="C1173">
    <cfRule type="cellIs" dxfId="1" priority="2551" operator="equal">
      <formula>0</formula>
    </cfRule>
  </conditionalFormatting>
  <conditionalFormatting sqref="C1174">
    <cfRule type="cellIs" dxfId="1" priority="2555" operator="equal">
      <formula>0</formula>
    </cfRule>
  </conditionalFormatting>
  <conditionalFormatting sqref="C1175">
    <cfRule type="cellIs" dxfId="1" priority="2560" operator="equal">
      <formula>0</formula>
    </cfRule>
  </conditionalFormatting>
  <conditionalFormatting sqref="C1176">
    <cfRule type="cellIs" dxfId="1" priority="2564" operator="equal">
      <formula>0</formula>
    </cfRule>
  </conditionalFormatting>
  <conditionalFormatting sqref="C1177">
    <cfRule type="cellIs" dxfId="1" priority="2568" operator="equal">
      <formula>0</formula>
    </cfRule>
  </conditionalFormatting>
  <conditionalFormatting sqref="C1178">
    <cfRule type="cellIs" dxfId="1" priority="2572" operator="equal">
      <formula>0</formula>
    </cfRule>
  </conditionalFormatting>
  <conditionalFormatting sqref="C1179">
    <cfRule type="cellIs" dxfId="1" priority="2576" operator="equal">
      <formula>0</formula>
    </cfRule>
  </conditionalFormatting>
  <conditionalFormatting sqref="C118">
    <cfRule type="cellIs" dxfId="1" priority="194" operator="equal">
      <formula>0</formula>
    </cfRule>
  </conditionalFormatting>
  <conditionalFormatting sqref="C1180">
    <cfRule type="cellIs" dxfId="1" priority="2580" operator="equal">
      <formula>0</formula>
    </cfRule>
  </conditionalFormatting>
  <conditionalFormatting sqref="C1181">
    <cfRule type="cellIs" dxfId="1" priority="2584" operator="equal">
      <formula>0</formula>
    </cfRule>
  </conditionalFormatting>
  <conditionalFormatting sqref="C1182">
    <cfRule type="cellIs" dxfId="1" priority="2587" operator="equal">
      <formula>0</formula>
    </cfRule>
  </conditionalFormatting>
  <conditionalFormatting sqref="C1183">
    <cfRule type="cellIs" dxfId="1" priority="2591" operator="equal">
      <formula>0</formula>
    </cfRule>
  </conditionalFormatting>
  <conditionalFormatting sqref="C1184">
    <cfRule type="cellIs" dxfId="1" priority="2595" operator="equal">
      <formula>0</formula>
    </cfRule>
  </conditionalFormatting>
  <conditionalFormatting sqref="C1185">
    <cfRule type="cellIs" dxfId="1" priority="2598" operator="equal">
      <formula>0</formula>
    </cfRule>
  </conditionalFormatting>
  <conditionalFormatting sqref="C1187">
    <cfRule type="expression" dxfId="0" priority="2602">
      <formula>C1188=0</formula>
    </cfRule>
  </conditionalFormatting>
  <conditionalFormatting sqref="C1188">
    <cfRule type="cellIs" dxfId="1" priority="2604" operator="equal">
      <formula>0</formula>
    </cfRule>
  </conditionalFormatting>
  <conditionalFormatting sqref="C1189">
    <cfRule type="cellIs" dxfId="1" priority="2606" operator="equal">
      <formula>0</formula>
    </cfRule>
  </conditionalFormatting>
  <conditionalFormatting sqref="C119">
    <cfRule type="cellIs" dxfId="1" priority="200" operator="equal">
      <formula>0</formula>
    </cfRule>
  </conditionalFormatting>
  <conditionalFormatting sqref="C1190">
    <cfRule type="cellIs" dxfId="1" priority="2608" operator="equal">
      <formula>0</formula>
    </cfRule>
  </conditionalFormatting>
  <conditionalFormatting sqref="C1191">
    <cfRule type="cellIs" dxfId="1" priority="2610" operator="equal">
      <formula>0</formula>
    </cfRule>
  </conditionalFormatting>
  <conditionalFormatting sqref="C1192">
    <cfRule type="cellIs" dxfId="1" priority="2612" operator="equal">
      <formula>0</formula>
    </cfRule>
  </conditionalFormatting>
  <conditionalFormatting sqref="C1193">
    <cfRule type="cellIs" dxfId="1" priority="2614" operator="equal">
      <formula>0</formula>
    </cfRule>
  </conditionalFormatting>
  <conditionalFormatting sqref="C1194">
    <cfRule type="cellIs" dxfId="1" priority="2616" operator="equal">
      <formula>0</formula>
    </cfRule>
  </conditionalFormatting>
  <conditionalFormatting sqref="C1195">
    <cfRule type="cellIs" dxfId="1" priority="2618" operator="equal">
      <formula>0</formula>
    </cfRule>
  </conditionalFormatting>
  <conditionalFormatting sqref="C1196">
    <cfRule type="cellIs" dxfId="1" priority="2620" operator="equal">
      <formula>0</formula>
    </cfRule>
  </conditionalFormatting>
  <conditionalFormatting sqref="C1197">
    <cfRule type="cellIs" dxfId="1" priority="2622" operator="equal">
      <formula>0</formula>
    </cfRule>
  </conditionalFormatting>
  <conditionalFormatting sqref="C1199">
    <cfRule type="cellIs" dxfId="1" priority="2625" operator="equal">
      <formula>0</formula>
    </cfRule>
  </conditionalFormatting>
  <conditionalFormatting sqref="C120">
    <cfRule type="cellIs" dxfId="1" priority="205" operator="equal">
      <formula>0</formula>
    </cfRule>
  </conditionalFormatting>
  <conditionalFormatting sqref="C1200">
    <cfRule type="cellIs" dxfId="1" priority="2627" operator="equal">
      <formula>0</formula>
    </cfRule>
  </conditionalFormatting>
  <conditionalFormatting sqref="C1201">
    <cfRule type="cellIs" dxfId="1" priority="2629" operator="equal">
      <formula>0</formula>
    </cfRule>
  </conditionalFormatting>
  <conditionalFormatting sqref="C1202">
    <cfRule type="cellIs" dxfId="1" priority="2631" operator="equal">
      <formula>0</formula>
    </cfRule>
  </conditionalFormatting>
  <conditionalFormatting sqref="C1203">
    <cfRule type="cellIs" dxfId="1" priority="2633" operator="equal">
      <formula>0</formula>
    </cfRule>
  </conditionalFormatting>
  <conditionalFormatting sqref="C1204">
    <cfRule type="cellIs" dxfId="1" priority="2635" operator="equal">
      <formula>0</formula>
    </cfRule>
  </conditionalFormatting>
  <conditionalFormatting sqref="C1207">
    <cfRule type="expression" dxfId="0" priority="2638">
      <formula>C1208=0</formula>
    </cfRule>
  </conditionalFormatting>
  <conditionalFormatting sqref="C1208">
    <cfRule type="cellIs" dxfId="1" priority="2641" operator="equal">
      <formula>0</formula>
    </cfRule>
  </conditionalFormatting>
  <conditionalFormatting sqref="C1209">
    <cfRule type="cellIs" dxfId="1" priority="2644" operator="equal">
      <formula>0</formula>
    </cfRule>
  </conditionalFormatting>
  <conditionalFormatting sqref="C121">
    <cfRule type="cellIs" dxfId="1" priority="209" operator="equal">
      <formula>0</formula>
    </cfRule>
  </conditionalFormatting>
  <conditionalFormatting sqref="C1210">
    <cfRule type="cellIs" dxfId="1" priority="2646" operator="equal">
      <formula>0</formula>
    </cfRule>
  </conditionalFormatting>
  <conditionalFormatting sqref="C1211">
    <cfRule type="cellIs" dxfId="1" priority="2648" operator="equal">
      <formula>0</formula>
    </cfRule>
  </conditionalFormatting>
  <conditionalFormatting sqref="C1213">
    <cfRule type="cellIs" dxfId="1" priority="2652" operator="equal">
      <formula>0</formula>
    </cfRule>
  </conditionalFormatting>
  <conditionalFormatting sqref="C1214">
    <cfRule type="cellIs" dxfId="1" priority="2654" operator="equal">
      <formula>0</formula>
    </cfRule>
  </conditionalFormatting>
  <conditionalFormatting sqref="C1215">
    <cfRule type="cellIs" dxfId="1" priority="2656" operator="equal">
      <formula>0</formula>
    </cfRule>
  </conditionalFormatting>
  <conditionalFormatting sqref="C1216">
    <cfRule type="cellIs" dxfId="1" priority="2658" operator="equal">
      <formula>0</formula>
    </cfRule>
  </conditionalFormatting>
  <conditionalFormatting sqref="C1217">
    <cfRule type="cellIs" dxfId="1" priority="2660" operator="equal">
      <formula>0</formula>
    </cfRule>
  </conditionalFormatting>
  <conditionalFormatting sqref="C1218">
    <cfRule type="cellIs" dxfId="1" priority="2661" operator="equal">
      <formula>0</formula>
    </cfRule>
  </conditionalFormatting>
  <conditionalFormatting sqref="C1219">
    <cfRule type="cellIs" dxfId="1" priority="2663" operator="equal">
      <formula>0</formula>
    </cfRule>
  </conditionalFormatting>
  <conditionalFormatting sqref="C122">
    <cfRule type="cellIs" dxfId="1" priority="213" operator="equal">
      <formula>0</formula>
    </cfRule>
  </conditionalFormatting>
  <conditionalFormatting sqref="C1220">
    <cfRule type="cellIs" dxfId="1" priority="2665" operator="equal">
      <formula>0</formula>
    </cfRule>
  </conditionalFormatting>
  <conditionalFormatting sqref="C1221">
    <cfRule type="cellIs" dxfId="1" priority="2667" operator="equal">
      <formula>0</formula>
    </cfRule>
  </conditionalFormatting>
  <conditionalFormatting sqref="C1222">
    <cfRule type="cellIs" dxfId="1" priority="2668" operator="equal">
      <formula>0</formula>
    </cfRule>
  </conditionalFormatting>
  <conditionalFormatting sqref="C1223">
    <cfRule type="cellIs" dxfId="1" priority="2670" operator="equal">
      <formula>0</formula>
    </cfRule>
  </conditionalFormatting>
  <conditionalFormatting sqref="C1224">
    <cfRule type="cellIs" dxfId="1" priority="2672" operator="equal">
      <formula>0</formula>
    </cfRule>
  </conditionalFormatting>
  <conditionalFormatting sqref="C1225">
    <cfRule type="cellIs" dxfId="1" priority="2674" operator="equal">
      <formula>0</formula>
    </cfRule>
  </conditionalFormatting>
  <conditionalFormatting sqref="C123">
    <cfRule type="cellIs" dxfId="1" priority="218" operator="equal">
      <formula>0</formula>
    </cfRule>
  </conditionalFormatting>
  <conditionalFormatting sqref="C1233">
    <cfRule type="expression" dxfId="0" priority="2676">
      <formula>C1234=0</formula>
    </cfRule>
  </conditionalFormatting>
  <conditionalFormatting sqref="C1234">
    <cfRule type="cellIs" dxfId="1" priority="2680" operator="equal">
      <formula>0</formula>
    </cfRule>
  </conditionalFormatting>
  <conditionalFormatting sqref="C1235">
    <cfRule type="cellIs" dxfId="1" priority="2684" operator="equal">
      <formula>0</formula>
    </cfRule>
  </conditionalFormatting>
  <conditionalFormatting sqref="C1236">
    <cfRule type="cellIs" dxfId="1" priority="2688" operator="equal">
      <formula>0</formula>
    </cfRule>
  </conditionalFormatting>
  <conditionalFormatting sqref="C1237">
    <cfRule type="cellIs" dxfId="1" priority="2692" operator="equal">
      <formula>0</formula>
    </cfRule>
  </conditionalFormatting>
  <conditionalFormatting sqref="C1238">
    <cfRule type="cellIs" dxfId="1" priority="2696" operator="equal">
      <formula>0</formula>
    </cfRule>
  </conditionalFormatting>
  <conditionalFormatting sqref="C1239">
    <cfRule type="cellIs" dxfId="1" priority="2700" operator="equal">
      <formula>0</formula>
    </cfRule>
  </conditionalFormatting>
  <conditionalFormatting sqref="C1241">
    <cfRule type="expression" dxfId="0" priority="2704">
      <formula>C1242=0</formula>
    </cfRule>
  </conditionalFormatting>
  <conditionalFormatting sqref="C1242">
    <cfRule type="cellIs" dxfId="1" priority="2709" operator="equal">
      <formula>0</formula>
    </cfRule>
  </conditionalFormatting>
  <conditionalFormatting sqref="C1243">
    <cfRule type="cellIs" dxfId="1" priority="2714" operator="equal">
      <formula>0</formula>
    </cfRule>
  </conditionalFormatting>
  <conditionalFormatting sqref="C1249">
    <cfRule type="expression" dxfId="0" priority="2723">
      <formula>C1250=0</formula>
    </cfRule>
  </conditionalFormatting>
  <conditionalFormatting sqref="C125">
    <cfRule type="expression" dxfId="0" priority="222">
      <formula>C126=0</formula>
    </cfRule>
  </conditionalFormatting>
  <conditionalFormatting sqref="C1250">
    <cfRule type="cellIs" dxfId="1" priority="2725" operator="equal">
      <formula>0</formula>
    </cfRule>
  </conditionalFormatting>
  <conditionalFormatting sqref="C1251">
    <cfRule type="cellIs" dxfId="1" priority="2727" operator="equal">
      <formula>0</formula>
    </cfRule>
  </conditionalFormatting>
  <conditionalFormatting sqref="C1252">
    <cfRule type="cellIs" dxfId="1" priority="2728" operator="equal">
      <formula>0</formula>
    </cfRule>
  </conditionalFormatting>
  <conditionalFormatting sqref="C1253">
    <cfRule type="cellIs" dxfId="1" priority="2729" operator="equal">
      <formula>0</formula>
    </cfRule>
  </conditionalFormatting>
  <conditionalFormatting sqref="C1254">
    <cfRule type="cellIs" dxfId="1" priority="2730" operator="equal">
      <formula>0</formula>
    </cfRule>
  </conditionalFormatting>
  <conditionalFormatting sqref="C1255">
    <cfRule type="cellIs" dxfId="1" priority="2731" operator="equal">
      <formula>0</formula>
    </cfRule>
  </conditionalFormatting>
  <conditionalFormatting sqref="C126">
    <cfRule type="cellIs" dxfId="1" priority="226" operator="equal">
      <formula>0</formula>
    </cfRule>
  </conditionalFormatting>
  <conditionalFormatting sqref="C1263">
    <cfRule type="expression" dxfId="0" priority="2733">
      <formula>C1264=0</formula>
    </cfRule>
  </conditionalFormatting>
  <conditionalFormatting sqref="C1264">
    <cfRule type="cellIs" dxfId="1" priority="2739" operator="equal">
      <formula>0</formula>
    </cfRule>
  </conditionalFormatting>
  <conditionalFormatting sqref="C1265">
    <cfRule type="cellIs" dxfId="1" priority="2745" operator="equal">
      <formula>0</formula>
    </cfRule>
  </conditionalFormatting>
  <conditionalFormatting sqref="C1266">
    <cfRule type="cellIs" dxfId="1" priority="2749" operator="equal">
      <formula>0</formula>
    </cfRule>
  </conditionalFormatting>
  <conditionalFormatting sqref="C1267">
    <cfRule type="cellIs" dxfId="1" priority="2754" operator="equal">
      <formula>0</formula>
    </cfRule>
  </conditionalFormatting>
  <conditionalFormatting sqref="C1268">
    <cfRule type="cellIs" dxfId="1" priority="2758" operator="equal">
      <formula>0</formula>
    </cfRule>
  </conditionalFormatting>
  <conditionalFormatting sqref="C1269">
    <cfRule type="cellIs" dxfId="1" priority="2762" operator="equal">
      <formula>0</formula>
    </cfRule>
  </conditionalFormatting>
  <conditionalFormatting sqref="C127">
    <cfRule type="cellIs" dxfId="1" priority="230" operator="equal">
      <formula>0</formula>
    </cfRule>
  </conditionalFormatting>
  <conditionalFormatting sqref="C1271">
    <cfRule type="cellIs" dxfId="1" priority="2769" operator="equal">
      <formula>0</formula>
    </cfRule>
  </conditionalFormatting>
  <conditionalFormatting sqref="C1272">
    <cfRule type="cellIs" dxfId="1" priority="2773" operator="equal">
      <formula>0</formula>
    </cfRule>
  </conditionalFormatting>
  <conditionalFormatting sqref="C1273">
    <cfRule type="cellIs" dxfId="1" priority="2777" operator="equal">
      <formula>0</formula>
    </cfRule>
  </conditionalFormatting>
  <conditionalFormatting sqref="C1274">
    <cfRule type="cellIs" dxfId="1" priority="2781" operator="equal">
      <formula>0</formula>
    </cfRule>
  </conditionalFormatting>
  <conditionalFormatting sqref="C1275">
    <cfRule type="cellIs" dxfId="1" priority="2786" operator="equal">
      <formula>0</formula>
    </cfRule>
  </conditionalFormatting>
  <conditionalFormatting sqref="C1276">
    <cfRule type="cellIs" dxfId="1" priority="2790" operator="equal">
      <formula>0</formula>
    </cfRule>
  </conditionalFormatting>
  <conditionalFormatting sqref="C1277">
    <cfRule type="cellIs" dxfId="1" priority="2794" operator="equal">
      <formula>0</formula>
    </cfRule>
  </conditionalFormatting>
  <conditionalFormatting sqref="C1278">
    <cfRule type="cellIs" dxfId="1" priority="2798" operator="equal">
      <formula>0</formula>
    </cfRule>
  </conditionalFormatting>
  <conditionalFormatting sqref="C1279">
    <cfRule type="cellIs" dxfId="1" priority="2802" operator="equal">
      <formula>0</formula>
    </cfRule>
  </conditionalFormatting>
  <conditionalFormatting sqref="C128">
    <cfRule type="cellIs" dxfId="1" priority="232" operator="equal">
      <formula>0</formula>
    </cfRule>
  </conditionalFormatting>
  <conditionalFormatting sqref="C1281">
    <cfRule type="expression" dxfId="0" priority="2807">
      <formula>C1282=0</formula>
    </cfRule>
  </conditionalFormatting>
  <conditionalFormatting sqref="C1282">
    <cfRule type="cellIs" dxfId="1" priority="2815" operator="equal">
      <formula>0</formula>
    </cfRule>
  </conditionalFormatting>
  <conditionalFormatting sqref="C1283">
    <cfRule type="cellIs" dxfId="1" priority="2823" operator="equal">
      <formula>0</formula>
    </cfRule>
  </conditionalFormatting>
  <conditionalFormatting sqref="C1284">
    <cfRule type="cellIs" dxfId="1" priority="2825" operator="equal">
      <formula>0</formula>
    </cfRule>
  </conditionalFormatting>
  <conditionalFormatting sqref="C1285">
    <cfRule type="cellIs" dxfId="1" priority="2827" operator="equal">
      <formula>0</formula>
    </cfRule>
  </conditionalFormatting>
  <conditionalFormatting sqref="C1286">
    <cfRule type="cellIs" dxfId="1" priority="2829" operator="equal">
      <formula>0</formula>
    </cfRule>
  </conditionalFormatting>
  <conditionalFormatting sqref="C1287">
    <cfRule type="cellIs" dxfId="1" priority="2831" operator="equal">
      <formula>0</formula>
    </cfRule>
  </conditionalFormatting>
  <conditionalFormatting sqref="C1288">
    <cfRule type="cellIs" dxfId="1" priority="2833" operator="equal">
      <formula>0</formula>
    </cfRule>
  </conditionalFormatting>
  <conditionalFormatting sqref="C1289">
    <cfRule type="cellIs" dxfId="1" priority="2835" operator="equal">
      <formula>0</formula>
    </cfRule>
  </conditionalFormatting>
  <conditionalFormatting sqref="C1290">
    <cfRule type="cellIs" dxfId="1" priority="2837" operator="equal">
      <formula>0</formula>
    </cfRule>
  </conditionalFormatting>
  <conditionalFormatting sqref="C1291">
    <cfRule type="cellIs" dxfId="1" priority="2839" operator="equal">
      <formula>0</formula>
    </cfRule>
  </conditionalFormatting>
  <conditionalFormatting sqref="C1292">
    <cfRule type="cellIs" dxfId="1" priority="2841" operator="equal">
      <formula>0</formula>
    </cfRule>
  </conditionalFormatting>
  <conditionalFormatting sqref="C1293">
    <cfRule type="cellIs" dxfId="1" priority="2843" operator="equal">
      <formula>0</formula>
    </cfRule>
  </conditionalFormatting>
  <conditionalFormatting sqref="C1294">
    <cfRule type="cellIs" dxfId="1" priority="2845" operator="equal">
      <formula>0</formula>
    </cfRule>
  </conditionalFormatting>
  <conditionalFormatting sqref="C1295">
    <cfRule type="cellIs" dxfId="1" priority="2847" operator="equal">
      <formula>0</formula>
    </cfRule>
  </conditionalFormatting>
  <conditionalFormatting sqref="C1296">
    <cfRule type="cellIs" dxfId="1" priority="2849" operator="equal">
      <formula>0</formula>
    </cfRule>
  </conditionalFormatting>
  <conditionalFormatting sqref="C1297">
    <cfRule type="cellIs" dxfId="1" priority="2851" operator="equal">
      <formula>0</formula>
    </cfRule>
  </conditionalFormatting>
  <conditionalFormatting sqref="C1299">
    <cfRule type="expression" dxfId="0" priority="2853">
      <formula>C1300=0</formula>
    </cfRule>
  </conditionalFormatting>
  <conditionalFormatting sqref="C130">
    <cfRule type="cellIs" dxfId="1" priority="236" operator="equal">
      <formula>0</formula>
    </cfRule>
  </conditionalFormatting>
  <conditionalFormatting sqref="C1300">
    <cfRule type="cellIs" dxfId="1" priority="2855" operator="equal">
      <formula>0</formula>
    </cfRule>
  </conditionalFormatting>
  <conditionalFormatting sqref="C1301">
    <cfRule type="cellIs" dxfId="1" priority="2857" operator="equal">
      <formula>0</formula>
    </cfRule>
  </conditionalFormatting>
  <conditionalFormatting sqref="C1302">
    <cfRule type="cellIs" dxfId="1" priority="2858" operator="equal">
      <formula>0</formula>
    </cfRule>
  </conditionalFormatting>
  <conditionalFormatting sqref="C1303">
    <cfRule type="cellIs" dxfId="1" priority="2859" operator="equal">
      <formula>0</formula>
    </cfRule>
  </conditionalFormatting>
  <conditionalFormatting sqref="C1304">
    <cfRule type="cellIs" dxfId="1" priority="2860" operator="equal">
      <formula>0</formula>
    </cfRule>
  </conditionalFormatting>
  <conditionalFormatting sqref="C1305">
    <cfRule type="cellIs" dxfId="1" priority="2861" operator="equal">
      <formula>0</formula>
    </cfRule>
  </conditionalFormatting>
  <conditionalFormatting sqref="C1306">
    <cfRule type="cellIs" dxfId="1" priority="2862" operator="equal">
      <formula>0</formula>
    </cfRule>
  </conditionalFormatting>
  <conditionalFormatting sqref="C1307">
    <cfRule type="cellIs" dxfId="1" priority="2863" operator="equal">
      <formula>0</formula>
    </cfRule>
  </conditionalFormatting>
  <conditionalFormatting sqref="C1308">
    <cfRule type="cellIs" dxfId="1" priority="2864" operator="equal">
      <formula>0</formula>
    </cfRule>
  </conditionalFormatting>
  <conditionalFormatting sqref="C1309">
    <cfRule type="cellIs" dxfId="1" priority="2865" operator="equal">
      <formula>0</formula>
    </cfRule>
  </conditionalFormatting>
  <conditionalFormatting sqref="C131">
    <cfRule type="cellIs" dxfId="1" priority="238" operator="equal">
      <formula>0</formula>
    </cfRule>
  </conditionalFormatting>
  <conditionalFormatting sqref="C1310">
    <cfRule type="cellIs" dxfId="1" priority="2867" operator="equal">
      <formula>0</formula>
    </cfRule>
  </conditionalFormatting>
  <conditionalFormatting sqref="C1311">
    <cfRule type="cellIs" dxfId="1" priority="2868" operator="equal">
      <formula>0</formula>
    </cfRule>
  </conditionalFormatting>
  <conditionalFormatting sqref="C1312">
    <cfRule type="cellIs" dxfId="1" priority="2869" operator="equal">
      <formula>0</formula>
    </cfRule>
  </conditionalFormatting>
  <conditionalFormatting sqref="C1313">
    <cfRule type="cellIs" dxfId="1" priority="2871" operator="equal">
      <formula>0</formula>
    </cfRule>
  </conditionalFormatting>
  <conditionalFormatting sqref="C1315">
    <cfRule type="cellIs" dxfId="1" priority="2873" operator="equal">
      <formula>0</formula>
    </cfRule>
  </conditionalFormatting>
  <conditionalFormatting sqref="C1323">
    <cfRule type="expression" dxfId="0" priority="2874">
      <formula>C1324=0</formula>
    </cfRule>
  </conditionalFormatting>
  <conditionalFormatting sqref="C1324">
    <cfRule type="cellIs" dxfId="1" priority="2884" operator="equal">
      <formula>0</formula>
    </cfRule>
  </conditionalFormatting>
  <conditionalFormatting sqref="C1325">
    <cfRule type="cellIs" dxfId="1" priority="2894" operator="equal">
      <formula>0</formula>
    </cfRule>
  </conditionalFormatting>
  <conditionalFormatting sqref="C1326">
    <cfRule type="cellIs" dxfId="1" priority="2898" operator="equal">
      <formula>0</formula>
    </cfRule>
  </conditionalFormatting>
  <conditionalFormatting sqref="C1327">
    <cfRule type="cellIs" dxfId="1" priority="2903" operator="equal">
      <formula>0</formula>
    </cfRule>
  </conditionalFormatting>
  <conditionalFormatting sqref="C1328">
    <cfRule type="cellIs" dxfId="1" priority="2908" operator="equal">
      <formula>0</formula>
    </cfRule>
  </conditionalFormatting>
  <conditionalFormatting sqref="C1329">
    <cfRule type="cellIs" dxfId="1" priority="2912" operator="equal">
      <formula>0</formula>
    </cfRule>
  </conditionalFormatting>
  <conditionalFormatting sqref="C133">
    <cfRule type="expression" dxfId="0" priority="240">
      <formula>C134=0</formula>
    </cfRule>
  </conditionalFormatting>
  <conditionalFormatting sqref="C1330">
    <cfRule type="cellIs" dxfId="1" priority="2915" operator="equal">
      <formula>0</formula>
    </cfRule>
  </conditionalFormatting>
  <conditionalFormatting sqref="C1331">
    <cfRule type="cellIs" dxfId="1" priority="2920" operator="equal">
      <formula>0</formula>
    </cfRule>
  </conditionalFormatting>
  <conditionalFormatting sqref="C1332">
    <cfRule type="cellIs" dxfId="1" priority="2925" operator="equal">
      <formula>0</formula>
    </cfRule>
  </conditionalFormatting>
  <conditionalFormatting sqref="C1333">
    <cfRule type="cellIs" dxfId="1" priority="2929" operator="equal">
      <formula>0</formula>
    </cfRule>
  </conditionalFormatting>
  <conditionalFormatting sqref="C1334">
    <cfRule type="cellIs" dxfId="1" priority="2934" operator="equal">
      <formula>0</formula>
    </cfRule>
  </conditionalFormatting>
  <conditionalFormatting sqref="C1335">
    <cfRule type="cellIs" dxfId="1" priority="2939" operator="equal">
      <formula>0</formula>
    </cfRule>
  </conditionalFormatting>
  <conditionalFormatting sqref="C1336">
    <cfRule type="cellIs" dxfId="1" priority="2944" operator="equal">
      <formula>0</formula>
    </cfRule>
  </conditionalFormatting>
  <conditionalFormatting sqref="C1337">
    <cfRule type="cellIs" dxfId="1" priority="2949" operator="equal">
      <formula>0</formula>
    </cfRule>
  </conditionalFormatting>
  <conditionalFormatting sqref="C1338">
    <cfRule type="cellIs" dxfId="1" priority="2954" operator="equal">
      <formula>0</formula>
    </cfRule>
  </conditionalFormatting>
  <conditionalFormatting sqref="C1339">
    <cfRule type="cellIs" dxfId="1" priority="2960" operator="equal">
      <formula>0</formula>
    </cfRule>
  </conditionalFormatting>
  <conditionalFormatting sqref="C134">
    <cfRule type="cellIs" dxfId="1" priority="242" operator="equal">
      <formula>0</formula>
    </cfRule>
  </conditionalFormatting>
  <conditionalFormatting sqref="C1340">
    <cfRule type="cellIs" dxfId="1" priority="2964" operator="equal">
      <formula>0</formula>
    </cfRule>
  </conditionalFormatting>
  <conditionalFormatting sqref="C1341">
    <cfRule type="cellIs" dxfId="1" priority="2967" operator="equal">
      <formula>0</formula>
    </cfRule>
  </conditionalFormatting>
  <conditionalFormatting sqref="C1343">
    <cfRule type="expression" dxfId="0" priority="2973">
      <formula>C1344=0</formula>
    </cfRule>
  </conditionalFormatting>
  <conditionalFormatting sqref="C1344">
    <cfRule type="cellIs" dxfId="1" priority="2980" operator="equal">
      <formula>0</formula>
    </cfRule>
  </conditionalFormatting>
  <conditionalFormatting sqref="C1345">
    <cfRule type="cellIs" dxfId="1" priority="2987" operator="equal">
      <formula>0</formula>
    </cfRule>
  </conditionalFormatting>
  <conditionalFormatting sqref="C1347">
    <cfRule type="cellIs" dxfId="1" priority="2991" operator="equal">
      <formula>0</formula>
    </cfRule>
  </conditionalFormatting>
  <conditionalFormatting sqref="C135">
    <cfRule type="cellIs" dxfId="1" priority="244" operator="equal">
      <formula>0</formula>
    </cfRule>
  </conditionalFormatting>
  <conditionalFormatting sqref="C1350">
    <cfRule type="cellIs" dxfId="1" priority="2996" operator="equal">
      <formula>0</formula>
    </cfRule>
  </conditionalFormatting>
  <conditionalFormatting sqref="C136">
    <cfRule type="cellIs" dxfId="1" priority="246" operator="equal">
      <formula>0</formula>
    </cfRule>
  </conditionalFormatting>
  <conditionalFormatting sqref="C1363">
    <cfRule type="expression" dxfId="0" priority="3019">
      <formula>C1364=0</formula>
    </cfRule>
  </conditionalFormatting>
  <conditionalFormatting sqref="C1364">
    <cfRule type="cellIs" dxfId="1" priority="3023" operator="equal">
      <formula>0</formula>
    </cfRule>
  </conditionalFormatting>
  <conditionalFormatting sqref="C1365">
    <cfRule type="cellIs" dxfId="1" priority="3027" operator="equal">
      <formula>0</formula>
    </cfRule>
  </conditionalFormatting>
  <conditionalFormatting sqref="C1366">
    <cfRule type="cellIs" dxfId="1" priority="3028" operator="equal">
      <formula>0</formula>
    </cfRule>
  </conditionalFormatting>
  <conditionalFormatting sqref="C1368">
    <cfRule type="cellIs" dxfId="1" priority="3030" operator="equal">
      <formula>0</formula>
    </cfRule>
  </conditionalFormatting>
  <conditionalFormatting sqref="C1369">
    <cfRule type="cellIs" dxfId="1" priority="3031" operator="equal">
      <formula>0</formula>
    </cfRule>
  </conditionalFormatting>
  <conditionalFormatting sqref="C1370">
    <cfRule type="cellIs" dxfId="1" priority="3032" operator="equal">
      <formula>0</formula>
    </cfRule>
  </conditionalFormatting>
  <conditionalFormatting sqref="C1371">
    <cfRule type="cellIs" dxfId="1" priority="3033" operator="equal">
      <formula>0</formula>
    </cfRule>
  </conditionalFormatting>
  <conditionalFormatting sqref="C1372">
    <cfRule type="cellIs" dxfId="1" priority="3035" operator="equal">
      <formula>0</formula>
    </cfRule>
  </conditionalFormatting>
  <conditionalFormatting sqref="C1373">
    <cfRule type="cellIs" dxfId="1" priority="3036" operator="equal">
      <formula>0</formula>
    </cfRule>
  </conditionalFormatting>
  <conditionalFormatting sqref="C1374">
    <cfRule type="cellIs" dxfId="1" priority="3037" operator="equal">
      <formula>0</formula>
    </cfRule>
  </conditionalFormatting>
  <conditionalFormatting sqref="C1375">
    <cfRule type="cellIs" dxfId="1" priority="3039" operator="equal">
      <formula>0</formula>
    </cfRule>
  </conditionalFormatting>
  <conditionalFormatting sqref="C1376">
    <cfRule type="cellIs" dxfId="1" priority="3040" operator="equal">
      <formula>0</formula>
    </cfRule>
  </conditionalFormatting>
  <conditionalFormatting sqref="C1377">
    <cfRule type="cellIs" dxfId="1" priority="3041" operator="equal">
      <formula>0</formula>
    </cfRule>
  </conditionalFormatting>
  <conditionalFormatting sqref="C1378">
    <cfRule type="cellIs" dxfId="1" priority="3042" operator="equal">
      <formula>0</formula>
    </cfRule>
  </conditionalFormatting>
  <conditionalFormatting sqref="C1379">
    <cfRule type="cellIs" dxfId="1" priority="3043" operator="equal">
      <formula>0</formula>
    </cfRule>
  </conditionalFormatting>
  <conditionalFormatting sqref="C138">
    <cfRule type="cellIs" dxfId="1" priority="248" operator="equal">
      <formula>0</formula>
    </cfRule>
  </conditionalFormatting>
  <conditionalFormatting sqref="C1380">
    <cfRule type="cellIs" dxfId="1" priority="3045" operator="equal">
      <formula>0</formula>
    </cfRule>
  </conditionalFormatting>
  <conditionalFormatting sqref="C1381">
    <cfRule type="cellIs" dxfId="1" priority="3047" operator="equal">
      <formula>0</formula>
    </cfRule>
  </conditionalFormatting>
  <conditionalFormatting sqref="C1389">
    <cfRule type="expression" dxfId="0" priority="3048">
      <formula>C1390=0</formula>
    </cfRule>
  </conditionalFormatting>
  <conditionalFormatting sqref="C139">
    <cfRule type="cellIs" dxfId="1" priority="250" operator="equal">
      <formula>0</formula>
    </cfRule>
  </conditionalFormatting>
  <conditionalFormatting sqref="C1390">
    <cfRule type="cellIs" dxfId="1" priority="3057" operator="equal">
      <formula>0</formula>
    </cfRule>
  </conditionalFormatting>
  <conditionalFormatting sqref="C1391">
    <cfRule type="cellIs" dxfId="1" priority="3066" operator="equal">
      <formula>0</formula>
    </cfRule>
  </conditionalFormatting>
  <conditionalFormatting sqref="C1392">
    <cfRule type="cellIs" dxfId="1" priority="3068" operator="equal">
      <formula>0</formula>
    </cfRule>
  </conditionalFormatting>
  <conditionalFormatting sqref="C1393">
    <cfRule type="cellIs" dxfId="1" priority="3072" operator="equal">
      <formula>0</formula>
    </cfRule>
  </conditionalFormatting>
  <conditionalFormatting sqref="C1394">
    <cfRule type="cellIs" dxfId="1" priority="3076" operator="equal">
      <formula>0</formula>
    </cfRule>
  </conditionalFormatting>
  <conditionalFormatting sqref="C1395">
    <cfRule type="cellIs" dxfId="1" priority="3079" operator="equal">
      <formula>0</formula>
    </cfRule>
  </conditionalFormatting>
  <conditionalFormatting sqref="C1396">
    <cfRule type="cellIs" dxfId="1" priority="3084" operator="equal">
      <formula>0</formula>
    </cfRule>
  </conditionalFormatting>
  <conditionalFormatting sqref="C1397">
    <cfRule type="cellIs" dxfId="1" priority="3089" operator="equal">
      <formula>0</formula>
    </cfRule>
  </conditionalFormatting>
  <conditionalFormatting sqref="C1398">
    <cfRule type="cellIs" dxfId="1" priority="3093" operator="equal">
      <formula>0</formula>
    </cfRule>
  </conditionalFormatting>
  <conditionalFormatting sqref="C1399">
    <cfRule type="cellIs" dxfId="1" priority="3098" operator="equal">
      <formula>0</formula>
    </cfRule>
  </conditionalFormatting>
  <conditionalFormatting sqref="C1400">
    <cfRule type="cellIs" dxfId="1" priority="3101" operator="equal">
      <formula>0</formula>
    </cfRule>
  </conditionalFormatting>
  <conditionalFormatting sqref="C1401">
    <cfRule type="cellIs" dxfId="1" priority="3106" operator="equal">
      <formula>0</formula>
    </cfRule>
  </conditionalFormatting>
  <conditionalFormatting sqref="C1402">
    <cfRule type="cellIs" dxfId="1" priority="3109" operator="equal">
      <formula>0</formula>
    </cfRule>
  </conditionalFormatting>
  <conditionalFormatting sqref="C1404">
    <cfRule type="expression" dxfId="0" priority="3114">
      <formula>C1405=0</formula>
    </cfRule>
  </conditionalFormatting>
  <conditionalFormatting sqref="C1405">
    <cfRule type="cellIs" dxfId="1" priority="3120" operator="equal">
      <formula>0</formula>
    </cfRule>
  </conditionalFormatting>
  <conditionalFormatting sqref="C1407">
    <cfRule type="cellIs" dxfId="1" priority="3126" operator="equal">
      <formula>0</formula>
    </cfRule>
  </conditionalFormatting>
  <conditionalFormatting sqref="C1409">
    <cfRule type="cellIs" dxfId="1" priority="3129" operator="equal">
      <formula>0</formula>
    </cfRule>
  </conditionalFormatting>
  <conditionalFormatting sqref="C1410">
    <cfRule type="cellIs" dxfId="1" priority="3130" operator="equal">
      <formula>0</formula>
    </cfRule>
  </conditionalFormatting>
  <conditionalFormatting sqref="C1411">
    <cfRule type="cellIs" dxfId="1" priority="3132" operator="equal">
      <formula>0</formula>
    </cfRule>
  </conditionalFormatting>
  <conditionalFormatting sqref="C1412">
    <cfRule type="cellIs" dxfId="1" priority="3134" operator="equal">
      <formula>0</formula>
    </cfRule>
  </conditionalFormatting>
  <conditionalFormatting sqref="C1414">
    <cfRule type="cellIs" dxfId="1" priority="3137" operator="equal">
      <formula>0</formula>
    </cfRule>
  </conditionalFormatting>
  <conditionalFormatting sqref="C1417">
    <cfRule type="cellIs" dxfId="1" priority="3143" operator="equal">
      <formula>0</formula>
    </cfRule>
  </conditionalFormatting>
  <conditionalFormatting sqref="C1419">
    <cfRule type="expression" dxfId="0" priority="3145">
      <formula>C1420=0</formula>
    </cfRule>
  </conditionalFormatting>
  <conditionalFormatting sqref="C1420">
    <cfRule type="cellIs" dxfId="1" priority="3148" operator="equal">
      <formula>0</formula>
    </cfRule>
  </conditionalFormatting>
  <conditionalFormatting sqref="C1421">
    <cfRule type="cellIs" dxfId="1" priority="3151" operator="equal">
      <formula>0</formula>
    </cfRule>
  </conditionalFormatting>
  <conditionalFormatting sqref="C1422">
    <cfRule type="cellIs" dxfId="1" priority="3152" operator="equal">
      <formula>0</formula>
    </cfRule>
  </conditionalFormatting>
  <conditionalFormatting sqref="C1424">
    <cfRule type="cellIs" dxfId="1" priority="3154" operator="equal">
      <formula>0</formula>
    </cfRule>
  </conditionalFormatting>
  <conditionalFormatting sqref="C1425">
    <cfRule type="cellIs" dxfId="1" priority="3156" operator="equal">
      <formula>0</formula>
    </cfRule>
  </conditionalFormatting>
  <conditionalFormatting sqref="C1427">
    <cfRule type="cellIs" dxfId="1" priority="3159" operator="equal">
      <formula>0</formula>
    </cfRule>
  </conditionalFormatting>
  <conditionalFormatting sqref="C1428">
    <cfRule type="cellIs" dxfId="1" priority="3161" operator="equal">
      <formula>0</formula>
    </cfRule>
  </conditionalFormatting>
  <conditionalFormatting sqref="C1429">
    <cfRule type="cellIs" dxfId="1" priority="3163" operator="equal">
      <formula>0</formula>
    </cfRule>
  </conditionalFormatting>
  <conditionalFormatting sqref="C1430">
    <cfRule type="cellIs" dxfId="1" priority="3165" operator="equal">
      <formula>0</formula>
    </cfRule>
  </conditionalFormatting>
  <conditionalFormatting sqref="C1431">
    <cfRule type="cellIs" dxfId="1" priority="3167" operator="equal">
      <formula>0</formula>
    </cfRule>
  </conditionalFormatting>
  <conditionalFormatting sqref="C1432">
    <cfRule type="cellIs" dxfId="1" priority="3169" operator="equal">
      <formula>0</formula>
    </cfRule>
  </conditionalFormatting>
  <conditionalFormatting sqref="C1440">
    <cfRule type="expression" dxfId="0" priority="3170">
      <formula>C1441=0</formula>
    </cfRule>
  </conditionalFormatting>
  <conditionalFormatting sqref="C1441">
    <cfRule type="cellIs" dxfId="1" priority="3174" operator="equal">
      <formula>0</formula>
    </cfRule>
  </conditionalFormatting>
  <conditionalFormatting sqref="C1442">
    <cfRule type="cellIs" dxfId="1" priority="3178" operator="equal">
      <formula>0</formula>
    </cfRule>
  </conditionalFormatting>
  <conditionalFormatting sqref="C1443">
    <cfRule type="cellIs" dxfId="1" priority="3182" operator="equal">
      <formula>0</formula>
    </cfRule>
  </conditionalFormatting>
  <conditionalFormatting sqref="C1444">
    <cfRule type="cellIs" dxfId="1" priority="3186" operator="equal">
      <formula>0</formula>
    </cfRule>
  </conditionalFormatting>
  <conditionalFormatting sqref="C1445">
    <cfRule type="cellIs" dxfId="1" priority="3190" operator="equal">
      <formula>0</formula>
    </cfRule>
  </conditionalFormatting>
  <conditionalFormatting sqref="C1446">
    <cfRule type="cellIs" dxfId="1" priority="3194" operator="equal">
      <formula>0</formula>
    </cfRule>
  </conditionalFormatting>
  <conditionalFormatting sqref="C1447">
    <cfRule type="cellIs" dxfId="1" priority="3198" operator="equal">
      <formula>0</formula>
    </cfRule>
  </conditionalFormatting>
  <conditionalFormatting sqref="C1448">
    <cfRule type="cellIs" dxfId="1" priority="3202" operator="equal">
      <formula>0</formula>
    </cfRule>
  </conditionalFormatting>
  <conditionalFormatting sqref="C1449">
    <cfRule type="cellIs" dxfId="1" priority="3206" operator="equal">
      <formula>0</formula>
    </cfRule>
  </conditionalFormatting>
  <conditionalFormatting sqref="C1450">
    <cfRule type="cellIs" dxfId="1" priority="3210" operator="equal">
      <formula>0</formula>
    </cfRule>
  </conditionalFormatting>
  <conditionalFormatting sqref="C1452">
    <cfRule type="expression" dxfId="0" priority="3213">
      <formula>C1453=0</formula>
    </cfRule>
  </conditionalFormatting>
  <conditionalFormatting sqref="C1453">
    <cfRule type="cellIs" dxfId="1" priority="3215" operator="equal">
      <formula>0</formula>
    </cfRule>
  </conditionalFormatting>
  <conditionalFormatting sqref="C1454">
    <cfRule type="cellIs" dxfId="1" priority="3217" operator="equal">
      <formula>0</formula>
    </cfRule>
  </conditionalFormatting>
  <conditionalFormatting sqref="C1455">
    <cfRule type="cellIs" dxfId="1" priority="3219" operator="equal">
      <formula>0</formula>
    </cfRule>
  </conditionalFormatting>
  <conditionalFormatting sqref="C1456">
    <cfRule type="cellIs" dxfId="1" priority="3221" operator="equal">
      <formula>0</formula>
    </cfRule>
  </conditionalFormatting>
  <conditionalFormatting sqref="C1457">
    <cfRule type="cellIs" dxfId="1" priority="3223" operator="equal">
      <formula>0</formula>
    </cfRule>
  </conditionalFormatting>
  <conditionalFormatting sqref="C1458">
    <cfRule type="cellIs" dxfId="1" priority="3225" operator="equal">
      <formula>0</formula>
    </cfRule>
  </conditionalFormatting>
  <conditionalFormatting sqref="C1459">
    <cfRule type="cellIs" dxfId="1" priority="3227" operator="equal">
      <formula>0</formula>
    </cfRule>
  </conditionalFormatting>
  <conditionalFormatting sqref="C1460">
    <cfRule type="cellIs" dxfId="1" priority="3229" operator="equal">
      <formula>0</formula>
    </cfRule>
  </conditionalFormatting>
  <conditionalFormatting sqref="C1461">
    <cfRule type="cellIs" dxfId="1" priority="3231" operator="equal">
      <formula>0</formula>
    </cfRule>
  </conditionalFormatting>
  <conditionalFormatting sqref="C1462">
    <cfRule type="cellIs" dxfId="1" priority="3233" operator="equal">
      <formula>0</formula>
    </cfRule>
  </conditionalFormatting>
  <conditionalFormatting sqref="C1464">
    <cfRule type="expression" dxfId="0" priority="3235">
      <formula>C1465=0</formula>
    </cfRule>
  </conditionalFormatting>
  <conditionalFormatting sqref="C1465">
    <cfRule type="cellIs" dxfId="1" priority="3237" operator="equal">
      <formula>0</formula>
    </cfRule>
  </conditionalFormatting>
  <conditionalFormatting sqref="C1466">
    <cfRule type="cellIs" dxfId="1" priority="3239" operator="equal">
      <formula>0</formula>
    </cfRule>
  </conditionalFormatting>
  <conditionalFormatting sqref="C1467">
    <cfRule type="cellIs" dxfId="1" priority="3241" operator="equal">
      <formula>0</formula>
    </cfRule>
  </conditionalFormatting>
  <conditionalFormatting sqref="C1468">
    <cfRule type="cellIs" dxfId="1" priority="3243" operator="equal">
      <formula>0</formula>
    </cfRule>
  </conditionalFormatting>
  <conditionalFormatting sqref="C147">
    <cfRule type="expression" dxfId="0" priority="252">
      <formula>C148=0</formula>
    </cfRule>
  </conditionalFormatting>
  <conditionalFormatting sqref="C1471">
    <cfRule type="cellIs" dxfId="1" priority="3247" operator="equal">
      <formula>0</formula>
    </cfRule>
  </conditionalFormatting>
  <conditionalFormatting sqref="C1473">
    <cfRule type="cellIs" dxfId="1" priority="3250" operator="equal">
      <formula>0</formula>
    </cfRule>
  </conditionalFormatting>
  <conditionalFormatting sqref="C148">
    <cfRule type="cellIs" dxfId="1" priority="258" operator="equal">
      <formula>0</formula>
    </cfRule>
  </conditionalFormatting>
  <conditionalFormatting sqref="C1482">
    <cfRule type="expression" dxfId="0" priority="3253">
      <formula>C1483=0</formula>
    </cfRule>
  </conditionalFormatting>
  <conditionalFormatting sqref="C1483">
    <cfRule type="cellIs" dxfId="1" priority="3257" operator="equal">
      <formula>0</formula>
    </cfRule>
  </conditionalFormatting>
  <conditionalFormatting sqref="C1484">
    <cfRule type="cellIs" dxfId="1" priority="3261" operator="equal">
      <formula>0</formula>
    </cfRule>
  </conditionalFormatting>
  <conditionalFormatting sqref="C1485">
    <cfRule type="cellIs" dxfId="1" priority="3265" operator="equal">
      <formula>0</formula>
    </cfRule>
  </conditionalFormatting>
  <conditionalFormatting sqref="C1486">
    <cfRule type="cellIs" dxfId="1" priority="3268" operator="equal">
      <formula>0</formula>
    </cfRule>
  </conditionalFormatting>
  <conditionalFormatting sqref="C1488">
    <cfRule type="expression" dxfId="0" priority="3272">
      <formula>C1489=0</formula>
    </cfRule>
  </conditionalFormatting>
  <conditionalFormatting sqref="C1489">
    <cfRule type="cellIs" dxfId="1" priority="3274" operator="equal">
      <formula>0</formula>
    </cfRule>
  </conditionalFormatting>
  <conditionalFormatting sqref="C149">
    <cfRule type="cellIs" dxfId="1" priority="264" operator="equal">
      <formula>0</formula>
    </cfRule>
  </conditionalFormatting>
  <conditionalFormatting sqref="C1490">
    <cfRule type="cellIs" dxfId="1" priority="3276" operator="equal">
      <formula>0</formula>
    </cfRule>
  </conditionalFormatting>
  <conditionalFormatting sqref="C1491">
    <cfRule type="cellIs" dxfId="1" priority="3278" operator="equal">
      <formula>0</formula>
    </cfRule>
  </conditionalFormatting>
  <conditionalFormatting sqref="C1492">
    <cfRule type="cellIs" dxfId="1" priority="3280" operator="equal">
      <formula>0</formula>
    </cfRule>
  </conditionalFormatting>
  <conditionalFormatting sqref="C1494">
    <cfRule type="expression" dxfId="0" priority="3282">
      <formula>C1495=0</formula>
    </cfRule>
  </conditionalFormatting>
  <conditionalFormatting sqref="C1495">
    <cfRule type="cellIs" dxfId="1" priority="3284" operator="equal">
      <formula>0</formula>
    </cfRule>
  </conditionalFormatting>
  <conditionalFormatting sqref="C1496">
    <cfRule type="cellIs" dxfId="1" priority="3286" operator="equal">
      <formula>0</formula>
    </cfRule>
  </conditionalFormatting>
  <conditionalFormatting sqref="C1497">
    <cfRule type="cellIs" dxfId="1" priority="3288" operator="equal">
      <formula>0</formula>
    </cfRule>
  </conditionalFormatting>
  <conditionalFormatting sqref="C1498">
    <cfRule type="cellIs" dxfId="1" priority="3289" operator="equal">
      <formula>0</formula>
    </cfRule>
  </conditionalFormatting>
  <conditionalFormatting sqref="C150">
    <cfRule type="cellIs" dxfId="1" priority="268" operator="equal">
      <formula>0</formula>
    </cfRule>
  </conditionalFormatting>
  <conditionalFormatting sqref="C1506">
    <cfRule type="expression" dxfId="0" priority="3290">
      <formula>C1507=0</formula>
    </cfRule>
  </conditionalFormatting>
  <conditionalFormatting sqref="C1507">
    <cfRule type="cellIs" dxfId="1" priority="3294" operator="equal">
      <formula>0</formula>
    </cfRule>
  </conditionalFormatting>
  <conditionalFormatting sqref="C1508">
    <cfRule type="cellIs" dxfId="1" priority="3298" operator="equal">
      <formula>0</formula>
    </cfRule>
  </conditionalFormatting>
  <conditionalFormatting sqref="C1509">
    <cfRule type="cellIs" dxfId="1" priority="3302" operator="equal">
      <formula>0</formula>
    </cfRule>
  </conditionalFormatting>
  <conditionalFormatting sqref="C151">
    <cfRule type="cellIs" dxfId="1" priority="272" operator="equal">
      <formula>0</formula>
    </cfRule>
  </conditionalFormatting>
  <conditionalFormatting sqref="C1511">
    <cfRule type="expression" dxfId="0" priority="3306">
      <formula>C1512=0</formula>
    </cfRule>
  </conditionalFormatting>
  <conditionalFormatting sqref="C1512">
    <cfRule type="cellIs" dxfId="1" priority="3309" operator="equal">
      <formula>0</formula>
    </cfRule>
  </conditionalFormatting>
  <conditionalFormatting sqref="C1513">
    <cfRule type="cellIs" dxfId="1" priority="3312" operator="equal">
      <formula>0</formula>
    </cfRule>
  </conditionalFormatting>
  <conditionalFormatting sqref="C1516">
    <cfRule type="expression" dxfId="0" priority="3316">
      <formula>C1517=0</formula>
    </cfRule>
  </conditionalFormatting>
  <conditionalFormatting sqref="C1517">
    <cfRule type="cellIs" dxfId="1" priority="3317" operator="equal">
      <formula>0</formula>
    </cfRule>
  </conditionalFormatting>
  <conditionalFormatting sqref="C1518">
    <cfRule type="cellIs" dxfId="1" priority="3318" operator="equal">
      <formula>0</formula>
    </cfRule>
  </conditionalFormatting>
  <conditionalFormatting sqref="C1519">
    <cfRule type="cellIs" dxfId="1" priority="3319" operator="equal">
      <formula>0</formula>
    </cfRule>
  </conditionalFormatting>
  <conditionalFormatting sqref="C152">
    <cfRule type="cellIs" dxfId="1" priority="276" operator="equal">
      <formula>0</formula>
    </cfRule>
  </conditionalFormatting>
  <conditionalFormatting sqref="C1527">
    <cfRule type="expression" dxfId="0" priority="3320">
      <formula>C1528=0</formula>
    </cfRule>
  </conditionalFormatting>
  <conditionalFormatting sqref="C1528">
    <cfRule type="cellIs" dxfId="1" priority="3329" operator="equal">
      <formula>0</formula>
    </cfRule>
  </conditionalFormatting>
  <conditionalFormatting sqref="C1529">
    <cfRule type="cellIs" dxfId="1" priority="3338" operator="equal">
      <formula>0</formula>
    </cfRule>
  </conditionalFormatting>
  <conditionalFormatting sqref="C153">
    <cfRule type="cellIs" dxfId="1" priority="280" operator="equal">
      <formula>0</formula>
    </cfRule>
  </conditionalFormatting>
  <conditionalFormatting sqref="C1530">
    <cfRule type="cellIs" dxfId="1" priority="3341" operator="equal">
      <formula>0</formula>
    </cfRule>
  </conditionalFormatting>
  <conditionalFormatting sqref="C1531">
    <cfRule type="cellIs" dxfId="1" priority="3346" operator="equal">
      <formula>0</formula>
    </cfRule>
  </conditionalFormatting>
  <conditionalFormatting sqref="C1532">
    <cfRule type="cellIs" dxfId="1" priority="3349" operator="equal">
      <formula>0</formula>
    </cfRule>
  </conditionalFormatting>
  <conditionalFormatting sqref="C1533">
    <cfRule type="cellIs" dxfId="1" priority="3353" operator="equal">
      <formula>0</formula>
    </cfRule>
  </conditionalFormatting>
  <conditionalFormatting sqref="C1534">
    <cfRule type="cellIs" dxfId="1" priority="3357" operator="equal">
      <formula>0</formula>
    </cfRule>
  </conditionalFormatting>
  <conditionalFormatting sqref="C1535">
    <cfRule type="cellIs" dxfId="1" priority="3360" operator="equal">
      <formula>0</formula>
    </cfRule>
  </conditionalFormatting>
  <conditionalFormatting sqref="C1536">
    <cfRule type="cellIs" dxfId="1" priority="3365" operator="equal">
      <formula>0</formula>
    </cfRule>
  </conditionalFormatting>
  <conditionalFormatting sqref="C1537">
    <cfRule type="cellIs" dxfId="1" priority="3370" operator="equal">
      <formula>0</formula>
    </cfRule>
  </conditionalFormatting>
  <conditionalFormatting sqref="C1538">
    <cfRule type="cellIs" dxfId="1" priority="3374" operator="equal">
      <formula>0</formula>
    </cfRule>
  </conditionalFormatting>
  <conditionalFormatting sqref="C1539">
    <cfRule type="cellIs" dxfId="1" priority="3379" operator="equal">
      <formula>0</formula>
    </cfRule>
  </conditionalFormatting>
  <conditionalFormatting sqref="C154">
    <cfRule type="cellIs" dxfId="1" priority="284" operator="equal">
      <formula>0</formula>
    </cfRule>
  </conditionalFormatting>
  <conditionalFormatting sqref="C1540">
    <cfRule type="cellIs" dxfId="1" priority="3381" operator="equal">
      <formula>0</formula>
    </cfRule>
  </conditionalFormatting>
  <conditionalFormatting sqref="C1542">
    <cfRule type="expression" dxfId="0" priority="3386">
      <formula>C1543=0</formula>
    </cfRule>
  </conditionalFormatting>
  <conditionalFormatting sqref="C1543">
    <cfRule type="cellIs" dxfId="1" priority="3393" operator="equal">
      <formula>0</formula>
    </cfRule>
  </conditionalFormatting>
  <conditionalFormatting sqref="C1545">
    <cfRule type="cellIs" dxfId="1" priority="3400" operator="equal">
      <formula>0</formula>
    </cfRule>
  </conditionalFormatting>
  <conditionalFormatting sqref="C1548">
    <cfRule type="cellIs" dxfId="1" priority="3403" operator="equal">
      <formula>0</formula>
    </cfRule>
  </conditionalFormatting>
  <conditionalFormatting sqref="C155">
    <cfRule type="cellIs" dxfId="1" priority="289" operator="equal">
      <formula>0</formula>
    </cfRule>
  </conditionalFormatting>
  <conditionalFormatting sqref="C1550">
    <cfRule type="cellIs" dxfId="1" priority="3407" operator="equal">
      <formula>0</formula>
    </cfRule>
  </conditionalFormatting>
  <conditionalFormatting sqref="C1557">
    <cfRule type="expression" dxfId="0" priority="3417">
      <formula>C1558=0</formula>
    </cfRule>
  </conditionalFormatting>
  <conditionalFormatting sqref="C1558">
    <cfRule type="cellIs" dxfId="1" priority="3419" operator="equal">
      <formula>0</formula>
    </cfRule>
  </conditionalFormatting>
  <conditionalFormatting sqref="C1559">
    <cfRule type="cellIs" dxfId="1" priority="3421" operator="equal">
      <formula>0</formula>
    </cfRule>
  </conditionalFormatting>
  <conditionalFormatting sqref="C156">
    <cfRule type="cellIs" dxfId="1" priority="293" operator="equal">
      <formula>0</formula>
    </cfRule>
  </conditionalFormatting>
  <conditionalFormatting sqref="C1560">
    <cfRule type="cellIs" dxfId="1" priority="3422" operator="equal">
      <formula>0</formula>
    </cfRule>
  </conditionalFormatting>
  <conditionalFormatting sqref="C1561">
    <cfRule type="cellIs" dxfId="1" priority="3423" operator="equal">
      <formula>0</formula>
    </cfRule>
  </conditionalFormatting>
  <conditionalFormatting sqref="C1562">
    <cfRule type="cellIs" dxfId="1" priority="3424" operator="equal">
      <formula>0</formula>
    </cfRule>
  </conditionalFormatting>
  <conditionalFormatting sqref="C1563">
    <cfRule type="cellIs" dxfId="1" priority="3425" operator="equal">
      <formula>0</formula>
    </cfRule>
  </conditionalFormatting>
  <conditionalFormatting sqref="C1564">
    <cfRule type="cellIs" dxfId="1" priority="3426" operator="equal">
      <formula>0</formula>
    </cfRule>
  </conditionalFormatting>
  <conditionalFormatting sqref="C1565">
    <cfRule type="cellIs" dxfId="1" priority="3428" operator="equal">
      <formula>0</formula>
    </cfRule>
  </conditionalFormatting>
  <conditionalFormatting sqref="C1566">
    <cfRule type="cellIs" dxfId="1" priority="3429" operator="equal">
      <formula>0</formula>
    </cfRule>
  </conditionalFormatting>
  <conditionalFormatting sqref="C1567">
    <cfRule type="cellIs" dxfId="1" priority="3430" operator="equal">
      <formula>0</formula>
    </cfRule>
  </conditionalFormatting>
  <conditionalFormatting sqref="C1568">
    <cfRule type="cellIs" dxfId="1" priority="3432" operator="equal">
      <formula>0</formula>
    </cfRule>
  </conditionalFormatting>
  <conditionalFormatting sqref="C1569">
    <cfRule type="cellIs" dxfId="1" priority="3433" operator="equal">
      <formula>0</formula>
    </cfRule>
  </conditionalFormatting>
  <conditionalFormatting sqref="C157">
    <cfRule type="cellIs" dxfId="1" priority="297" operator="equal">
      <formula>0</formula>
    </cfRule>
  </conditionalFormatting>
  <conditionalFormatting sqref="C1570">
    <cfRule type="cellIs" dxfId="1" priority="3434" operator="equal">
      <formula>0</formula>
    </cfRule>
  </conditionalFormatting>
  <conditionalFormatting sqref="C1578">
    <cfRule type="expression" dxfId="0" priority="3436">
      <formula>C1579=0</formula>
    </cfRule>
  </conditionalFormatting>
  <conditionalFormatting sqref="C1579">
    <cfRule type="cellIs" dxfId="1" priority="3441" operator="equal">
      <formula>0</formula>
    </cfRule>
  </conditionalFormatting>
  <conditionalFormatting sqref="C158">
    <cfRule type="cellIs" dxfId="1" priority="300" operator="equal">
      <formula>0</formula>
    </cfRule>
  </conditionalFormatting>
  <conditionalFormatting sqref="C1580">
    <cfRule type="cellIs" dxfId="1" priority="3446" operator="equal">
      <formula>0</formula>
    </cfRule>
  </conditionalFormatting>
  <conditionalFormatting sqref="C1581">
    <cfRule type="cellIs" dxfId="1" priority="3449" operator="equal">
      <formula>0</formula>
    </cfRule>
  </conditionalFormatting>
  <conditionalFormatting sqref="C1582">
    <cfRule type="cellIs" dxfId="1" priority="3453" operator="equal">
      <formula>0</formula>
    </cfRule>
  </conditionalFormatting>
  <conditionalFormatting sqref="C1583">
    <cfRule type="cellIs" dxfId="1" priority="3457" operator="equal">
      <formula>0</formula>
    </cfRule>
  </conditionalFormatting>
  <conditionalFormatting sqref="C1585">
    <cfRule type="expression" dxfId="0" priority="3462">
      <formula>C1586=0</formula>
    </cfRule>
  </conditionalFormatting>
  <conditionalFormatting sqref="C1586">
    <cfRule type="cellIs" dxfId="1" priority="3465" operator="equal">
      <formula>0</formula>
    </cfRule>
  </conditionalFormatting>
  <conditionalFormatting sqref="C1587">
    <cfRule type="cellIs" dxfId="1" priority="3468" operator="equal">
      <formula>0</formula>
    </cfRule>
  </conditionalFormatting>
  <conditionalFormatting sqref="C1588">
    <cfRule type="cellIs" dxfId="1" priority="3470" operator="equal">
      <formula>0</formula>
    </cfRule>
  </conditionalFormatting>
  <conditionalFormatting sqref="C1589">
    <cfRule type="cellIs" dxfId="1" priority="3472" operator="equal">
      <formula>0</formula>
    </cfRule>
  </conditionalFormatting>
  <conditionalFormatting sqref="C1592">
    <cfRule type="expression" dxfId="0" priority="3476">
      <formula>C1593=0</formula>
    </cfRule>
  </conditionalFormatting>
  <conditionalFormatting sqref="C1593">
    <cfRule type="cellIs" dxfId="1" priority="3478" operator="equal">
      <formula>0</formula>
    </cfRule>
  </conditionalFormatting>
  <conditionalFormatting sqref="C1594">
    <cfRule type="cellIs" dxfId="1" priority="3480" operator="equal">
      <formula>0</formula>
    </cfRule>
  </conditionalFormatting>
  <conditionalFormatting sqref="C1595">
    <cfRule type="cellIs" dxfId="1" priority="3482" operator="equal">
      <formula>0</formula>
    </cfRule>
  </conditionalFormatting>
  <conditionalFormatting sqref="C1596">
    <cfRule type="cellIs" dxfId="1" priority="3484" operator="equal">
      <formula>0</formula>
    </cfRule>
  </conditionalFormatting>
  <conditionalFormatting sqref="C160">
    <cfRule type="expression" dxfId="0" priority="304">
      <formula>C161=0</formula>
    </cfRule>
  </conditionalFormatting>
  <conditionalFormatting sqref="C1605">
    <cfRule type="expression" dxfId="0" priority="3487">
      <formula>C1606=0</formula>
    </cfRule>
  </conditionalFormatting>
  <conditionalFormatting sqref="C1606">
    <cfRule type="cellIs" dxfId="1" priority="3494" operator="equal">
      <formula>0</formula>
    </cfRule>
  </conditionalFormatting>
  <conditionalFormatting sqref="C1607">
    <cfRule type="cellIs" dxfId="1" priority="3501" operator="equal">
      <formula>0</formula>
    </cfRule>
  </conditionalFormatting>
  <conditionalFormatting sqref="C1608">
    <cfRule type="cellIs" dxfId="1" priority="3506" operator="equal">
      <formula>0</formula>
    </cfRule>
  </conditionalFormatting>
  <conditionalFormatting sqref="C1609">
    <cfRule type="cellIs" dxfId="1" priority="3510" operator="equal">
      <formula>0</formula>
    </cfRule>
  </conditionalFormatting>
  <conditionalFormatting sqref="C161">
    <cfRule type="cellIs" dxfId="1" priority="313" operator="equal">
      <formula>0</formula>
    </cfRule>
  </conditionalFormatting>
  <conditionalFormatting sqref="C1611">
    <cfRule type="expression" dxfId="0" priority="3514">
      <formula>C1612=0</formula>
    </cfRule>
  </conditionalFormatting>
  <conditionalFormatting sqref="C1612">
    <cfRule type="cellIs" dxfId="1" priority="3516" operator="equal">
      <formula>0</formula>
    </cfRule>
  </conditionalFormatting>
  <conditionalFormatting sqref="C1613">
    <cfRule type="cellIs" dxfId="1" priority="3518" operator="equal">
      <formula>0</formula>
    </cfRule>
  </conditionalFormatting>
  <conditionalFormatting sqref="C1614">
    <cfRule type="cellIs" dxfId="1" priority="3520" operator="equal">
      <formula>0</formula>
    </cfRule>
  </conditionalFormatting>
  <conditionalFormatting sqref="C1615">
    <cfRule type="cellIs" dxfId="1" priority="3522" operator="equal">
      <formula>0</formula>
    </cfRule>
  </conditionalFormatting>
  <conditionalFormatting sqref="C1617">
    <cfRule type="expression" dxfId="0" priority="3524">
      <formula>C1618=0</formula>
    </cfRule>
  </conditionalFormatting>
  <conditionalFormatting sqref="C1618">
    <cfRule type="cellIs" dxfId="1" priority="3525" operator="equal">
      <formula>0</formula>
    </cfRule>
  </conditionalFormatting>
  <conditionalFormatting sqref="C1619">
    <cfRule type="cellIs" dxfId="1" priority="3526" operator="equal">
      <formula>0</formula>
    </cfRule>
  </conditionalFormatting>
  <conditionalFormatting sqref="C162">
    <cfRule type="cellIs" dxfId="1" priority="322" operator="equal">
      <formula>0</formula>
    </cfRule>
  </conditionalFormatting>
  <conditionalFormatting sqref="C1620">
    <cfRule type="cellIs" dxfId="1" priority="3527" operator="equal">
      <formula>0</formula>
    </cfRule>
  </conditionalFormatting>
  <conditionalFormatting sqref="C1621">
    <cfRule type="cellIs" dxfId="1" priority="3528" operator="equal">
      <formula>0</formula>
    </cfRule>
  </conditionalFormatting>
  <conditionalFormatting sqref="C173">
    <cfRule type="expression" dxfId="0" priority="340">
      <formula>C174=0</formula>
    </cfRule>
  </conditionalFormatting>
  <conditionalFormatting sqref="C174">
    <cfRule type="cellIs" dxfId="1" priority="344" operator="equal">
      <formula>0</formula>
    </cfRule>
  </conditionalFormatting>
  <conditionalFormatting sqref="C175">
    <cfRule type="cellIs" dxfId="1" priority="348" operator="equal">
      <formula>0</formula>
    </cfRule>
  </conditionalFormatting>
  <conditionalFormatting sqref="C192">
    <cfRule type="expression" dxfId="0" priority="359">
      <formula>C193=0</formula>
    </cfRule>
  </conditionalFormatting>
  <conditionalFormatting sqref="C193">
    <cfRule type="cellIs" dxfId="1" priority="370" operator="equal">
      <formula>0</formula>
    </cfRule>
  </conditionalFormatting>
  <conditionalFormatting sqref="C194">
    <cfRule type="cellIs" dxfId="1" priority="381" operator="equal">
      <formula>0</formula>
    </cfRule>
  </conditionalFormatting>
  <conditionalFormatting sqref="C195">
    <cfRule type="cellIs" dxfId="1" priority="385" operator="equal">
      <formula>0</formula>
    </cfRule>
  </conditionalFormatting>
  <conditionalFormatting sqref="C196">
    <cfRule type="cellIs" dxfId="1" priority="390" operator="equal">
      <formula>0</formula>
    </cfRule>
  </conditionalFormatting>
  <conditionalFormatting sqref="C197">
    <cfRule type="cellIs" dxfId="1" priority="393" operator="equal">
      <formula>0</formula>
    </cfRule>
  </conditionalFormatting>
  <conditionalFormatting sqref="C198">
    <cfRule type="cellIs" dxfId="1" priority="398" operator="equal">
      <formula>0</formula>
    </cfRule>
  </conditionalFormatting>
  <conditionalFormatting sqref="C199">
    <cfRule type="cellIs" dxfId="1" priority="403" operator="equal">
      <formula>0</formula>
    </cfRule>
  </conditionalFormatting>
  <conditionalFormatting sqref="C200">
    <cfRule type="cellIs" dxfId="1" priority="408" operator="equal">
      <formula>0</formula>
    </cfRule>
  </conditionalFormatting>
  <conditionalFormatting sqref="C201">
    <cfRule type="cellIs" dxfId="1" priority="413" operator="equal">
      <formula>0</formula>
    </cfRule>
  </conditionalFormatting>
  <conditionalFormatting sqref="C202">
    <cfRule type="cellIs" dxfId="1" priority="418" operator="equal">
      <formula>0</formula>
    </cfRule>
  </conditionalFormatting>
  <conditionalFormatting sqref="C203">
    <cfRule type="cellIs" dxfId="1" priority="422" operator="equal">
      <formula>0</formula>
    </cfRule>
  </conditionalFormatting>
  <conditionalFormatting sqref="C204">
    <cfRule type="cellIs" dxfId="1" priority="425" operator="equal">
      <formula>0</formula>
    </cfRule>
  </conditionalFormatting>
  <conditionalFormatting sqref="C205">
    <cfRule type="cellIs" dxfId="1" priority="430" operator="equal">
      <formula>0</formula>
    </cfRule>
  </conditionalFormatting>
  <conditionalFormatting sqref="C206">
    <cfRule type="cellIs" dxfId="1" priority="434" operator="equal">
      <formula>0</formula>
    </cfRule>
  </conditionalFormatting>
  <conditionalFormatting sqref="C207">
    <cfRule type="cellIs" dxfId="1" priority="440" operator="equal">
      <formula>0</formula>
    </cfRule>
  </conditionalFormatting>
  <conditionalFormatting sqref="C208">
    <cfRule type="cellIs" dxfId="1" priority="444" operator="equal">
      <formula>0</formula>
    </cfRule>
  </conditionalFormatting>
  <conditionalFormatting sqref="C209">
    <cfRule type="cellIs" dxfId="1" priority="448" operator="equal">
      <formula>0</formula>
    </cfRule>
  </conditionalFormatting>
  <conditionalFormatting sqref="C210">
    <cfRule type="cellIs" dxfId="1" priority="450" operator="equal">
      <formula>0</formula>
    </cfRule>
  </conditionalFormatting>
  <conditionalFormatting sqref="C211">
    <cfRule type="cellIs" dxfId="1" priority="453" operator="equal">
      <formula>0</formula>
    </cfRule>
  </conditionalFormatting>
  <conditionalFormatting sqref="C213">
    <cfRule type="expression" dxfId="0" priority="457">
      <formula>C214=0</formula>
    </cfRule>
  </conditionalFormatting>
  <conditionalFormatting sqref="C214">
    <cfRule type="cellIs" dxfId="1" priority="463" operator="equal">
      <formula>0</formula>
    </cfRule>
  </conditionalFormatting>
  <conditionalFormatting sqref="C215">
    <cfRule type="cellIs" dxfId="1" priority="469" operator="equal">
      <formula>0</formula>
    </cfRule>
  </conditionalFormatting>
  <conditionalFormatting sqref="C225">
    <cfRule type="cellIs" dxfId="1" priority="484" operator="equal">
      <formula>0</formula>
    </cfRule>
  </conditionalFormatting>
  <conditionalFormatting sqref="C234">
    <cfRule type="expression" dxfId="0" priority="495">
      <formula>C235=0</formula>
    </cfRule>
  </conditionalFormatting>
  <conditionalFormatting sqref="C235">
    <cfRule type="cellIs" dxfId="1" priority="497" operator="equal">
      <formula>0</formula>
    </cfRule>
  </conditionalFormatting>
  <conditionalFormatting sqref="C236">
    <cfRule type="cellIs" dxfId="1" priority="499" operator="equal">
      <formula>0</formula>
    </cfRule>
  </conditionalFormatting>
  <conditionalFormatting sqref="C246">
    <cfRule type="cellIs" dxfId="1" priority="510" operator="equal">
      <formula>0</formula>
    </cfRule>
  </conditionalFormatting>
  <conditionalFormatting sqref="C261">
    <cfRule type="expression" dxfId="0" priority="519">
      <formula>C262=0</formula>
    </cfRule>
  </conditionalFormatting>
  <conditionalFormatting sqref="C262">
    <cfRule type="cellIs" dxfId="1" priority="523" operator="equal">
      <formula>0</formula>
    </cfRule>
  </conditionalFormatting>
  <conditionalFormatting sqref="C263">
    <cfRule type="cellIs" dxfId="1" priority="527" operator="equal">
      <formula>0</formula>
    </cfRule>
  </conditionalFormatting>
  <conditionalFormatting sqref="C264">
    <cfRule type="cellIs" dxfId="1" priority="531" operator="equal">
      <formula>0</formula>
    </cfRule>
  </conditionalFormatting>
  <conditionalFormatting sqref="C266">
    <cfRule type="expression" dxfId="0" priority="535">
      <formula>C267=0</formula>
    </cfRule>
  </conditionalFormatting>
  <conditionalFormatting sqref="C267">
    <cfRule type="cellIs" dxfId="1" priority="537" operator="equal">
      <formula>0</formula>
    </cfRule>
  </conditionalFormatting>
  <conditionalFormatting sqref="C268">
    <cfRule type="cellIs" dxfId="1" priority="539" operator="equal">
      <formula>0</formula>
    </cfRule>
  </conditionalFormatting>
  <conditionalFormatting sqref="C269">
    <cfRule type="cellIs" dxfId="1" priority="541" operator="equal">
      <formula>0</formula>
    </cfRule>
  </conditionalFormatting>
  <conditionalFormatting sqref="C27">
    <cfRule type="expression" dxfId="0" priority="1">
      <formula>C28=0</formula>
    </cfRule>
  </conditionalFormatting>
  <conditionalFormatting sqref="C271">
    <cfRule type="expression" dxfId="0" priority="543">
      <formula>C272=0</formula>
    </cfRule>
  </conditionalFormatting>
  <conditionalFormatting sqref="C272">
    <cfRule type="cellIs" dxfId="1" priority="545" operator="equal">
      <formula>0</formula>
    </cfRule>
  </conditionalFormatting>
  <conditionalFormatting sqref="C273">
    <cfRule type="cellIs" dxfId="1" priority="547" operator="equal">
      <formula>0</formula>
    </cfRule>
  </conditionalFormatting>
  <conditionalFormatting sqref="C274">
    <cfRule type="cellIs" dxfId="1" priority="548" operator="equal">
      <formula>0</formula>
    </cfRule>
  </conditionalFormatting>
  <conditionalFormatting sqref="C28">
    <cfRule type="cellIs" dxfId="1" priority="7" operator="equal">
      <formula>0</formula>
    </cfRule>
  </conditionalFormatting>
  <conditionalFormatting sqref="C282">
    <cfRule type="expression" dxfId="0" priority="550">
      <formula>C283=0</formula>
    </cfRule>
  </conditionalFormatting>
  <conditionalFormatting sqref="C283">
    <cfRule type="cellIs" dxfId="1" priority="558" operator="equal">
      <formula>0</formula>
    </cfRule>
  </conditionalFormatting>
  <conditionalFormatting sqref="C284">
    <cfRule type="cellIs" dxfId="1" priority="566" operator="equal">
      <formula>0</formula>
    </cfRule>
  </conditionalFormatting>
  <conditionalFormatting sqref="C285">
    <cfRule type="cellIs" dxfId="1" priority="572" operator="equal">
      <formula>0</formula>
    </cfRule>
  </conditionalFormatting>
  <conditionalFormatting sqref="C286">
    <cfRule type="cellIs" dxfId="1" priority="576" operator="equal">
      <formula>0</formula>
    </cfRule>
  </conditionalFormatting>
  <conditionalFormatting sqref="C287">
    <cfRule type="cellIs" dxfId="1" priority="580" operator="equal">
      <formula>0</formula>
    </cfRule>
  </conditionalFormatting>
  <conditionalFormatting sqref="C288">
    <cfRule type="cellIs" dxfId="1" priority="584" operator="equal">
      <formula>0</formula>
    </cfRule>
  </conditionalFormatting>
  <conditionalFormatting sqref="C289">
    <cfRule type="cellIs" dxfId="1" priority="588" operator="equal">
      <formula>0</formula>
    </cfRule>
  </conditionalFormatting>
  <conditionalFormatting sqref="C29">
    <cfRule type="cellIs" dxfId="1" priority="13" operator="equal">
      <formula>0</formula>
    </cfRule>
  </conditionalFormatting>
  <conditionalFormatting sqref="C290">
    <cfRule type="cellIs" dxfId="1" priority="592" operator="equal">
      <formula>0</formula>
    </cfRule>
  </conditionalFormatting>
  <conditionalFormatting sqref="C291">
    <cfRule type="cellIs" dxfId="1" priority="596" operator="equal">
      <formula>0</formula>
    </cfRule>
  </conditionalFormatting>
  <conditionalFormatting sqref="C292">
    <cfRule type="cellIs" dxfId="1" priority="600" operator="equal">
      <formula>0</formula>
    </cfRule>
  </conditionalFormatting>
  <conditionalFormatting sqref="C293">
    <cfRule type="cellIs" dxfId="1" priority="604" operator="equal">
      <formula>0</formula>
    </cfRule>
  </conditionalFormatting>
  <conditionalFormatting sqref="C295">
    <cfRule type="cellIs" dxfId="1" priority="611" operator="equal">
      <formula>0</formula>
    </cfRule>
  </conditionalFormatting>
  <conditionalFormatting sqref="C296">
    <cfRule type="cellIs" dxfId="1" priority="615" operator="equal">
      <formula>0</formula>
    </cfRule>
  </conditionalFormatting>
  <conditionalFormatting sqref="C297">
    <cfRule type="cellIs" dxfId="1" priority="619" operator="equal">
      <formula>0</formula>
    </cfRule>
  </conditionalFormatting>
  <conditionalFormatting sqref="C299">
    <cfRule type="cellIs" dxfId="1" priority="626" operator="equal">
      <formula>0</formula>
    </cfRule>
  </conditionalFormatting>
  <conditionalFormatting sqref="C30">
    <cfRule type="cellIs" dxfId="1" priority="17" operator="equal">
      <formula>0</formula>
    </cfRule>
  </conditionalFormatting>
  <conditionalFormatting sqref="C300">
    <cfRule type="cellIs" dxfId="1" priority="631" operator="equal">
      <formula>0</formula>
    </cfRule>
  </conditionalFormatting>
  <conditionalFormatting sqref="C301">
    <cfRule type="cellIs" dxfId="1" priority="636" operator="equal">
      <formula>0</formula>
    </cfRule>
  </conditionalFormatting>
  <conditionalFormatting sqref="C302">
    <cfRule type="cellIs" dxfId="1" priority="641" operator="equal">
      <formula>0</formula>
    </cfRule>
  </conditionalFormatting>
  <conditionalFormatting sqref="C303">
    <cfRule type="cellIs" dxfId="1" priority="645" operator="equal">
      <formula>0</formula>
    </cfRule>
  </conditionalFormatting>
  <conditionalFormatting sqref="C304">
    <cfRule type="cellIs" dxfId="1" priority="649" operator="equal">
      <formula>0</formula>
    </cfRule>
  </conditionalFormatting>
  <conditionalFormatting sqref="C305">
    <cfRule type="cellIs" dxfId="1" priority="653" operator="equal">
      <formula>0</formula>
    </cfRule>
  </conditionalFormatting>
  <conditionalFormatting sqref="C306">
    <cfRule type="cellIs" dxfId="1" priority="657" operator="equal">
      <formula>0</formula>
    </cfRule>
  </conditionalFormatting>
  <conditionalFormatting sqref="C307">
    <cfRule type="cellIs" dxfId="1" priority="661" operator="equal">
      <formula>0</formula>
    </cfRule>
  </conditionalFormatting>
  <conditionalFormatting sqref="C309">
    <cfRule type="expression" dxfId="0" priority="666">
      <formula>C310=0</formula>
    </cfRule>
  </conditionalFormatting>
  <conditionalFormatting sqref="C31">
    <cfRule type="cellIs" dxfId="1" priority="21" operator="equal">
      <formula>0</formula>
    </cfRule>
  </conditionalFormatting>
  <conditionalFormatting sqref="C310">
    <cfRule type="cellIs" dxfId="1" priority="674" operator="equal">
      <formula>0</formula>
    </cfRule>
  </conditionalFormatting>
  <conditionalFormatting sqref="C311">
    <cfRule type="cellIs" dxfId="1" priority="682" operator="equal">
      <formula>0</formula>
    </cfRule>
  </conditionalFormatting>
  <conditionalFormatting sqref="C312">
    <cfRule type="cellIs" dxfId="1" priority="684" operator="equal">
      <formula>0</formula>
    </cfRule>
  </conditionalFormatting>
  <conditionalFormatting sqref="C313">
    <cfRule type="cellIs" dxfId="1" priority="686" operator="equal">
      <formula>0</formula>
    </cfRule>
  </conditionalFormatting>
  <conditionalFormatting sqref="C314">
    <cfRule type="cellIs" dxfId="1" priority="688" operator="equal">
      <formula>0</formula>
    </cfRule>
  </conditionalFormatting>
  <conditionalFormatting sqref="C315">
    <cfRule type="cellIs" dxfId="1" priority="690" operator="equal">
      <formula>0</formula>
    </cfRule>
  </conditionalFormatting>
  <conditionalFormatting sqref="C316">
    <cfRule type="cellIs" dxfId="1" priority="692" operator="equal">
      <formula>0</formula>
    </cfRule>
  </conditionalFormatting>
  <conditionalFormatting sqref="C317">
    <cfRule type="cellIs" dxfId="1" priority="694" operator="equal">
      <formula>0</formula>
    </cfRule>
  </conditionalFormatting>
  <conditionalFormatting sqref="C318">
    <cfRule type="cellIs" dxfId="1" priority="696" operator="equal">
      <formula>0</formula>
    </cfRule>
  </conditionalFormatting>
  <conditionalFormatting sqref="C319">
    <cfRule type="cellIs" dxfId="1" priority="698" operator="equal">
      <formula>0</formula>
    </cfRule>
  </conditionalFormatting>
  <conditionalFormatting sqref="C32">
    <cfRule type="cellIs" dxfId="1" priority="25" operator="equal">
      <formula>0</formula>
    </cfRule>
  </conditionalFormatting>
  <conditionalFormatting sqref="C320">
    <cfRule type="cellIs" dxfId="1" priority="700" operator="equal">
      <formula>0</formula>
    </cfRule>
  </conditionalFormatting>
  <conditionalFormatting sqref="C321">
    <cfRule type="cellIs" dxfId="1" priority="702" operator="equal">
      <formula>0</formula>
    </cfRule>
  </conditionalFormatting>
  <conditionalFormatting sqref="C322">
    <cfRule type="cellIs" dxfId="1" priority="704" operator="equal">
      <formula>0</formula>
    </cfRule>
  </conditionalFormatting>
  <conditionalFormatting sqref="C323">
    <cfRule type="cellIs" dxfId="1" priority="706" operator="equal">
      <formula>0</formula>
    </cfRule>
  </conditionalFormatting>
  <conditionalFormatting sqref="C324">
    <cfRule type="cellIs" dxfId="1" priority="708" operator="equal">
      <formula>0</formula>
    </cfRule>
  </conditionalFormatting>
  <conditionalFormatting sqref="C326">
    <cfRule type="cellIs" dxfId="1" priority="711" operator="equal">
      <formula>0</formula>
    </cfRule>
  </conditionalFormatting>
  <conditionalFormatting sqref="C327">
    <cfRule type="cellIs" dxfId="1" priority="713" operator="equal">
      <formula>0</formula>
    </cfRule>
  </conditionalFormatting>
  <conditionalFormatting sqref="C328">
    <cfRule type="cellIs" dxfId="1" priority="715" operator="equal">
      <formula>0</formula>
    </cfRule>
  </conditionalFormatting>
  <conditionalFormatting sqref="C329">
    <cfRule type="cellIs" dxfId="1" priority="717" operator="equal">
      <formula>0</formula>
    </cfRule>
  </conditionalFormatting>
  <conditionalFormatting sqref="C33">
    <cfRule type="cellIs" dxfId="1" priority="29" operator="equal">
      <formula>0</formula>
    </cfRule>
  </conditionalFormatting>
  <conditionalFormatting sqref="C330">
    <cfRule type="cellIs" dxfId="1" priority="719" operator="equal">
      <formula>0</formula>
    </cfRule>
  </conditionalFormatting>
  <conditionalFormatting sqref="C331">
    <cfRule type="cellIs" dxfId="1" priority="721" operator="equal">
      <formula>0</formula>
    </cfRule>
  </conditionalFormatting>
  <conditionalFormatting sqref="C332">
    <cfRule type="cellIs" dxfId="1" priority="723" operator="equal">
      <formula>0</formula>
    </cfRule>
  </conditionalFormatting>
  <conditionalFormatting sqref="C333">
    <cfRule type="cellIs" dxfId="1" priority="725" operator="equal">
      <formula>0</formula>
    </cfRule>
  </conditionalFormatting>
  <conditionalFormatting sqref="C334">
    <cfRule type="cellIs" dxfId="1" priority="727" operator="equal">
      <formula>0</formula>
    </cfRule>
  </conditionalFormatting>
  <conditionalFormatting sqref="C336">
    <cfRule type="expression" dxfId="0" priority="729">
      <formula>C337=0</formula>
    </cfRule>
  </conditionalFormatting>
  <conditionalFormatting sqref="C337">
    <cfRule type="cellIs" dxfId="1" priority="732" operator="equal">
      <formula>0</formula>
    </cfRule>
  </conditionalFormatting>
  <conditionalFormatting sqref="C338">
    <cfRule type="cellIs" dxfId="1" priority="735" operator="equal">
      <formula>0</formula>
    </cfRule>
  </conditionalFormatting>
  <conditionalFormatting sqref="C339">
    <cfRule type="cellIs" dxfId="1" priority="736" operator="equal">
      <formula>0</formula>
    </cfRule>
  </conditionalFormatting>
  <conditionalFormatting sqref="C340">
    <cfRule type="cellIs" dxfId="1" priority="737" operator="equal">
      <formula>0</formula>
    </cfRule>
  </conditionalFormatting>
  <conditionalFormatting sqref="C341">
    <cfRule type="cellIs" dxfId="1" priority="738" operator="equal">
      <formula>0</formula>
    </cfRule>
  </conditionalFormatting>
  <conditionalFormatting sqref="C342">
    <cfRule type="cellIs" dxfId="1" priority="739" operator="equal">
      <formula>0</formula>
    </cfRule>
  </conditionalFormatting>
  <conditionalFormatting sqref="C343">
    <cfRule type="cellIs" dxfId="1" priority="740" operator="equal">
      <formula>0</formula>
    </cfRule>
  </conditionalFormatting>
  <conditionalFormatting sqref="C344">
    <cfRule type="cellIs" dxfId="1" priority="741" operator="equal">
      <formula>0</formula>
    </cfRule>
  </conditionalFormatting>
  <conditionalFormatting sqref="C345">
    <cfRule type="cellIs" dxfId="1" priority="742" operator="equal">
      <formula>0</formula>
    </cfRule>
  </conditionalFormatting>
  <conditionalFormatting sqref="C346">
    <cfRule type="cellIs" dxfId="1" priority="743" operator="equal">
      <formula>0</formula>
    </cfRule>
  </conditionalFormatting>
  <conditionalFormatting sqref="C347">
    <cfRule type="cellIs" dxfId="1" priority="744" operator="equal">
      <formula>0</formula>
    </cfRule>
  </conditionalFormatting>
  <conditionalFormatting sqref="C348">
    <cfRule type="cellIs" dxfId="1" priority="745" operator="equal">
      <formula>0</formula>
    </cfRule>
  </conditionalFormatting>
  <conditionalFormatting sqref="C349">
    <cfRule type="cellIs" dxfId="1" priority="746" operator="equal">
      <formula>0</formula>
    </cfRule>
  </conditionalFormatting>
  <conditionalFormatting sqref="C35">
    <cfRule type="expression" dxfId="0" priority="33">
      <formula>C36=0</formula>
    </cfRule>
  </conditionalFormatting>
  <conditionalFormatting sqref="C350">
    <cfRule type="cellIs" dxfId="1" priority="748" operator="equal">
      <formula>0</formula>
    </cfRule>
  </conditionalFormatting>
  <conditionalFormatting sqref="C351">
    <cfRule type="cellIs" dxfId="1" priority="749" operator="equal">
      <formula>0</formula>
    </cfRule>
  </conditionalFormatting>
  <conditionalFormatting sqref="C352">
    <cfRule type="cellIs" dxfId="1" priority="750" operator="equal">
      <formula>0</formula>
    </cfRule>
  </conditionalFormatting>
  <conditionalFormatting sqref="C353">
    <cfRule type="cellIs" dxfId="1" priority="751" operator="equal">
      <formula>0</formula>
    </cfRule>
  </conditionalFormatting>
  <conditionalFormatting sqref="C354">
    <cfRule type="cellIs" dxfId="1" priority="752" operator="equal">
      <formula>0</formula>
    </cfRule>
  </conditionalFormatting>
  <conditionalFormatting sqref="C355">
    <cfRule type="cellIs" dxfId="1" priority="753" operator="equal">
      <formula>0</formula>
    </cfRule>
  </conditionalFormatting>
  <conditionalFormatting sqref="C356">
    <cfRule type="cellIs" dxfId="1" priority="754" operator="equal">
      <formula>0</formula>
    </cfRule>
  </conditionalFormatting>
  <conditionalFormatting sqref="C357">
    <cfRule type="cellIs" dxfId="1" priority="756" operator="equal">
      <formula>0</formula>
    </cfRule>
  </conditionalFormatting>
  <conditionalFormatting sqref="C358">
    <cfRule type="cellIs" dxfId="1" priority="758" operator="equal">
      <formula>0</formula>
    </cfRule>
  </conditionalFormatting>
  <conditionalFormatting sqref="C359">
    <cfRule type="cellIs" dxfId="1" priority="759" operator="equal">
      <formula>0</formula>
    </cfRule>
  </conditionalFormatting>
  <conditionalFormatting sqref="C36">
    <cfRule type="cellIs" dxfId="1" priority="36" operator="equal">
      <formula>0</formula>
    </cfRule>
  </conditionalFormatting>
  <conditionalFormatting sqref="C361">
    <cfRule type="cellIs" dxfId="1" priority="761" operator="equal">
      <formula>0</formula>
    </cfRule>
  </conditionalFormatting>
  <conditionalFormatting sqref="C369">
    <cfRule type="expression" dxfId="0" priority="762">
      <formula>C370=0</formula>
    </cfRule>
  </conditionalFormatting>
  <conditionalFormatting sqref="C37">
    <cfRule type="cellIs" dxfId="1" priority="39" operator="equal">
      <formula>0</formula>
    </cfRule>
  </conditionalFormatting>
  <conditionalFormatting sqref="C370">
    <cfRule type="cellIs" dxfId="1" priority="769" operator="equal">
      <formula>0</formula>
    </cfRule>
  </conditionalFormatting>
  <conditionalFormatting sqref="C371">
    <cfRule type="cellIs" dxfId="1" priority="776" operator="equal">
      <formula>0</formula>
    </cfRule>
  </conditionalFormatting>
  <conditionalFormatting sqref="C372">
    <cfRule type="cellIs" dxfId="1" priority="780" operator="equal">
      <formula>0</formula>
    </cfRule>
  </conditionalFormatting>
  <conditionalFormatting sqref="C373">
    <cfRule type="cellIs" dxfId="1" priority="786" operator="equal">
      <formula>0</formula>
    </cfRule>
  </conditionalFormatting>
  <conditionalFormatting sqref="C374">
    <cfRule type="cellIs" dxfId="1" priority="790" operator="equal">
      <formula>0</formula>
    </cfRule>
  </conditionalFormatting>
  <conditionalFormatting sqref="C375">
    <cfRule type="cellIs" dxfId="1" priority="794" operator="equal">
      <formula>0</formula>
    </cfRule>
  </conditionalFormatting>
  <conditionalFormatting sqref="C377">
    <cfRule type="expression" dxfId="0" priority="798">
      <formula>C378=0</formula>
    </cfRule>
  </conditionalFormatting>
  <conditionalFormatting sqref="C378">
    <cfRule type="cellIs" dxfId="1" priority="801" operator="equal">
      <formula>0</formula>
    </cfRule>
  </conditionalFormatting>
  <conditionalFormatting sqref="C379">
    <cfRule type="cellIs" dxfId="1" priority="804" operator="equal">
      <formula>0</formula>
    </cfRule>
  </conditionalFormatting>
  <conditionalFormatting sqref="C38">
    <cfRule type="cellIs" dxfId="1" priority="41" operator="equal">
      <formula>0</formula>
    </cfRule>
  </conditionalFormatting>
  <conditionalFormatting sqref="C381">
    <cfRule type="cellIs" dxfId="1" priority="807" operator="equal">
      <formula>0</formula>
    </cfRule>
  </conditionalFormatting>
  <conditionalFormatting sqref="C382">
    <cfRule type="cellIs" dxfId="1" priority="808" operator="equal">
      <formula>0</formula>
    </cfRule>
  </conditionalFormatting>
  <conditionalFormatting sqref="C383">
    <cfRule type="cellIs" dxfId="1" priority="809" operator="equal">
      <formula>0</formula>
    </cfRule>
  </conditionalFormatting>
  <conditionalFormatting sqref="C385">
    <cfRule type="expression" dxfId="0" priority="810">
      <formula>C386=0</formula>
    </cfRule>
  </conditionalFormatting>
  <conditionalFormatting sqref="C386">
    <cfRule type="cellIs" dxfId="1" priority="812" operator="equal">
      <formula>0</formula>
    </cfRule>
  </conditionalFormatting>
  <conditionalFormatting sqref="C387">
    <cfRule type="cellIs" dxfId="1" priority="814" operator="equal">
      <formula>0</formula>
    </cfRule>
  </conditionalFormatting>
  <conditionalFormatting sqref="C389">
    <cfRule type="cellIs" dxfId="1" priority="816" operator="equal">
      <formula>0</formula>
    </cfRule>
  </conditionalFormatting>
  <conditionalFormatting sqref="C39">
    <cfRule type="cellIs" dxfId="1" priority="43" operator="equal">
      <formula>0</formula>
    </cfRule>
  </conditionalFormatting>
  <conditionalFormatting sqref="C390">
    <cfRule type="cellIs" dxfId="1" priority="817" operator="equal">
      <formula>0</formula>
    </cfRule>
  </conditionalFormatting>
  <conditionalFormatting sqref="C391">
    <cfRule type="cellIs" dxfId="1" priority="818" operator="equal">
      <formula>0</formula>
    </cfRule>
  </conditionalFormatting>
  <conditionalFormatting sqref="C399">
    <cfRule type="expression" dxfId="0" priority="819">
      <formula>C400=0</formula>
    </cfRule>
  </conditionalFormatting>
  <conditionalFormatting sqref="C400">
    <cfRule type="cellIs" dxfId="1" priority="828" operator="equal">
      <formula>0</formula>
    </cfRule>
  </conditionalFormatting>
  <conditionalFormatting sqref="C401">
    <cfRule type="cellIs" dxfId="1" priority="837" operator="equal">
      <formula>0</formula>
    </cfRule>
  </conditionalFormatting>
  <conditionalFormatting sqref="C402">
    <cfRule type="cellIs" dxfId="1" priority="840" operator="equal">
      <formula>0</formula>
    </cfRule>
  </conditionalFormatting>
  <conditionalFormatting sqref="C403">
    <cfRule type="cellIs" dxfId="1" priority="845" operator="equal">
      <formula>0</formula>
    </cfRule>
  </conditionalFormatting>
  <conditionalFormatting sqref="C404">
    <cfRule type="cellIs" dxfId="1" priority="848" operator="equal">
      <formula>0</formula>
    </cfRule>
  </conditionalFormatting>
  <conditionalFormatting sqref="C405">
    <cfRule type="cellIs" dxfId="1" priority="853" operator="equal">
      <formula>0</formula>
    </cfRule>
  </conditionalFormatting>
  <conditionalFormatting sqref="C406">
    <cfRule type="cellIs" dxfId="1" priority="857" operator="equal">
      <formula>0</formula>
    </cfRule>
  </conditionalFormatting>
  <conditionalFormatting sqref="C407">
    <cfRule type="cellIs" dxfId="1" priority="859" operator="equal">
      <formula>0</formula>
    </cfRule>
  </conditionalFormatting>
  <conditionalFormatting sqref="C408">
    <cfRule type="cellIs" dxfId="1" priority="865" operator="equal">
      <formula>0</formula>
    </cfRule>
  </conditionalFormatting>
  <conditionalFormatting sqref="C409">
    <cfRule type="cellIs" dxfId="1" priority="869" operator="equal">
      <formula>0</formula>
    </cfRule>
  </conditionalFormatting>
  <conditionalFormatting sqref="C41">
    <cfRule type="cellIs" dxfId="1" priority="46" operator="equal">
      <formula>0</formula>
    </cfRule>
  </conditionalFormatting>
  <conditionalFormatting sqref="C411">
    <cfRule type="expression" dxfId="0" priority="872">
      <formula>C412=0</formula>
    </cfRule>
  </conditionalFormatting>
  <conditionalFormatting sqref="C412">
    <cfRule type="cellIs" dxfId="1" priority="877" operator="equal">
      <formula>0</formula>
    </cfRule>
  </conditionalFormatting>
  <conditionalFormatting sqref="C414">
    <cfRule type="cellIs" dxfId="1" priority="882" operator="equal">
      <formula>0</formula>
    </cfRule>
  </conditionalFormatting>
  <conditionalFormatting sqref="C416">
    <cfRule type="cellIs" dxfId="1" priority="885" operator="equal">
      <formula>0</formula>
    </cfRule>
  </conditionalFormatting>
  <conditionalFormatting sqref="C417">
    <cfRule type="cellIs" dxfId="1" priority="887" operator="equal">
      <formula>0</formula>
    </cfRule>
  </conditionalFormatting>
  <conditionalFormatting sqref="C418">
    <cfRule type="cellIs" dxfId="1" priority="888" operator="equal">
      <formula>0</formula>
    </cfRule>
  </conditionalFormatting>
  <conditionalFormatting sqref="C419">
    <cfRule type="cellIs" dxfId="1" priority="890" operator="equal">
      <formula>0</formula>
    </cfRule>
  </conditionalFormatting>
  <conditionalFormatting sqref="C423">
    <cfRule type="expression" dxfId="0" priority="895">
      <formula>C424=0</formula>
    </cfRule>
  </conditionalFormatting>
  <conditionalFormatting sqref="C424">
    <cfRule type="cellIs" dxfId="1" priority="898" operator="equal">
      <formula>0</formula>
    </cfRule>
  </conditionalFormatting>
  <conditionalFormatting sqref="C425">
    <cfRule type="cellIs" dxfId="1" priority="901" operator="equal">
      <formula>0</formula>
    </cfRule>
  </conditionalFormatting>
  <conditionalFormatting sqref="C426">
    <cfRule type="cellIs" dxfId="1" priority="902" operator="equal">
      <formula>0</formula>
    </cfRule>
  </conditionalFormatting>
  <conditionalFormatting sqref="C429">
    <cfRule type="cellIs" dxfId="1" priority="905" operator="equal">
      <formula>0</formula>
    </cfRule>
  </conditionalFormatting>
  <conditionalFormatting sqref="C43">
    <cfRule type="expression" dxfId="0" priority="48">
      <formula>C44=0</formula>
    </cfRule>
  </conditionalFormatting>
  <conditionalFormatting sqref="C431">
    <cfRule type="cellIs" dxfId="1" priority="908" operator="equal">
      <formula>0</formula>
    </cfRule>
  </conditionalFormatting>
  <conditionalFormatting sqref="C432">
    <cfRule type="cellIs" dxfId="1" priority="910" operator="equal">
      <formula>0</formula>
    </cfRule>
  </conditionalFormatting>
  <conditionalFormatting sqref="C433">
    <cfRule type="cellIs" dxfId="1" priority="912" operator="equal">
      <formula>0</formula>
    </cfRule>
  </conditionalFormatting>
  <conditionalFormatting sqref="C44">
    <cfRule type="cellIs" dxfId="1" priority="50" operator="equal">
      <formula>0</formula>
    </cfRule>
  </conditionalFormatting>
  <conditionalFormatting sqref="C441">
    <cfRule type="expression" dxfId="0" priority="914">
      <formula>C442=0</formula>
    </cfRule>
  </conditionalFormatting>
  <conditionalFormatting sqref="C442">
    <cfRule type="cellIs" dxfId="1" priority="923" operator="equal">
      <formula>0</formula>
    </cfRule>
  </conditionalFormatting>
  <conditionalFormatting sqref="C444">
    <cfRule type="cellIs" dxfId="1" priority="935" operator="equal">
      <formula>0</formula>
    </cfRule>
  </conditionalFormatting>
  <conditionalFormatting sqref="C445">
    <cfRule type="cellIs" dxfId="1" priority="941" operator="equal">
      <formula>0</formula>
    </cfRule>
  </conditionalFormatting>
  <conditionalFormatting sqref="C446">
    <cfRule type="cellIs" dxfId="1" priority="946" operator="equal">
      <formula>0</formula>
    </cfRule>
  </conditionalFormatting>
  <conditionalFormatting sqref="C447">
    <cfRule type="cellIs" dxfId="1" priority="950" operator="equal">
      <formula>0</formula>
    </cfRule>
  </conditionalFormatting>
  <conditionalFormatting sqref="C448">
    <cfRule type="cellIs" dxfId="1" priority="954" operator="equal">
      <formula>0</formula>
    </cfRule>
  </conditionalFormatting>
  <conditionalFormatting sqref="C45">
    <cfRule type="cellIs" dxfId="1" priority="52" operator="equal">
      <formula>0</formula>
    </cfRule>
  </conditionalFormatting>
  <conditionalFormatting sqref="C450">
    <cfRule type="expression" dxfId="0" priority="958">
      <formula>C451=0</formula>
    </cfRule>
  </conditionalFormatting>
  <conditionalFormatting sqref="C451">
    <cfRule type="cellIs" dxfId="1" priority="961" operator="equal">
      <formula>0</formula>
    </cfRule>
  </conditionalFormatting>
  <conditionalFormatting sqref="C452">
    <cfRule type="cellIs" dxfId="1" priority="964" operator="equal">
      <formula>0</formula>
    </cfRule>
  </conditionalFormatting>
  <conditionalFormatting sqref="C454">
    <cfRule type="cellIs" dxfId="1" priority="967" operator="equal">
      <formula>0</formula>
    </cfRule>
  </conditionalFormatting>
  <conditionalFormatting sqref="C455">
    <cfRule type="cellIs" dxfId="1" priority="969" operator="equal">
      <formula>0</formula>
    </cfRule>
  </conditionalFormatting>
  <conditionalFormatting sqref="C457">
    <cfRule type="cellIs" dxfId="1" priority="972" operator="equal">
      <formula>0</formula>
    </cfRule>
  </conditionalFormatting>
  <conditionalFormatting sqref="C459">
    <cfRule type="expression" dxfId="0" priority="974">
      <formula>C460=0</formula>
    </cfRule>
  </conditionalFormatting>
  <conditionalFormatting sqref="C46">
    <cfRule type="cellIs" dxfId="1" priority="54" operator="equal">
      <formula>0</formula>
    </cfRule>
  </conditionalFormatting>
  <conditionalFormatting sqref="C460">
    <cfRule type="cellIs" dxfId="1" priority="976" operator="equal">
      <formula>0</formula>
    </cfRule>
  </conditionalFormatting>
  <conditionalFormatting sqref="C461">
    <cfRule type="cellIs" dxfId="1" priority="978" operator="equal">
      <formula>0</formula>
    </cfRule>
  </conditionalFormatting>
  <conditionalFormatting sqref="C462">
    <cfRule type="cellIs" dxfId="1" priority="979" operator="equal">
      <formula>0</formula>
    </cfRule>
  </conditionalFormatting>
  <conditionalFormatting sqref="C463">
    <cfRule type="cellIs" dxfId="1" priority="981" operator="equal">
      <formula>0</formula>
    </cfRule>
  </conditionalFormatting>
  <conditionalFormatting sqref="C464">
    <cfRule type="cellIs" dxfId="1" priority="983" operator="equal">
      <formula>0</formula>
    </cfRule>
  </conditionalFormatting>
  <conditionalFormatting sqref="C466">
    <cfRule type="cellIs" dxfId="1" priority="985" operator="equal">
      <formula>0</formula>
    </cfRule>
  </conditionalFormatting>
  <conditionalFormatting sqref="C47">
    <cfRule type="cellIs" dxfId="1" priority="56" operator="equal">
      <formula>0</formula>
    </cfRule>
  </conditionalFormatting>
  <conditionalFormatting sqref="C474">
    <cfRule type="expression" dxfId="0" priority="987">
      <formula>C475=0</formula>
    </cfRule>
  </conditionalFormatting>
  <conditionalFormatting sqref="C475">
    <cfRule type="cellIs" dxfId="1" priority="990" operator="equal">
      <formula>0</formula>
    </cfRule>
  </conditionalFormatting>
  <conditionalFormatting sqref="C476">
    <cfRule type="cellIs" dxfId="1" priority="993" operator="equal">
      <formula>0</formula>
    </cfRule>
  </conditionalFormatting>
  <conditionalFormatting sqref="C478">
    <cfRule type="expression" dxfId="0" priority="996">
      <formula>C479=0</formula>
    </cfRule>
  </conditionalFormatting>
  <conditionalFormatting sqref="C479">
    <cfRule type="cellIs" dxfId="1" priority="997" operator="equal">
      <formula>0</formula>
    </cfRule>
  </conditionalFormatting>
  <conditionalFormatting sqref="C480">
    <cfRule type="cellIs" dxfId="1" priority="998" operator="equal">
      <formula>0</formula>
    </cfRule>
  </conditionalFormatting>
  <conditionalFormatting sqref="C482">
    <cfRule type="expression" dxfId="0" priority="999">
      <formula>C483=0</formula>
    </cfRule>
  </conditionalFormatting>
  <conditionalFormatting sqref="C483">
    <cfRule type="cellIs" dxfId="1" priority="1000" operator="equal">
      <formula>0</formula>
    </cfRule>
  </conditionalFormatting>
  <conditionalFormatting sqref="C484">
    <cfRule type="cellIs" dxfId="1" priority="1001" operator="equal">
      <formula>0</formula>
    </cfRule>
  </conditionalFormatting>
  <conditionalFormatting sqref="C49">
    <cfRule type="cellIs" dxfId="1" priority="59" operator="equal">
      <formula>0</formula>
    </cfRule>
  </conditionalFormatting>
  <conditionalFormatting sqref="C492">
    <cfRule type="expression" dxfId="0" priority="1002">
      <formula>C493=0</formula>
    </cfRule>
  </conditionalFormatting>
  <conditionalFormatting sqref="C493">
    <cfRule type="cellIs" dxfId="1" priority="1006" operator="equal">
      <formula>0</formula>
    </cfRule>
  </conditionalFormatting>
  <conditionalFormatting sqref="C494">
    <cfRule type="cellIs" dxfId="1" priority="1010" operator="equal">
      <formula>0</formula>
    </cfRule>
  </conditionalFormatting>
  <conditionalFormatting sqref="C495">
    <cfRule type="cellIs" dxfId="1" priority="1014" operator="equal">
      <formula>0</formula>
    </cfRule>
  </conditionalFormatting>
  <conditionalFormatting sqref="C496">
    <cfRule type="cellIs" dxfId="1" priority="1018" operator="equal">
      <formula>0</formula>
    </cfRule>
  </conditionalFormatting>
  <conditionalFormatting sqref="C497">
    <cfRule type="cellIs" dxfId="1" priority="1022" operator="equal">
      <formula>0</formula>
    </cfRule>
  </conditionalFormatting>
  <conditionalFormatting sqref="C498">
    <cfRule type="cellIs" dxfId="1" priority="1026" operator="equal">
      <formula>0</formula>
    </cfRule>
  </conditionalFormatting>
  <conditionalFormatting sqref="C500">
    <cfRule type="expression" dxfId="0" priority="1030">
      <formula>C501=0</formula>
    </cfRule>
  </conditionalFormatting>
  <conditionalFormatting sqref="C501">
    <cfRule type="cellIs" dxfId="1" priority="1032" operator="equal">
      <formula>0</formula>
    </cfRule>
  </conditionalFormatting>
  <conditionalFormatting sqref="C502">
    <cfRule type="cellIs" dxfId="1" priority="1034" operator="equal">
      <formula>0</formula>
    </cfRule>
  </conditionalFormatting>
  <conditionalFormatting sqref="C504">
    <cfRule type="cellIs" dxfId="1" priority="1037" operator="equal">
      <formula>0</formula>
    </cfRule>
  </conditionalFormatting>
  <conditionalFormatting sqref="C505">
    <cfRule type="cellIs" dxfId="1" priority="1039" operator="equal">
      <formula>0</formula>
    </cfRule>
  </conditionalFormatting>
  <conditionalFormatting sqref="C508">
    <cfRule type="expression" dxfId="0" priority="1042">
      <formula>C509=0</formula>
    </cfRule>
  </conditionalFormatting>
  <conditionalFormatting sqref="C509">
    <cfRule type="cellIs" dxfId="1" priority="1044" operator="equal">
      <formula>0</formula>
    </cfRule>
  </conditionalFormatting>
  <conditionalFormatting sqref="C510">
    <cfRule type="cellIs" dxfId="1" priority="1046" operator="equal">
      <formula>0</formula>
    </cfRule>
  </conditionalFormatting>
  <conditionalFormatting sqref="C511">
    <cfRule type="cellIs" dxfId="1" priority="1048" operator="equal">
      <formula>0</formula>
    </cfRule>
  </conditionalFormatting>
  <conditionalFormatting sqref="C512">
    <cfRule type="cellIs" dxfId="1" priority="1050" operator="equal">
      <formula>0</formula>
    </cfRule>
  </conditionalFormatting>
  <conditionalFormatting sqref="C513">
    <cfRule type="cellIs" dxfId="1" priority="1052" operator="equal">
      <formula>0</formula>
    </cfRule>
  </conditionalFormatting>
  <conditionalFormatting sqref="C514">
    <cfRule type="cellIs" dxfId="1" priority="1054" operator="equal">
      <formula>0</formula>
    </cfRule>
  </conditionalFormatting>
  <conditionalFormatting sqref="C522">
    <cfRule type="expression" dxfId="0" priority="1056">
      <formula>C523=0</formula>
    </cfRule>
  </conditionalFormatting>
  <conditionalFormatting sqref="C523">
    <cfRule type="cellIs" dxfId="1" priority="1067" operator="equal">
      <formula>0</formula>
    </cfRule>
  </conditionalFormatting>
  <conditionalFormatting sqref="C524">
    <cfRule type="cellIs" dxfId="1" priority="1078" operator="equal">
      <formula>0</formula>
    </cfRule>
  </conditionalFormatting>
  <conditionalFormatting sqref="C525">
    <cfRule type="cellIs" dxfId="1" priority="1082" operator="equal">
      <formula>0</formula>
    </cfRule>
  </conditionalFormatting>
  <conditionalFormatting sqref="C526">
    <cfRule type="cellIs" dxfId="1" priority="1087" operator="equal">
      <formula>0</formula>
    </cfRule>
  </conditionalFormatting>
  <conditionalFormatting sqref="C528">
    <cfRule type="cellIs" dxfId="1" priority="1094" operator="equal">
      <formula>0</formula>
    </cfRule>
  </conditionalFormatting>
  <conditionalFormatting sqref="C529">
    <cfRule type="cellIs" dxfId="1" priority="1098" operator="equal">
      <formula>0</formula>
    </cfRule>
  </conditionalFormatting>
  <conditionalFormatting sqref="C530">
    <cfRule type="cellIs" dxfId="1" priority="1102" operator="equal">
      <formula>0</formula>
    </cfRule>
  </conditionalFormatting>
  <conditionalFormatting sqref="C531">
    <cfRule type="cellIs" dxfId="1" priority="1106" operator="equal">
      <formula>0</formula>
    </cfRule>
  </conditionalFormatting>
  <conditionalFormatting sqref="C532">
    <cfRule type="cellIs" dxfId="1" priority="1110" operator="equal">
      <formula>0</formula>
    </cfRule>
  </conditionalFormatting>
  <conditionalFormatting sqref="C533">
    <cfRule type="cellIs" dxfId="1" priority="1114" operator="equal">
      <formula>0</formula>
    </cfRule>
  </conditionalFormatting>
  <conditionalFormatting sqref="C534">
    <cfRule type="cellIs" dxfId="1" priority="1118" operator="equal">
      <formula>0</formula>
    </cfRule>
  </conditionalFormatting>
  <conditionalFormatting sqref="C535">
    <cfRule type="cellIs" dxfId="1" priority="1122" operator="equal">
      <formula>0</formula>
    </cfRule>
  </conditionalFormatting>
  <conditionalFormatting sqref="C536">
    <cfRule type="cellIs" dxfId="1" priority="1126" operator="equal">
      <formula>0</formula>
    </cfRule>
  </conditionalFormatting>
  <conditionalFormatting sqref="C537">
    <cfRule type="cellIs" dxfId="1" priority="1130" operator="equal">
      <formula>0</formula>
    </cfRule>
  </conditionalFormatting>
  <conditionalFormatting sqref="C539">
    <cfRule type="cellIs" dxfId="1" priority="1137" operator="equal">
      <formula>0</formula>
    </cfRule>
  </conditionalFormatting>
  <conditionalFormatting sqref="C540">
    <cfRule type="cellIs" dxfId="1" priority="1142" operator="equal">
      <formula>0</formula>
    </cfRule>
  </conditionalFormatting>
  <conditionalFormatting sqref="C541">
    <cfRule type="cellIs" dxfId="1" priority="1147" operator="equal">
      <formula>0</formula>
    </cfRule>
  </conditionalFormatting>
  <conditionalFormatting sqref="C542">
    <cfRule type="cellIs" dxfId="1" priority="1151" operator="equal">
      <formula>0</formula>
    </cfRule>
  </conditionalFormatting>
  <conditionalFormatting sqref="C543">
    <cfRule type="cellIs" dxfId="1" priority="1155" operator="equal">
      <formula>0</formula>
    </cfRule>
  </conditionalFormatting>
  <conditionalFormatting sqref="C544">
    <cfRule type="cellIs" dxfId="1" priority="1159" operator="equal">
      <formula>0</formula>
    </cfRule>
  </conditionalFormatting>
  <conditionalFormatting sqref="C545">
    <cfRule type="cellIs" dxfId="1" priority="1163" operator="equal">
      <formula>0</formula>
    </cfRule>
  </conditionalFormatting>
  <conditionalFormatting sqref="C546">
    <cfRule type="cellIs" dxfId="1" priority="1167" operator="equal">
      <formula>0</formula>
    </cfRule>
  </conditionalFormatting>
  <conditionalFormatting sqref="C547">
    <cfRule type="cellIs" dxfId="1" priority="1171" operator="equal">
      <formula>0</formula>
    </cfRule>
  </conditionalFormatting>
  <conditionalFormatting sqref="C548">
    <cfRule type="cellIs" dxfId="1" priority="1175" operator="equal">
      <formula>0</formula>
    </cfRule>
  </conditionalFormatting>
  <conditionalFormatting sqref="C550">
    <cfRule type="expression" dxfId="0" priority="1180">
      <formula>C551=0</formula>
    </cfRule>
  </conditionalFormatting>
  <conditionalFormatting sqref="C551">
    <cfRule type="cellIs" dxfId="1" priority="1190" operator="equal">
      <formula>0</formula>
    </cfRule>
  </conditionalFormatting>
  <conditionalFormatting sqref="C552">
    <cfRule type="cellIs" dxfId="1" priority="1200" operator="equal">
      <formula>0</formula>
    </cfRule>
  </conditionalFormatting>
  <conditionalFormatting sqref="C553">
    <cfRule type="cellIs" dxfId="1" priority="1202" operator="equal">
      <formula>0</formula>
    </cfRule>
  </conditionalFormatting>
  <conditionalFormatting sqref="C554">
    <cfRule type="cellIs" dxfId="1" priority="1204" operator="equal">
      <formula>0</formula>
    </cfRule>
  </conditionalFormatting>
  <conditionalFormatting sqref="C557">
    <cfRule type="cellIs" dxfId="1" priority="1210" operator="equal">
      <formula>0</formula>
    </cfRule>
  </conditionalFormatting>
  <conditionalFormatting sqref="C558">
    <cfRule type="cellIs" dxfId="1" priority="1212" operator="equal">
      <formula>0</formula>
    </cfRule>
  </conditionalFormatting>
  <conditionalFormatting sqref="C559">
    <cfRule type="cellIs" dxfId="1" priority="1214" operator="equal">
      <formula>0</formula>
    </cfRule>
  </conditionalFormatting>
  <conditionalFormatting sqref="C560">
    <cfRule type="cellIs" dxfId="1" priority="1216" operator="equal">
      <formula>0</formula>
    </cfRule>
  </conditionalFormatting>
  <conditionalFormatting sqref="C561">
    <cfRule type="cellIs" dxfId="1" priority="1218" operator="equal">
      <formula>0</formula>
    </cfRule>
  </conditionalFormatting>
  <conditionalFormatting sqref="C562">
    <cfRule type="cellIs" dxfId="1" priority="1220" operator="equal">
      <formula>0</formula>
    </cfRule>
  </conditionalFormatting>
  <conditionalFormatting sqref="C564">
    <cfRule type="cellIs" dxfId="1" priority="1223" operator="equal">
      <formula>0</formula>
    </cfRule>
  </conditionalFormatting>
  <conditionalFormatting sqref="C565">
    <cfRule type="cellIs" dxfId="1" priority="1225" operator="equal">
      <formula>0</formula>
    </cfRule>
  </conditionalFormatting>
  <conditionalFormatting sqref="C566">
    <cfRule type="cellIs" dxfId="1" priority="1227" operator="equal">
      <formula>0</formula>
    </cfRule>
  </conditionalFormatting>
  <conditionalFormatting sqref="C569">
    <cfRule type="cellIs" dxfId="1" priority="1231" operator="equal">
      <formula>0</formula>
    </cfRule>
  </conditionalFormatting>
  <conditionalFormatting sqref="C57">
    <cfRule type="expression" dxfId="0" priority="61">
      <formula>C58=0</formula>
    </cfRule>
  </conditionalFormatting>
  <conditionalFormatting sqref="C570">
    <cfRule type="cellIs" dxfId="1" priority="1233" operator="equal">
      <formula>0</formula>
    </cfRule>
  </conditionalFormatting>
  <conditionalFormatting sqref="C571">
    <cfRule type="cellIs" dxfId="1" priority="1235" operator="equal">
      <formula>0</formula>
    </cfRule>
  </conditionalFormatting>
  <conditionalFormatting sqref="C572">
    <cfRule type="cellIs" dxfId="1" priority="1237" operator="equal">
      <formula>0</formula>
    </cfRule>
  </conditionalFormatting>
  <conditionalFormatting sqref="C573">
    <cfRule type="cellIs" dxfId="1" priority="1239" operator="equal">
      <formula>0</formula>
    </cfRule>
  </conditionalFormatting>
  <conditionalFormatting sqref="C574">
    <cfRule type="cellIs" dxfId="1" priority="1241" operator="equal">
      <formula>0</formula>
    </cfRule>
  </conditionalFormatting>
  <conditionalFormatting sqref="C575">
    <cfRule type="cellIs" dxfId="1" priority="1243" operator="equal">
      <formula>0</formula>
    </cfRule>
  </conditionalFormatting>
  <conditionalFormatting sqref="C576">
    <cfRule type="cellIs" dxfId="1" priority="1245" operator="equal">
      <formula>0</formula>
    </cfRule>
  </conditionalFormatting>
  <conditionalFormatting sqref="C578">
    <cfRule type="expression" dxfId="0" priority="1247">
      <formula>C579=0</formula>
    </cfRule>
  </conditionalFormatting>
  <conditionalFormatting sqref="C579">
    <cfRule type="cellIs" dxfId="1" priority="1253" operator="equal">
      <formula>0</formula>
    </cfRule>
  </conditionalFormatting>
  <conditionalFormatting sqref="C58">
    <cfRule type="cellIs" dxfId="1" priority="65" operator="equal">
      <formula>0</formula>
    </cfRule>
  </conditionalFormatting>
  <conditionalFormatting sqref="C580">
    <cfRule type="cellIs" dxfId="1" priority="1259" operator="equal">
      <formula>0</formula>
    </cfRule>
  </conditionalFormatting>
  <conditionalFormatting sqref="C581">
    <cfRule type="cellIs" dxfId="1" priority="1260" operator="equal">
      <formula>0</formula>
    </cfRule>
  </conditionalFormatting>
  <conditionalFormatting sqref="C582">
    <cfRule type="cellIs" dxfId="1" priority="1261" operator="equal">
      <formula>0</formula>
    </cfRule>
  </conditionalFormatting>
  <conditionalFormatting sqref="C585">
    <cfRule type="cellIs" dxfId="1" priority="1264" operator="equal">
      <formula>0</formula>
    </cfRule>
  </conditionalFormatting>
  <conditionalFormatting sqref="C586">
    <cfRule type="cellIs" dxfId="1" priority="1265" operator="equal">
      <formula>0</formula>
    </cfRule>
  </conditionalFormatting>
  <conditionalFormatting sqref="C587">
    <cfRule type="cellIs" dxfId="1" priority="1266" operator="equal">
      <formula>0</formula>
    </cfRule>
  </conditionalFormatting>
  <conditionalFormatting sqref="C588">
    <cfRule type="cellIs" dxfId="1" priority="1267" operator="equal">
      <formula>0</formula>
    </cfRule>
  </conditionalFormatting>
  <conditionalFormatting sqref="C589">
    <cfRule type="cellIs" dxfId="1" priority="1268" operator="equal">
      <formula>0</formula>
    </cfRule>
  </conditionalFormatting>
  <conditionalFormatting sqref="C59">
    <cfRule type="cellIs" dxfId="1" priority="69" operator="equal">
      <formula>0</formula>
    </cfRule>
  </conditionalFormatting>
  <conditionalFormatting sqref="C590">
    <cfRule type="cellIs" dxfId="1" priority="1269" operator="equal">
      <formula>0</formula>
    </cfRule>
  </conditionalFormatting>
  <conditionalFormatting sqref="C591">
    <cfRule type="cellIs" dxfId="1" priority="1270" operator="equal">
      <formula>0</formula>
    </cfRule>
  </conditionalFormatting>
  <conditionalFormatting sqref="C592">
    <cfRule type="cellIs" dxfId="1" priority="1271" operator="equal">
      <formula>0</formula>
    </cfRule>
  </conditionalFormatting>
  <conditionalFormatting sqref="C593">
    <cfRule type="cellIs" dxfId="1" priority="1272" operator="equal">
      <formula>0</formula>
    </cfRule>
  </conditionalFormatting>
  <conditionalFormatting sqref="C594">
    <cfRule type="cellIs" dxfId="1" priority="1273" operator="equal">
      <formula>0</formula>
    </cfRule>
  </conditionalFormatting>
  <conditionalFormatting sqref="C596">
    <cfRule type="cellIs" dxfId="1" priority="1275" operator="equal">
      <formula>0</formula>
    </cfRule>
  </conditionalFormatting>
  <conditionalFormatting sqref="C597">
    <cfRule type="cellIs" dxfId="1" priority="1276" operator="equal">
      <formula>0</formula>
    </cfRule>
  </conditionalFormatting>
  <conditionalFormatting sqref="C598">
    <cfRule type="cellIs" dxfId="1" priority="1277" operator="equal">
      <formula>0</formula>
    </cfRule>
  </conditionalFormatting>
  <conditionalFormatting sqref="C599">
    <cfRule type="cellIs" dxfId="1" priority="1278" operator="equal">
      <formula>0</formula>
    </cfRule>
  </conditionalFormatting>
  <conditionalFormatting sqref="C600">
    <cfRule type="cellIs" dxfId="1" priority="1279" operator="equal">
      <formula>0</formula>
    </cfRule>
  </conditionalFormatting>
  <conditionalFormatting sqref="C601">
    <cfRule type="cellIs" dxfId="1" priority="1280" operator="equal">
      <formula>0</formula>
    </cfRule>
  </conditionalFormatting>
  <conditionalFormatting sqref="C603">
    <cfRule type="cellIs" dxfId="1" priority="1282" operator="equal">
      <formula>0</formula>
    </cfRule>
  </conditionalFormatting>
  <conditionalFormatting sqref="C604">
    <cfRule type="cellIs" dxfId="1" priority="1284" operator="equal">
      <formula>0</formula>
    </cfRule>
  </conditionalFormatting>
  <conditionalFormatting sqref="C61">
    <cfRule type="expression" dxfId="0" priority="73">
      <formula>C62=0</formula>
    </cfRule>
  </conditionalFormatting>
  <conditionalFormatting sqref="C612">
    <cfRule type="expression" dxfId="0" priority="1286">
      <formula>C613=0</formula>
    </cfRule>
  </conditionalFormatting>
  <conditionalFormatting sqref="C613">
    <cfRule type="cellIs" dxfId="1" priority="1295" operator="equal">
      <formula>0</formula>
    </cfRule>
  </conditionalFormatting>
  <conditionalFormatting sqref="C614">
    <cfRule type="cellIs" dxfId="1" priority="1304" operator="equal">
      <formula>0</formula>
    </cfRule>
  </conditionalFormatting>
  <conditionalFormatting sqref="C615">
    <cfRule type="cellIs" dxfId="1" priority="1306" operator="equal">
      <formula>0</formula>
    </cfRule>
  </conditionalFormatting>
  <conditionalFormatting sqref="C616">
    <cfRule type="cellIs" dxfId="1" priority="1309" operator="equal">
      <formula>0</formula>
    </cfRule>
  </conditionalFormatting>
  <conditionalFormatting sqref="C617">
    <cfRule type="cellIs" dxfId="1" priority="1314" operator="equal">
      <formula>0</formula>
    </cfRule>
  </conditionalFormatting>
  <conditionalFormatting sqref="C618">
    <cfRule type="cellIs" dxfId="1" priority="1317" operator="equal">
      <formula>0</formula>
    </cfRule>
  </conditionalFormatting>
  <conditionalFormatting sqref="C619">
    <cfRule type="cellIs" dxfId="1" priority="1321" operator="equal">
      <formula>0</formula>
    </cfRule>
  </conditionalFormatting>
  <conditionalFormatting sqref="C62">
    <cfRule type="cellIs" dxfId="1" priority="74" operator="equal">
      <formula>0</formula>
    </cfRule>
  </conditionalFormatting>
  <conditionalFormatting sqref="C620">
    <cfRule type="cellIs" dxfId="1" priority="1324" operator="equal">
      <formula>0</formula>
    </cfRule>
  </conditionalFormatting>
  <conditionalFormatting sqref="C621">
    <cfRule type="cellIs" dxfId="1" priority="1329" operator="equal">
      <formula>0</formula>
    </cfRule>
  </conditionalFormatting>
  <conditionalFormatting sqref="C623">
    <cfRule type="expression" dxfId="0" priority="1335">
      <formula>C624=0</formula>
    </cfRule>
  </conditionalFormatting>
  <conditionalFormatting sqref="C624">
    <cfRule type="cellIs" dxfId="1" priority="1340" operator="equal">
      <formula>0</formula>
    </cfRule>
  </conditionalFormatting>
  <conditionalFormatting sqref="C626">
    <cfRule type="cellIs" dxfId="1" priority="1345" operator="equal">
      <formula>0</formula>
    </cfRule>
  </conditionalFormatting>
  <conditionalFormatting sqref="C628">
    <cfRule type="cellIs" dxfId="1" priority="1347" operator="equal">
      <formula>0</formula>
    </cfRule>
  </conditionalFormatting>
  <conditionalFormatting sqref="C63">
    <cfRule type="cellIs" dxfId="1" priority="75" operator="equal">
      <formula>0</formula>
    </cfRule>
  </conditionalFormatting>
  <conditionalFormatting sqref="C631">
    <cfRule type="cellIs" dxfId="1" priority="1352" operator="equal">
      <formula>0</formula>
    </cfRule>
  </conditionalFormatting>
  <conditionalFormatting sqref="C634">
    <cfRule type="expression" dxfId="0" priority="1354">
      <formula>C635=0</formula>
    </cfRule>
  </conditionalFormatting>
  <conditionalFormatting sqref="C635">
    <cfRule type="cellIs" dxfId="1" priority="1356" operator="equal">
      <formula>0</formula>
    </cfRule>
  </conditionalFormatting>
  <conditionalFormatting sqref="C636">
    <cfRule type="cellIs" dxfId="1" priority="1358" operator="equal">
      <formula>0</formula>
    </cfRule>
  </conditionalFormatting>
  <conditionalFormatting sqref="C637">
    <cfRule type="cellIs" dxfId="1" priority="1359" operator="equal">
      <formula>0</formula>
    </cfRule>
  </conditionalFormatting>
  <conditionalFormatting sqref="C638">
    <cfRule type="cellIs" dxfId="1" priority="1360" operator="equal">
      <formula>0</formula>
    </cfRule>
  </conditionalFormatting>
  <conditionalFormatting sqref="C639">
    <cfRule type="cellIs" dxfId="1" priority="1361" operator="equal">
      <formula>0</formula>
    </cfRule>
  </conditionalFormatting>
  <conditionalFormatting sqref="C640">
    <cfRule type="cellIs" dxfId="1" priority="1362" operator="equal">
      <formula>0</formula>
    </cfRule>
  </conditionalFormatting>
  <conditionalFormatting sqref="C641">
    <cfRule type="cellIs" dxfId="1" priority="1363" operator="equal">
      <formula>0</formula>
    </cfRule>
  </conditionalFormatting>
  <conditionalFormatting sqref="C642">
    <cfRule type="cellIs" dxfId="1" priority="1365" operator="equal">
      <formula>0</formula>
    </cfRule>
  </conditionalFormatting>
  <conditionalFormatting sqref="C643">
    <cfRule type="cellIs" dxfId="1" priority="1366" operator="equal">
      <formula>0</formula>
    </cfRule>
  </conditionalFormatting>
  <conditionalFormatting sqref="C65">
    <cfRule type="expression" dxfId="0" priority="76">
      <formula>C66=0</formula>
    </cfRule>
  </conditionalFormatting>
  <conditionalFormatting sqref="C651">
    <cfRule type="expression" dxfId="0" priority="1367">
      <formula>C652=0</formula>
    </cfRule>
  </conditionalFormatting>
  <conditionalFormatting sqref="C652">
    <cfRule type="cellIs" dxfId="1" priority="1373" operator="equal">
      <formula>0</formula>
    </cfRule>
  </conditionalFormatting>
  <conditionalFormatting sqref="C653">
    <cfRule type="cellIs" dxfId="1" priority="1379" operator="equal">
      <formula>0</formula>
    </cfRule>
  </conditionalFormatting>
  <conditionalFormatting sqref="C654">
    <cfRule type="cellIs" dxfId="1" priority="1383" operator="equal">
      <formula>0</formula>
    </cfRule>
  </conditionalFormatting>
  <conditionalFormatting sqref="C655">
    <cfRule type="cellIs" dxfId="1" priority="1387" operator="equal">
      <formula>0</formula>
    </cfRule>
  </conditionalFormatting>
  <conditionalFormatting sqref="C656">
    <cfRule type="cellIs" dxfId="1" priority="1391" operator="equal">
      <formula>0</formula>
    </cfRule>
  </conditionalFormatting>
  <conditionalFormatting sqref="C657">
    <cfRule type="cellIs" dxfId="1" priority="1396" operator="equal">
      <formula>0</formula>
    </cfRule>
  </conditionalFormatting>
  <conditionalFormatting sqref="C658">
    <cfRule type="cellIs" dxfId="1" priority="1400" operator="equal">
      <formula>0</formula>
    </cfRule>
  </conditionalFormatting>
  <conditionalFormatting sqref="C659">
    <cfRule type="cellIs" dxfId="1" priority="1404" operator="equal">
      <formula>0</formula>
    </cfRule>
  </conditionalFormatting>
  <conditionalFormatting sqref="C66">
    <cfRule type="cellIs" dxfId="1" priority="77" operator="equal">
      <formula>0</formula>
    </cfRule>
  </conditionalFormatting>
  <conditionalFormatting sqref="C660">
    <cfRule type="cellIs" dxfId="1" priority="1408" operator="equal">
      <formula>0</formula>
    </cfRule>
  </conditionalFormatting>
  <conditionalFormatting sqref="C661">
    <cfRule type="cellIs" dxfId="1" priority="1412" operator="equal">
      <formula>0</formula>
    </cfRule>
  </conditionalFormatting>
  <conditionalFormatting sqref="C662">
    <cfRule type="cellIs" dxfId="1" priority="1416" operator="equal">
      <formula>0</formula>
    </cfRule>
  </conditionalFormatting>
  <conditionalFormatting sqref="C664">
    <cfRule type="expression" dxfId="0" priority="1420">
      <formula>C665=0</formula>
    </cfRule>
  </conditionalFormatting>
  <conditionalFormatting sqref="C665">
    <cfRule type="cellIs" dxfId="1" priority="1428" operator="equal">
      <formula>0</formula>
    </cfRule>
  </conditionalFormatting>
  <conditionalFormatting sqref="C666">
    <cfRule type="cellIs" dxfId="1" priority="1436" operator="equal">
      <formula>0</formula>
    </cfRule>
  </conditionalFormatting>
  <conditionalFormatting sqref="C668">
    <cfRule type="cellIs" dxfId="1" priority="1440" operator="equal">
      <formula>0</formula>
    </cfRule>
  </conditionalFormatting>
  <conditionalFormatting sqref="C669">
    <cfRule type="cellIs" dxfId="1" priority="1442" operator="equal">
      <formula>0</formula>
    </cfRule>
  </conditionalFormatting>
  <conditionalFormatting sqref="C67">
    <cfRule type="cellIs" dxfId="1" priority="78" operator="equal">
      <formula>0</formula>
    </cfRule>
  </conditionalFormatting>
  <conditionalFormatting sqref="C671">
    <cfRule type="cellIs" dxfId="1" priority="1445" operator="equal">
      <formula>0</formula>
    </cfRule>
  </conditionalFormatting>
  <conditionalFormatting sqref="C673">
    <cfRule type="cellIs" dxfId="1" priority="1448" operator="equal">
      <formula>0</formula>
    </cfRule>
  </conditionalFormatting>
  <conditionalFormatting sqref="C674">
    <cfRule type="cellIs" dxfId="1" priority="1450" operator="equal">
      <formula>0</formula>
    </cfRule>
  </conditionalFormatting>
  <conditionalFormatting sqref="C675">
    <cfRule type="cellIs" dxfId="1" priority="1452" operator="equal">
      <formula>0</formula>
    </cfRule>
  </conditionalFormatting>
  <conditionalFormatting sqref="C677">
    <cfRule type="expression" dxfId="0" priority="1454">
      <formula>C678=0</formula>
    </cfRule>
  </conditionalFormatting>
  <conditionalFormatting sqref="C678">
    <cfRule type="cellIs" dxfId="1" priority="1458" operator="equal">
      <formula>0</formula>
    </cfRule>
  </conditionalFormatting>
  <conditionalFormatting sqref="C679">
    <cfRule type="cellIs" dxfId="1" priority="1462" operator="equal">
      <formula>0</formula>
    </cfRule>
  </conditionalFormatting>
  <conditionalFormatting sqref="C681">
    <cfRule type="cellIs" dxfId="1" priority="1464" operator="equal">
      <formula>0</formula>
    </cfRule>
  </conditionalFormatting>
  <conditionalFormatting sqref="C682">
    <cfRule type="cellIs" dxfId="1" priority="1465" operator="equal">
      <formula>0</formula>
    </cfRule>
  </conditionalFormatting>
  <conditionalFormatting sqref="C683">
    <cfRule type="cellIs" dxfId="1" priority="1466" operator="equal">
      <formula>0</formula>
    </cfRule>
  </conditionalFormatting>
  <conditionalFormatting sqref="C684">
    <cfRule type="cellIs" dxfId="1" priority="1467" operator="equal">
      <formula>0</formula>
    </cfRule>
  </conditionalFormatting>
  <conditionalFormatting sqref="C686">
    <cfRule type="cellIs" dxfId="1" priority="1469" operator="equal">
      <formula>0</formula>
    </cfRule>
  </conditionalFormatting>
  <conditionalFormatting sqref="C687">
    <cfRule type="cellIs" dxfId="1" priority="1471" operator="equal">
      <formula>0</formula>
    </cfRule>
  </conditionalFormatting>
  <conditionalFormatting sqref="C688">
    <cfRule type="cellIs" dxfId="1" priority="1472" operator="equal">
      <formula>0</formula>
    </cfRule>
  </conditionalFormatting>
  <conditionalFormatting sqref="C696">
    <cfRule type="expression" dxfId="0" priority="1473">
      <formula>C697=0</formula>
    </cfRule>
  </conditionalFormatting>
  <conditionalFormatting sqref="C697">
    <cfRule type="cellIs" dxfId="1" priority="1480" operator="equal">
      <formula>0</formula>
    </cfRule>
  </conditionalFormatting>
  <conditionalFormatting sqref="C698">
    <cfRule type="cellIs" dxfId="1" priority="1487" operator="equal">
      <formula>0</formula>
    </cfRule>
  </conditionalFormatting>
  <conditionalFormatting sqref="C699">
    <cfRule type="cellIs" dxfId="1" priority="1492" operator="equal">
      <formula>0</formula>
    </cfRule>
  </conditionalFormatting>
  <conditionalFormatting sqref="C700">
    <cfRule type="cellIs" dxfId="1" priority="1496" operator="equal">
      <formula>0</formula>
    </cfRule>
  </conditionalFormatting>
  <conditionalFormatting sqref="C701">
    <cfRule type="cellIs" dxfId="1" priority="1501" operator="equal">
      <formula>0</formula>
    </cfRule>
  </conditionalFormatting>
  <conditionalFormatting sqref="C703">
    <cfRule type="expression" dxfId="0" priority="1506">
      <formula>C704=0</formula>
    </cfRule>
  </conditionalFormatting>
  <conditionalFormatting sqref="C704">
    <cfRule type="cellIs" dxfId="1" priority="1509" operator="equal">
      <formula>0</formula>
    </cfRule>
  </conditionalFormatting>
  <conditionalFormatting sqref="C705">
    <cfRule type="cellIs" dxfId="1" priority="1512" operator="equal">
      <formula>0</formula>
    </cfRule>
  </conditionalFormatting>
  <conditionalFormatting sqref="C706">
    <cfRule type="cellIs" dxfId="1" priority="1514" operator="equal">
      <formula>0</formula>
    </cfRule>
  </conditionalFormatting>
  <conditionalFormatting sqref="C707">
    <cfRule type="cellIs" dxfId="1" priority="1515" operator="equal">
      <formula>0</formula>
    </cfRule>
  </conditionalFormatting>
  <conditionalFormatting sqref="C708">
    <cfRule type="cellIs" dxfId="1" priority="1517" operator="equal">
      <formula>0</formula>
    </cfRule>
  </conditionalFormatting>
  <conditionalFormatting sqref="C710">
    <cfRule type="expression" dxfId="0" priority="1518">
      <formula>C711=0</formula>
    </cfRule>
  </conditionalFormatting>
  <conditionalFormatting sqref="C711">
    <cfRule type="cellIs" dxfId="1" priority="1520" operator="equal">
      <formula>0</formula>
    </cfRule>
  </conditionalFormatting>
  <conditionalFormatting sqref="C712">
    <cfRule type="cellIs" dxfId="1" priority="1522" operator="equal">
      <formula>0</formula>
    </cfRule>
  </conditionalFormatting>
  <conditionalFormatting sqref="C713">
    <cfRule type="cellIs" dxfId="1" priority="1524" operator="equal">
      <formula>0</formula>
    </cfRule>
  </conditionalFormatting>
  <conditionalFormatting sqref="C714">
    <cfRule type="cellIs" dxfId="1" priority="1525" operator="equal">
      <formula>0</formula>
    </cfRule>
  </conditionalFormatting>
  <conditionalFormatting sqref="C715">
    <cfRule type="cellIs" dxfId="1" priority="1526" operator="equal">
      <formula>0</formula>
    </cfRule>
  </conditionalFormatting>
  <conditionalFormatting sqref="C723">
    <cfRule type="expression" dxfId="0" priority="1528">
      <formula>C724=0</formula>
    </cfRule>
  </conditionalFormatting>
  <conditionalFormatting sqref="C724">
    <cfRule type="cellIs" dxfId="1" priority="1535" operator="equal">
      <formula>0</formula>
    </cfRule>
  </conditionalFormatting>
  <conditionalFormatting sqref="C725">
    <cfRule type="cellIs" dxfId="1" priority="1542" operator="equal">
      <formula>0</formula>
    </cfRule>
  </conditionalFormatting>
  <conditionalFormatting sqref="C726">
    <cfRule type="cellIs" dxfId="1" priority="1546" operator="equal">
      <formula>0</formula>
    </cfRule>
  </conditionalFormatting>
  <conditionalFormatting sqref="C727">
    <cfRule type="cellIs" dxfId="1" priority="1550" operator="equal">
      <formula>0</formula>
    </cfRule>
  </conditionalFormatting>
  <conditionalFormatting sqref="C728">
    <cfRule type="cellIs" dxfId="1" priority="1554" operator="equal">
      <formula>0</formula>
    </cfRule>
  </conditionalFormatting>
  <conditionalFormatting sqref="C730">
    <cfRule type="expression" dxfId="0" priority="1558">
      <formula>C731=0</formula>
    </cfRule>
  </conditionalFormatting>
  <conditionalFormatting sqref="C731">
    <cfRule type="cellIs" dxfId="1" priority="1562" operator="equal">
      <formula>0</formula>
    </cfRule>
  </conditionalFormatting>
  <conditionalFormatting sqref="C732">
    <cfRule type="cellIs" dxfId="1" priority="1566" operator="equal">
      <formula>0</formula>
    </cfRule>
  </conditionalFormatting>
  <conditionalFormatting sqref="C733">
    <cfRule type="cellIs" dxfId="1" priority="1568" operator="equal">
      <formula>0</formula>
    </cfRule>
  </conditionalFormatting>
  <conditionalFormatting sqref="C734">
    <cfRule type="cellIs" dxfId="1" priority="1570" operator="equal">
      <formula>0</formula>
    </cfRule>
  </conditionalFormatting>
  <conditionalFormatting sqref="C737">
    <cfRule type="expression" dxfId="0" priority="1574">
      <formula>C738=0</formula>
    </cfRule>
  </conditionalFormatting>
  <conditionalFormatting sqref="C738">
    <cfRule type="cellIs" dxfId="1" priority="1577" operator="equal">
      <formula>0</formula>
    </cfRule>
  </conditionalFormatting>
  <conditionalFormatting sqref="C739">
    <cfRule type="cellIs" dxfId="1" priority="1580" operator="equal">
      <formula>0</formula>
    </cfRule>
  </conditionalFormatting>
  <conditionalFormatting sqref="C740">
    <cfRule type="cellIs" dxfId="1" priority="1582" operator="equal">
      <formula>0</formula>
    </cfRule>
  </conditionalFormatting>
  <conditionalFormatting sqref="C742">
    <cfRule type="cellIs" dxfId="1" priority="1585" operator="equal">
      <formula>0</formula>
    </cfRule>
  </conditionalFormatting>
  <conditionalFormatting sqref="C75">
    <cfRule type="expression" dxfId="0" priority="79">
      <formula>C76=0</formula>
    </cfRule>
  </conditionalFormatting>
  <conditionalFormatting sqref="C750">
    <cfRule type="expression" dxfId="0" priority="1587">
      <formula>C751=0</formula>
    </cfRule>
  </conditionalFormatting>
  <conditionalFormatting sqref="C751">
    <cfRule type="cellIs" dxfId="1" priority="1594" operator="equal">
      <formula>0</formula>
    </cfRule>
  </conditionalFormatting>
  <conditionalFormatting sqref="C752">
    <cfRule type="cellIs" dxfId="1" priority="1601" operator="equal">
      <formula>0</formula>
    </cfRule>
  </conditionalFormatting>
  <conditionalFormatting sqref="C753">
    <cfRule type="cellIs" dxfId="1" priority="1606" operator="equal">
      <formula>0</formula>
    </cfRule>
  </conditionalFormatting>
  <conditionalFormatting sqref="C755">
    <cfRule type="expression" dxfId="0" priority="1611">
      <formula>C756=0</formula>
    </cfRule>
  </conditionalFormatting>
  <conditionalFormatting sqref="C756">
    <cfRule type="cellIs" dxfId="1" priority="1613" operator="equal">
      <formula>0</formula>
    </cfRule>
  </conditionalFormatting>
  <conditionalFormatting sqref="C757">
    <cfRule type="cellIs" dxfId="1" priority="1615" operator="equal">
      <formula>0</formula>
    </cfRule>
  </conditionalFormatting>
  <conditionalFormatting sqref="C758">
    <cfRule type="cellIs" dxfId="1" priority="1617" operator="equal">
      <formula>0</formula>
    </cfRule>
  </conditionalFormatting>
  <conditionalFormatting sqref="C76">
    <cfRule type="cellIs" dxfId="1" priority="89" operator="equal">
      <formula>0</formula>
    </cfRule>
  </conditionalFormatting>
  <conditionalFormatting sqref="C760">
    <cfRule type="expression" dxfId="0" priority="1619">
      <formula>C761=0</formula>
    </cfRule>
  </conditionalFormatting>
  <conditionalFormatting sqref="C761">
    <cfRule type="cellIs" dxfId="1" priority="1621" operator="equal">
      <formula>0</formula>
    </cfRule>
  </conditionalFormatting>
  <conditionalFormatting sqref="C762">
    <cfRule type="cellIs" dxfId="1" priority="1623" operator="equal">
      <formula>0</formula>
    </cfRule>
  </conditionalFormatting>
  <conditionalFormatting sqref="C763">
    <cfRule type="cellIs" dxfId="1" priority="1624" operator="equal">
      <formula>0</formula>
    </cfRule>
  </conditionalFormatting>
  <conditionalFormatting sqref="C77">
    <cfRule type="cellIs" dxfId="1" priority="99" operator="equal">
      <formula>0</formula>
    </cfRule>
  </conditionalFormatting>
  <conditionalFormatting sqref="C771">
    <cfRule type="expression" dxfId="0" priority="1626">
      <formula>C772=0</formula>
    </cfRule>
  </conditionalFormatting>
  <conditionalFormatting sqref="C772">
    <cfRule type="cellIs" dxfId="1" priority="1637" operator="equal">
      <formula>0</formula>
    </cfRule>
  </conditionalFormatting>
  <conditionalFormatting sqref="C773">
    <cfRule type="cellIs" dxfId="1" priority="1648" operator="equal">
      <formula>0</formula>
    </cfRule>
  </conditionalFormatting>
  <conditionalFormatting sqref="C774">
    <cfRule type="cellIs" dxfId="1" priority="1652" operator="equal">
      <formula>0</formula>
    </cfRule>
  </conditionalFormatting>
  <conditionalFormatting sqref="C775">
    <cfRule type="cellIs" dxfId="1" priority="1656" operator="equal">
      <formula>0</formula>
    </cfRule>
  </conditionalFormatting>
  <conditionalFormatting sqref="C776">
    <cfRule type="cellIs" dxfId="1" priority="1661" operator="equal">
      <formula>0</formula>
    </cfRule>
  </conditionalFormatting>
  <conditionalFormatting sqref="C777">
    <cfRule type="cellIs" dxfId="1" priority="1667" operator="equal">
      <formula>0</formula>
    </cfRule>
  </conditionalFormatting>
  <conditionalFormatting sqref="C778">
    <cfRule type="cellIs" dxfId="1" priority="1672" operator="equal">
      <formula>0</formula>
    </cfRule>
  </conditionalFormatting>
  <conditionalFormatting sqref="C779">
    <cfRule type="cellIs" dxfId="1" priority="1677" operator="equal">
      <formula>0</formula>
    </cfRule>
  </conditionalFormatting>
  <conditionalFormatting sqref="C78">
    <cfRule type="cellIs" dxfId="1" priority="104" operator="equal">
      <formula>0</formula>
    </cfRule>
  </conditionalFormatting>
  <conditionalFormatting sqref="C780">
    <cfRule type="cellIs" dxfId="1" priority="1681" operator="equal">
      <formula>0</formula>
    </cfRule>
  </conditionalFormatting>
  <conditionalFormatting sqref="C781">
    <cfRule type="cellIs" dxfId="1" priority="1685" operator="equal">
      <formula>0</formula>
    </cfRule>
  </conditionalFormatting>
  <conditionalFormatting sqref="C782">
    <cfRule type="cellIs" dxfId="1" priority="1691" operator="equal">
      <formula>0</formula>
    </cfRule>
  </conditionalFormatting>
  <conditionalFormatting sqref="C783">
    <cfRule type="cellIs" dxfId="1" priority="1694" operator="equal">
      <formula>0</formula>
    </cfRule>
  </conditionalFormatting>
  <conditionalFormatting sqref="C784">
    <cfRule type="cellIs" dxfId="1" priority="1698" operator="equal">
      <formula>0</formula>
    </cfRule>
  </conditionalFormatting>
  <conditionalFormatting sqref="C785">
    <cfRule type="cellIs" dxfId="1" priority="1703" operator="equal">
      <formula>0</formula>
    </cfRule>
  </conditionalFormatting>
  <conditionalFormatting sqref="C786">
    <cfRule type="cellIs" dxfId="1" priority="1707" operator="equal">
      <formula>0</formula>
    </cfRule>
  </conditionalFormatting>
  <conditionalFormatting sqref="C787">
    <cfRule type="cellIs" dxfId="1" priority="1710" operator="equal">
      <formula>0</formula>
    </cfRule>
  </conditionalFormatting>
  <conditionalFormatting sqref="C788">
    <cfRule type="cellIs" dxfId="1" priority="1715" operator="equal">
      <formula>0</formula>
    </cfRule>
  </conditionalFormatting>
  <conditionalFormatting sqref="C789">
    <cfRule type="cellIs" dxfId="1" priority="1720" operator="equal">
      <formula>0</formula>
    </cfRule>
  </conditionalFormatting>
  <conditionalFormatting sqref="C79">
    <cfRule type="cellIs" dxfId="1" priority="109" operator="equal">
      <formula>0</formula>
    </cfRule>
  </conditionalFormatting>
  <conditionalFormatting sqref="C790">
    <cfRule type="cellIs" dxfId="1" priority="1725" operator="equal">
      <formula>0</formula>
    </cfRule>
  </conditionalFormatting>
  <conditionalFormatting sqref="C791">
    <cfRule type="cellIs" dxfId="1" priority="1730" operator="equal">
      <formula>0</formula>
    </cfRule>
  </conditionalFormatting>
  <conditionalFormatting sqref="C792">
    <cfRule type="cellIs" dxfId="1" priority="1735" operator="equal">
      <formula>0</formula>
    </cfRule>
  </conditionalFormatting>
  <conditionalFormatting sqref="C794">
    <cfRule type="expression" dxfId="0" priority="1739">
      <formula>C795=0</formula>
    </cfRule>
  </conditionalFormatting>
  <conditionalFormatting sqref="C795">
    <cfRule type="cellIs" dxfId="1" priority="1746" operator="equal">
      <formula>0</formula>
    </cfRule>
  </conditionalFormatting>
  <conditionalFormatting sqref="C796">
    <cfRule type="cellIs" dxfId="1" priority="1753" operator="equal">
      <formula>0</formula>
    </cfRule>
  </conditionalFormatting>
  <conditionalFormatting sqref="C797">
    <cfRule type="cellIs" dxfId="1" priority="1755" operator="equal">
      <formula>0</formula>
    </cfRule>
  </conditionalFormatting>
  <conditionalFormatting sqref="C80">
    <cfRule type="cellIs" dxfId="1" priority="113" operator="equal">
      <formula>0</formula>
    </cfRule>
  </conditionalFormatting>
  <conditionalFormatting sqref="C801">
    <cfRule type="cellIs" dxfId="1" priority="1761" operator="equal">
      <formula>0</formula>
    </cfRule>
  </conditionalFormatting>
  <conditionalFormatting sqref="C802">
    <cfRule type="cellIs" dxfId="1" priority="1763" operator="equal">
      <formula>0</formula>
    </cfRule>
  </conditionalFormatting>
  <conditionalFormatting sqref="C805">
    <cfRule type="cellIs" dxfId="1" priority="1767" operator="equal">
      <formula>0</formula>
    </cfRule>
  </conditionalFormatting>
  <conditionalFormatting sqref="C807">
    <cfRule type="cellIs" dxfId="1" priority="1771" operator="equal">
      <formula>0</formula>
    </cfRule>
  </conditionalFormatting>
  <conditionalFormatting sqref="C808">
    <cfRule type="cellIs" dxfId="1" priority="1773" operator="equal">
      <formula>0</formula>
    </cfRule>
  </conditionalFormatting>
  <conditionalFormatting sqref="C809">
    <cfRule type="cellIs" dxfId="1" priority="1775" operator="equal">
      <formula>0</formula>
    </cfRule>
  </conditionalFormatting>
  <conditionalFormatting sqref="C81">
    <cfRule type="cellIs" dxfId="1" priority="118" operator="equal">
      <formula>0</formula>
    </cfRule>
  </conditionalFormatting>
  <conditionalFormatting sqref="C813">
    <cfRule type="cellIs" dxfId="1" priority="1780" operator="equal">
      <formula>0</formula>
    </cfRule>
  </conditionalFormatting>
  <conditionalFormatting sqref="C817">
    <cfRule type="expression" dxfId="0" priority="1785">
      <formula>C818=0</formula>
    </cfRule>
  </conditionalFormatting>
  <conditionalFormatting sqref="C818">
    <cfRule type="cellIs" dxfId="1" priority="1787" operator="equal">
      <formula>0</formula>
    </cfRule>
  </conditionalFormatting>
  <conditionalFormatting sqref="C819">
    <cfRule type="cellIs" dxfId="1" priority="1789" operator="equal">
      <formula>0</formula>
    </cfRule>
  </conditionalFormatting>
  <conditionalFormatting sqref="C82">
    <cfRule type="cellIs" dxfId="1" priority="123" operator="equal">
      <formula>0</formula>
    </cfRule>
  </conditionalFormatting>
  <conditionalFormatting sqref="C820">
    <cfRule type="cellIs" dxfId="1" priority="1790" operator="equal">
      <formula>0</formula>
    </cfRule>
  </conditionalFormatting>
  <conditionalFormatting sqref="C821">
    <cfRule type="cellIs" dxfId="1" priority="1791" operator="equal">
      <formula>0</formula>
    </cfRule>
  </conditionalFormatting>
  <conditionalFormatting sqref="C822">
    <cfRule type="cellIs" dxfId="1" priority="1792" operator="equal">
      <formula>0</formula>
    </cfRule>
  </conditionalFormatting>
  <conditionalFormatting sqref="C823">
    <cfRule type="cellIs" dxfId="1" priority="1793" operator="equal">
      <formula>0</formula>
    </cfRule>
  </conditionalFormatting>
  <conditionalFormatting sqref="C824">
    <cfRule type="cellIs" dxfId="1" priority="1794" operator="equal">
      <formula>0</formula>
    </cfRule>
  </conditionalFormatting>
  <conditionalFormatting sqref="C825">
    <cfRule type="cellIs" dxfId="1" priority="1795" operator="equal">
      <formula>0</formula>
    </cfRule>
  </conditionalFormatting>
  <conditionalFormatting sqref="C826">
    <cfRule type="cellIs" dxfId="1" priority="1796" operator="equal">
      <formula>0</formula>
    </cfRule>
  </conditionalFormatting>
  <conditionalFormatting sqref="C827">
    <cfRule type="cellIs" dxfId="1" priority="1797" operator="equal">
      <formula>0</formula>
    </cfRule>
  </conditionalFormatting>
  <conditionalFormatting sqref="C828">
    <cfRule type="cellIs" dxfId="1" priority="1798" operator="equal">
      <formula>0</formula>
    </cfRule>
  </conditionalFormatting>
  <conditionalFormatting sqref="C829">
    <cfRule type="cellIs" dxfId="1" priority="1799" operator="equal">
      <formula>0</formula>
    </cfRule>
  </conditionalFormatting>
  <conditionalFormatting sqref="C83">
    <cfRule type="cellIs" dxfId="1" priority="129" operator="equal">
      <formula>0</formula>
    </cfRule>
  </conditionalFormatting>
  <conditionalFormatting sqref="C830">
    <cfRule type="cellIs" dxfId="1" priority="1801" operator="equal">
      <formula>0</formula>
    </cfRule>
  </conditionalFormatting>
  <conditionalFormatting sqref="C831">
    <cfRule type="cellIs" dxfId="1" priority="1802" operator="equal">
      <formula>0</formula>
    </cfRule>
  </conditionalFormatting>
  <conditionalFormatting sqref="C832">
    <cfRule type="cellIs" dxfId="1" priority="1803" operator="equal">
      <formula>0</formula>
    </cfRule>
  </conditionalFormatting>
  <conditionalFormatting sqref="C833">
    <cfRule type="cellIs" dxfId="1" priority="1804" operator="equal">
      <formula>0</formula>
    </cfRule>
  </conditionalFormatting>
  <conditionalFormatting sqref="C834">
    <cfRule type="cellIs" dxfId="1" priority="1805" operator="equal">
      <formula>0</formula>
    </cfRule>
  </conditionalFormatting>
  <conditionalFormatting sqref="C835">
    <cfRule type="cellIs" dxfId="1" priority="1806" operator="equal">
      <formula>0</formula>
    </cfRule>
  </conditionalFormatting>
  <conditionalFormatting sqref="C836">
    <cfRule type="cellIs" dxfId="1" priority="1807" operator="equal">
      <formula>0</formula>
    </cfRule>
  </conditionalFormatting>
  <conditionalFormatting sqref="C837">
    <cfRule type="cellIs" dxfId="1" priority="1808" operator="equal">
      <formula>0</formula>
    </cfRule>
  </conditionalFormatting>
  <conditionalFormatting sqref="C838">
    <cfRule type="cellIs" dxfId="1" priority="1809" operator="equal">
      <formula>0</formula>
    </cfRule>
  </conditionalFormatting>
  <conditionalFormatting sqref="C84">
    <cfRule type="cellIs" dxfId="1" priority="134" operator="equal">
      <formula>0</formula>
    </cfRule>
  </conditionalFormatting>
  <conditionalFormatting sqref="C846">
    <cfRule type="expression" dxfId="0" priority="1811">
      <formula>C847=0</formula>
    </cfRule>
  </conditionalFormatting>
  <conditionalFormatting sqref="C847">
    <cfRule type="cellIs" dxfId="1" priority="1822" operator="equal">
      <formula>0</formula>
    </cfRule>
  </conditionalFormatting>
  <conditionalFormatting sqref="C848">
    <cfRule type="cellIs" dxfId="1" priority="1833" operator="equal">
      <formula>0</formula>
    </cfRule>
  </conditionalFormatting>
  <conditionalFormatting sqref="C849">
    <cfRule type="cellIs" dxfId="1" priority="1837" operator="equal">
      <formula>0</formula>
    </cfRule>
  </conditionalFormatting>
  <conditionalFormatting sqref="C85">
    <cfRule type="cellIs" dxfId="1" priority="137" operator="equal">
      <formula>0</formula>
    </cfRule>
  </conditionalFormatting>
  <conditionalFormatting sqref="C850">
    <cfRule type="cellIs" dxfId="1" priority="1841" operator="equal">
      <formula>0</formula>
    </cfRule>
  </conditionalFormatting>
  <conditionalFormatting sqref="C851">
    <cfRule type="cellIs" dxfId="1" priority="1845" operator="equal">
      <formula>0</formula>
    </cfRule>
  </conditionalFormatting>
  <conditionalFormatting sqref="C852">
    <cfRule type="cellIs" dxfId="1" priority="1850" operator="equal">
      <formula>0</formula>
    </cfRule>
  </conditionalFormatting>
  <conditionalFormatting sqref="C854">
    <cfRule type="cellIs" dxfId="1" priority="1857" operator="equal">
      <formula>0</formula>
    </cfRule>
  </conditionalFormatting>
  <conditionalFormatting sqref="C856">
    <cfRule type="expression" dxfId="0" priority="1862">
      <formula>C857=0</formula>
    </cfRule>
  </conditionalFormatting>
  <conditionalFormatting sqref="C857">
    <cfRule type="cellIs" dxfId="1" priority="1868" operator="equal">
      <formula>0</formula>
    </cfRule>
  </conditionalFormatting>
  <conditionalFormatting sqref="C858">
    <cfRule type="cellIs" dxfId="1" priority="1874" operator="equal">
      <formula>0</formula>
    </cfRule>
  </conditionalFormatting>
  <conditionalFormatting sqref="C866">
    <cfRule type="expression" dxfId="0" priority="1886">
      <formula>C867=0</formula>
    </cfRule>
  </conditionalFormatting>
  <conditionalFormatting sqref="C867">
    <cfRule type="cellIs" dxfId="1" priority="1889" operator="equal">
      <formula>0</formula>
    </cfRule>
  </conditionalFormatting>
  <conditionalFormatting sqref="C868">
    <cfRule type="cellIs" dxfId="1" priority="1892" operator="equal">
      <formula>0</formula>
    </cfRule>
  </conditionalFormatting>
  <conditionalFormatting sqref="C869">
    <cfRule type="cellIs" dxfId="1" priority="1893" operator="equal">
      <formula>0</formula>
    </cfRule>
  </conditionalFormatting>
  <conditionalFormatting sqref="C87">
    <cfRule type="expression" dxfId="0" priority="141">
      <formula>C88=0</formula>
    </cfRule>
  </conditionalFormatting>
  <conditionalFormatting sqref="C870">
    <cfRule type="cellIs" dxfId="1" priority="1895" operator="equal">
      <formula>0</formula>
    </cfRule>
  </conditionalFormatting>
  <conditionalFormatting sqref="C871">
    <cfRule type="cellIs" dxfId="1" priority="1897" operator="equal">
      <formula>0</formula>
    </cfRule>
  </conditionalFormatting>
  <conditionalFormatting sqref="C872">
    <cfRule type="cellIs" dxfId="1" priority="1898" operator="equal">
      <formula>0</formula>
    </cfRule>
  </conditionalFormatting>
  <conditionalFormatting sqref="C874">
    <cfRule type="cellIs" dxfId="1" priority="1901" operator="equal">
      <formula>0</formula>
    </cfRule>
  </conditionalFormatting>
  <conditionalFormatting sqref="C88">
    <cfRule type="cellIs" dxfId="1" priority="147" operator="equal">
      <formula>0</formula>
    </cfRule>
  </conditionalFormatting>
  <conditionalFormatting sqref="C882">
    <cfRule type="expression" dxfId="0" priority="1902">
      <formula>C883=0</formula>
    </cfRule>
  </conditionalFormatting>
  <conditionalFormatting sqref="C883">
    <cfRule type="cellIs" dxfId="1" priority="1911" operator="equal">
      <formula>0</formula>
    </cfRule>
  </conditionalFormatting>
  <conditionalFormatting sqref="C884">
    <cfRule type="cellIs" dxfId="1" priority="1920" operator="equal">
      <formula>0</formula>
    </cfRule>
  </conditionalFormatting>
  <conditionalFormatting sqref="C885">
    <cfRule type="cellIs" dxfId="1" priority="1924" operator="equal">
      <formula>0</formula>
    </cfRule>
  </conditionalFormatting>
  <conditionalFormatting sqref="C886">
    <cfRule type="cellIs" dxfId="1" priority="1927" operator="equal">
      <formula>0</formula>
    </cfRule>
  </conditionalFormatting>
  <conditionalFormatting sqref="C887">
    <cfRule type="cellIs" dxfId="1" priority="1933" operator="equal">
      <formula>0</formula>
    </cfRule>
  </conditionalFormatting>
  <conditionalFormatting sqref="C888">
    <cfRule type="cellIs" dxfId="1" priority="1937" operator="equal">
      <formula>0</formula>
    </cfRule>
  </conditionalFormatting>
  <conditionalFormatting sqref="C889">
    <cfRule type="cellIs" dxfId="1" priority="1941" operator="equal">
      <formula>0</formula>
    </cfRule>
  </conditionalFormatting>
  <conditionalFormatting sqref="C89">
    <cfRule type="cellIs" dxfId="1" priority="153" operator="equal">
      <formula>0</formula>
    </cfRule>
  </conditionalFormatting>
  <conditionalFormatting sqref="C891">
    <cfRule type="expression" dxfId="0" priority="1946">
      <formula>C892=0</formula>
    </cfRule>
  </conditionalFormatting>
  <conditionalFormatting sqref="C892">
    <cfRule type="cellIs" dxfId="1" priority="1953" operator="equal">
      <formula>0</formula>
    </cfRule>
  </conditionalFormatting>
  <conditionalFormatting sqref="C893">
    <cfRule type="cellIs" dxfId="1" priority="1960" operator="equal">
      <formula>0</formula>
    </cfRule>
  </conditionalFormatting>
  <conditionalFormatting sqref="C896">
    <cfRule type="cellIs" dxfId="1" priority="1965" operator="equal">
      <formula>0</formula>
    </cfRule>
  </conditionalFormatting>
  <conditionalFormatting sqref="C90">
    <cfRule type="cellIs" dxfId="1" priority="155" operator="equal">
      <formula>0</formula>
    </cfRule>
  </conditionalFormatting>
  <conditionalFormatting sqref="C900">
    <cfRule type="expression" dxfId="0" priority="1971">
      <formula>C901=0</formula>
    </cfRule>
  </conditionalFormatting>
  <conditionalFormatting sqref="C901">
    <cfRule type="cellIs" dxfId="1" priority="1974" operator="equal">
      <formula>0</formula>
    </cfRule>
  </conditionalFormatting>
  <conditionalFormatting sqref="C902">
    <cfRule type="cellIs" dxfId="1" priority="1977" operator="equal">
      <formula>0</formula>
    </cfRule>
  </conditionalFormatting>
  <conditionalFormatting sqref="C904">
    <cfRule type="cellIs" dxfId="1" priority="1979" operator="equal">
      <formula>0</formula>
    </cfRule>
  </conditionalFormatting>
  <conditionalFormatting sqref="C905">
    <cfRule type="cellIs" dxfId="1" priority="1981" operator="equal">
      <formula>0</formula>
    </cfRule>
  </conditionalFormatting>
  <conditionalFormatting sqref="C907">
    <cfRule type="cellIs" dxfId="1" priority="1983" operator="equal">
      <formula>0</formula>
    </cfRule>
  </conditionalFormatting>
  <conditionalFormatting sqref="C91">
    <cfRule type="cellIs" dxfId="1" priority="157" operator="equal">
      <formula>0</formula>
    </cfRule>
  </conditionalFormatting>
  <conditionalFormatting sqref="C915">
    <cfRule type="expression" dxfId="0" priority="1984">
      <formula>C916=0</formula>
    </cfRule>
  </conditionalFormatting>
  <conditionalFormatting sqref="C916">
    <cfRule type="cellIs" dxfId="1" priority="1990" operator="equal">
      <formula>0</formula>
    </cfRule>
  </conditionalFormatting>
  <conditionalFormatting sqref="C917">
    <cfRule type="cellIs" dxfId="1" priority="1996" operator="equal">
      <formula>0</formula>
    </cfRule>
  </conditionalFormatting>
  <conditionalFormatting sqref="C918">
    <cfRule type="cellIs" dxfId="1" priority="2000" operator="equal">
      <formula>0</formula>
    </cfRule>
  </conditionalFormatting>
  <conditionalFormatting sqref="C919">
    <cfRule type="cellIs" dxfId="1" priority="2003" operator="equal">
      <formula>0</formula>
    </cfRule>
  </conditionalFormatting>
  <conditionalFormatting sqref="C92">
    <cfRule type="cellIs" dxfId="1" priority="159" operator="equal">
      <formula>0</formula>
    </cfRule>
  </conditionalFormatting>
  <conditionalFormatting sqref="C920">
    <cfRule type="cellIs" dxfId="1" priority="2007" operator="equal">
      <formula>0</formula>
    </cfRule>
  </conditionalFormatting>
  <conditionalFormatting sqref="C921">
    <cfRule type="cellIs" dxfId="1" priority="2012" operator="equal">
      <formula>0</formula>
    </cfRule>
  </conditionalFormatting>
  <conditionalFormatting sqref="C922">
    <cfRule type="cellIs" dxfId="1" priority="2016" operator="equal">
      <formula>0</formula>
    </cfRule>
  </conditionalFormatting>
  <conditionalFormatting sqref="C924">
    <cfRule type="expression" dxfId="0" priority="2020">
      <formula>C925=0</formula>
    </cfRule>
  </conditionalFormatting>
  <conditionalFormatting sqref="C925">
    <cfRule type="cellIs" dxfId="1" priority="2022" operator="equal">
      <formula>0</formula>
    </cfRule>
  </conditionalFormatting>
  <conditionalFormatting sqref="C926">
    <cfRule type="cellIs" dxfId="1" priority="2024" operator="equal">
      <formula>0</formula>
    </cfRule>
  </conditionalFormatting>
  <conditionalFormatting sqref="C927">
    <cfRule type="cellIs" dxfId="1" priority="2026" operator="equal">
      <formula>0</formula>
    </cfRule>
  </conditionalFormatting>
  <conditionalFormatting sqref="C928">
    <cfRule type="cellIs" dxfId="1" priority="2028" operator="equal">
      <formula>0</formula>
    </cfRule>
  </conditionalFormatting>
  <conditionalFormatting sqref="C929">
    <cfRule type="cellIs" dxfId="1" priority="2029" operator="equal">
      <formula>0</formula>
    </cfRule>
  </conditionalFormatting>
  <conditionalFormatting sqref="C93">
    <cfRule type="cellIs" dxfId="1" priority="161" operator="equal">
      <formula>0</formula>
    </cfRule>
  </conditionalFormatting>
  <conditionalFormatting sqref="C930">
    <cfRule type="cellIs" dxfId="1" priority="2030" operator="equal">
      <formula>0</formula>
    </cfRule>
  </conditionalFormatting>
  <conditionalFormatting sqref="C931">
    <cfRule type="cellIs" dxfId="1" priority="2032" operator="equal">
      <formula>0</formula>
    </cfRule>
  </conditionalFormatting>
  <conditionalFormatting sqref="C933">
    <cfRule type="expression" dxfId="0" priority="2034">
      <formula>C934=0</formula>
    </cfRule>
  </conditionalFormatting>
  <conditionalFormatting sqref="C934">
    <cfRule type="cellIs" dxfId="1" priority="2035" operator="equal">
      <formula>0</formula>
    </cfRule>
  </conditionalFormatting>
  <conditionalFormatting sqref="C935">
    <cfRule type="cellIs" dxfId="1" priority="2036" operator="equal">
      <formula>0</formula>
    </cfRule>
  </conditionalFormatting>
  <conditionalFormatting sqref="C936">
    <cfRule type="cellIs" dxfId="1" priority="2037" operator="equal">
      <formula>0</formula>
    </cfRule>
  </conditionalFormatting>
  <conditionalFormatting sqref="C937">
    <cfRule type="cellIs" dxfId="1" priority="2038" operator="equal">
      <formula>0</formula>
    </cfRule>
  </conditionalFormatting>
  <conditionalFormatting sqref="C938">
    <cfRule type="cellIs" dxfId="1" priority="2039" operator="equal">
      <formula>0</formula>
    </cfRule>
  </conditionalFormatting>
  <conditionalFormatting sqref="C939">
    <cfRule type="cellIs" dxfId="1" priority="2040" operator="equal">
      <formula>0</formula>
    </cfRule>
  </conditionalFormatting>
  <conditionalFormatting sqref="C940">
    <cfRule type="cellIs" dxfId="1" priority="2041" operator="equal">
      <formula>0</formula>
    </cfRule>
  </conditionalFormatting>
  <conditionalFormatting sqref="C948">
    <cfRule type="expression" dxfId="0" priority="2042">
      <formula>C949=0</formula>
    </cfRule>
  </conditionalFormatting>
  <conditionalFormatting sqref="C949">
    <cfRule type="cellIs" dxfId="1" priority="2050" operator="equal">
      <formula>0</formula>
    </cfRule>
  </conditionalFormatting>
  <conditionalFormatting sqref="C95">
    <cfRule type="cellIs" dxfId="1" priority="165" operator="equal">
      <formula>0</formula>
    </cfRule>
  </conditionalFormatting>
  <conditionalFormatting sqref="C950">
    <cfRule type="cellIs" dxfId="1" priority="2058" operator="equal">
      <formula>0</formula>
    </cfRule>
  </conditionalFormatting>
  <conditionalFormatting sqref="C951">
    <cfRule type="cellIs" dxfId="1" priority="2062" operator="equal">
      <formula>0</formula>
    </cfRule>
  </conditionalFormatting>
  <conditionalFormatting sqref="C952">
    <cfRule type="cellIs" dxfId="1" priority="2067" operator="equal">
      <formula>0</formula>
    </cfRule>
  </conditionalFormatting>
  <conditionalFormatting sqref="C953">
    <cfRule type="cellIs" dxfId="1" priority="2071" operator="equal">
      <formula>0</formula>
    </cfRule>
  </conditionalFormatting>
  <conditionalFormatting sqref="C954">
    <cfRule type="cellIs" dxfId="1" priority="2075" operator="equal">
      <formula>0</formula>
    </cfRule>
  </conditionalFormatting>
  <conditionalFormatting sqref="C955">
    <cfRule type="cellIs" dxfId="1" priority="2079" operator="equal">
      <formula>0</formula>
    </cfRule>
  </conditionalFormatting>
  <conditionalFormatting sqref="C956">
    <cfRule type="cellIs" dxfId="1" priority="2083" operator="equal">
      <formula>0</formula>
    </cfRule>
  </conditionalFormatting>
  <conditionalFormatting sqref="C957">
    <cfRule type="cellIs" dxfId="1" priority="2087" operator="equal">
      <formula>0</formula>
    </cfRule>
  </conditionalFormatting>
  <conditionalFormatting sqref="C958">
    <cfRule type="cellIs" dxfId="1" priority="2092" operator="equal">
      <formula>0</formula>
    </cfRule>
  </conditionalFormatting>
  <conditionalFormatting sqref="C959">
    <cfRule type="cellIs" dxfId="1" priority="2096" operator="equal">
      <formula>0</formula>
    </cfRule>
  </conditionalFormatting>
  <conditionalFormatting sqref="C96">
    <cfRule type="cellIs" dxfId="1" priority="167" operator="equal">
      <formula>0</formula>
    </cfRule>
  </conditionalFormatting>
  <conditionalFormatting sqref="C960">
    <cfRule type="cellIs" dxfId="1" priority="2100" operator="equal">
      <formula>0</formula>
    </cfRule>
  </conditionalFormatting>
  <conditionalFormatting sqref="C961">
    <cfRule type="cellIs" dxfId="1" priority="2105" operator="equal">
      <formula>0</formula>
    </cfRule>
  </conditionalFormatting>
  <conditionalFormatting sqref="C963">
    <cfRule type="expression" dxfId="0" priority="2109">
      <formula>C964=0</formula>
    </cfRule>
  </conditionalFormatting>
  <conditionalFormatting sqref="C964">
    <cfRule type="cellIs" dxfId="1" priority="2114" operator="equal">
      <formula>0</formula>
    </cfRule>
  </conditionalFormatting>
  <conditionalFormatting sqref="C965">
    <cfRule type="cellIs" dxfId="1" priority="2119" operator="equal">
      <formula>0</formula>
    </cfRule>
  </conditionalFormatting>
  <conditionalFormatting sqref="C968">
    <cfRule type="cellIs" dxfId="1" priority="2125" operator="equal">
      <formula>0</formula>
    </cfRule>
  </conditionalFormatting>
  <conditionalFormatting sqref="C969">
    <cfRule type="cellIs" dxfId="1" priority="2127" operator="equal">
      <formula>0</formula>
    </cfRule>
  </conditionalFormatting>
  <conditionalFormatting sqref="C970">
    <cfRule type="cellIs" dxfId="1" priority="2129" operator="equal">
      <formula>0</formula>
    </cfRule>
  </conditionalFormatting>
  <conditionalFormatting sqref="C972">
    <cfRule type="cellIs" dxfId="1" priority="2133" operator="equal">
      <formula>0</formula>
    </cfRule>
  </conditionalFormatting>
  <conditionalFormatting sqref="C973">
    <cfRule type="cellIs" dxfId="1" priority="2135" operator="equal">
      <formula>0</formula>
    </cfRule>
  </conditionalFormatting>
  <conditionalFormatting sqref="C974">
    <cfRule type="cellIs" dxfId="1" priority="2137" operator="equal">
      <formula>0</formula>
    </cfRule>
  </conditionalFormatting>
  <conditionalFormatting sqref="C975">
    <cfRule type="cellIs" dxfId="1" priority="2139" operator="equal">
      <formula>0</formula>
    </cfRule>
  </conditionalFormatting>
  <conditionalFormatting sqref="C976">
    <cfRule type="cellIs" dxfId="1" priority="2141" operator="equal">
      <formula>0</formula>
    </cfRule>
  </conditionalFormatting>
  <conditionalFormatting sqref="C978">
    <cfRule type="expression" dxfId="0" priority="2143">
      <formula>C979=0</formula>
    </cfRule>
  </conditionalFormatting>
  <conditionalFormatting sqref="C979">
    <cfRule type="cellIs" dxfId="1" priority="2146" operator="equal">
      <formula>0</formula>
    </cfRule>
  </conditionalFormatting>
  <conditionalFormatting sqref="C980">
    <cfRule type="cellIs" dxfId="1" priority="2149" operator="equal">
      <formula>0</formula>
    </cfRule>
  </conditionalFormatting>
  <conditionalFormatting sqref="C983">
    <cfRule type="cellIs" dxfId="1" priority="2154" operator="equal">
      <formula>0</formula>
    </cfRule>
  </conditionalFormatting>
  <conditionalFormatting sqref="C984">
    <cfRule type="cellIs" dxfId="1" priority="2156" operator="equal">
      <formula>0</formula>
    </cfRule>
  </conditionalFormatting>
  <conditionalFormatting sqref="C985">
    <cfRule type="cellIs" dxfId="1" priority="2158" operator="equal">
      <formula>0</formula>
    </cfRule>
  </conditionalFormatting>
  <conditionalFormatting sqref="C987">
    <cfRule type="cellIs" dxfId="1" priority="2161" operator="equal">
      <formula>0</formula>
    </cfRule>
  </conditionalFormatting>
  <conditionalFormatting sqref="C988">
    <cfRule type="cellIs" dxfId="1" priority="2162" operator="equal">
      <formula>0</formula>
    </cfRule>
  </conditionalFormatting>
  <conditionalFormatting sqref="C989">
    <cfRule type="cellIs" dxfId="1" priority="2164" operator="equal">
      <formula>0</formula>
    </cfRule>
  </conditionalFormatting>
  <conditionalFormatting sqref="C99">
    <cfRule type="expression" dxfId="0" priority="172">
      <formula>C100=0</formula>
    </cfRule>
  </conditionalFormatting>
  <conditionalFormatting sqref="C990">
    <cfRule type="cellIs" dxfId="1" priority="2166" operator="equal">
      <formula>0</formula>
    </cfRule>
  </conditionalFormatting>
  <conditionalFormatting sqref="C999">
    <cfRule type="expression" dxfId="0" priority="2169">
      <formula>C1000=0</formula>
    </cfRule>
  </conditionalFormatting>
  <conditionalFormatting sqref="D100">
    <cfRule type="cellIs" dxfId="1" priority="176" operator="equal">
      <formula>0</formula>
    </cfRule>
  </conditionalFormatting>
  <conditionalFormatting sqref="D1000">
    <cfRule type="cellIs" dxfId="1" priority="2174" operator="equal">
      <formula>0</formula>
    </cfRule>
  </conditionalFormatting>
  <conditionalFormatting sqref="D1001">
    <cfRule type="cellIs" dxfId="1" priority="2178" operator="equal">
      <formula>0</formula>
    </cfRule>
  </conditionalFormatting>
  <conditionalFormatting sqref="D1002">
    <cfRule type="cellIs" dxfId="1" priority="2182" operator="equal">
      <formula>0</formula>
    </cfRule>
  </conditionalFormatting>
  <conditionalFormatting sqref="D1003">
    <cfRule type="cellIs" dxfId="1" priority="2185" operator="equal">
      <formula>0</formula>
    </cfRule>
  </conditionalFormatting>
  <conditionalFormatting sqref="D1004">
    <cfRule type="cellIs" dxfId="1" priority="2189" operator="equal">
      <formula>0</formula>
    </cfRule>
  </conditionalFormatting>
  <conditionalFormatting sqref="D1005">
    <cfRule type="cellIs" dxfId="1" priority="2193" operator="equal">
      <formula>0</formula>
    </cfRule>
  </conditionalFormatting>
  <conditionalFormatting sqref="D1006">
    <cfRule type="cellIs" dxfId="1" priority="2197" operator="equal">
      <formula>0</formula>
    </cfRule>
  </conditionalFormatting>
  <conditionalFormatting sqref="D1008">
    <cfRule type="expression" dxfId="0" priority="2200">
      <formula>D1009=0</formula>
    </cfRule>
  </conditionalFormatting>
  <conditionalFormatting sqref="D1009">
    <cfRule type="cellIs" dxfId="1" priority="2202" operator="equal">
      <formula>0</formula>
    </cfRule>
  </conditionalFormatting>
  <conditionalFormatting sqref="D1010">
    <cfRule type="cellIs" dxfId="1" priority="2204" operator="equal">
      <formula>0</formula>
    </cfRule>
  </conditionalFormatting>
  <conditionalFormatting sqref="D1011">
    <cfRule type="cellIs" dxfId="1" priority="2206" operator="equal">
      <formula>0</formula>
    </cfRule>
  </conditionalFormatting>
  <conditionalFormatting sqref="D1012">
    <cfRule type="cellIs" dxfId="1" priority="2208" operator="equal">
      <formula>0</formula>
    </cfRule>
  </conditionalFormatting>
  <conditionalFormatting sqref="D1013">
    <cfRule type="cellIs" dxfId="1" priority="2210" operator="equal">
      <formula>0</formula>
    </cfRule>
  </conditionalFormatting>
  <conditionalFormatting sqref="D1014">
    <cfRule type="cellIs" dxfId="1" priority="2212" operator="equal">
      <formula>0</formula>
    </cfRule>
  </conditionalFormatting>
  <conditionalFormatting sqref="D1015">
    <cfRule type="cellIs" dxfId="1" priority="2214" operator="equal">
      <formula>0</formula>
    </cfRule>
  </conditionalFormatting>
  <conditionalFormatting sqref="D1017">
    <cfRule type="expression" dxfId="0" priority="2216">
      <formula>D1018=0</formula>
    </cfRule>
  </conditionalFormatting>
  <conditionalFormatting sqref="D1018">
    <cfRule type="cellIs" dxfId="1" priority="2218" operator="equal">
      <formula>0</formula>
    </cfRule>
  </conditionalFormatting>
  <conditionalFormatting sqref="D102">
    <cfRule type="cellIs" dxfId="1" priority="179" operator="equal">
      <formula>0</formula>
    </cfRule>
  </conditionalFormatting>
  <conditionalFormatting sqref="D1020">
    <cfRule type="cellIs" dxfId="1" priority="2221" operator="equal">
      <formula>0</formula>
    </cfRule>
  </conditionalFormatting>
  <conditionalFormatting sqref="D1022">
    <cfRule type="cellIs" dxfId="1" priority="2224" operator="equal">
      <formula>0</formula>
    </cfRule>
  </conditionalFormatting>
  <conditionalFormatting sqref="D1023">
    <cfRule type="cellIs" dxfId="1" priority="2226" operator="equal">
      <formula>0</formula>
    </cfRule>
  </conditionalFormatting>
  <conditionalFormatting sqref="D103">
    <cfRule type="cellIs" dxfId="1" priority="180" operator="equal">
      <formula>0</formula>
    </cfRule>
  </conditionalFormatting>
  <conditionalFormatting sqref="D1032">
    <cfRule type="expression" dxfId="0" priority="2229">
      <formula>D1033=0</formula>
    </cfRule>
  </conditionalFormatting>
  <conditionalFormatting sqref="D1033">
    <cfRule type="cellIs" dxfId="1" priority="2235" operator="equal">
      <formula>0</formula>
    </cfRule>
  </conditionalFormatting>
  <conditionalFormatting sqref="D1034">
    <cfRule type="cellIs" dxfId="1" priority="2241" operator="equal">
      <formula>0</formula>
    </cfRule>
  </conditionalFormatting>
  <conditionalFormatting sqref="D1035">
    <cfRule type="cellIs" dxfId="1" priority="2245" operator="equal">
      <formula>0</formula>
    </cfRule>
  </conditionalFormatting>
  <conditionalFormatting sqref="D1036">
    <cfRule type="cellIs" dxfId="1" priority="2251" operator="equal">
      <formula>0</formula>
    </cfRule>
  </conditionalFormatting>
  <conditionalFormatting sqref="D1037">
    <cfRule type="cellIs" dxfId="1" priority="2254" operator="equal">
      <formula>0</formula>
    </cfRule>
  </conditionalFormatting>
  <conditionalFormatting sqref="D1038">
    <cfRule type="cellIs" dxfId="1" priority="2258" operator="equal">
      <formula>0</formula>
    </cfRule>
  </conditionalFormatting>
  <conditionalFormatting sqref="D1039">
    <cfRule type="cellIs" dxfId="1" priority="2262" operator="equal">
      <formula>0</formula>
    </cfRule>
  </conditionalFormatting>
  <conditionalFormatting sqref="D104">
    <cfRule type="cellIs" dxfId="1" priority="181" operator="equal">
      <formula>0</formula>
    </cfRule>
  </conditionalFormatting>
  <conditionalFormatting sqref="D1041">
    <cfRule type="expression" dxfId="0" priority="2266">
      <formula>D1042=0</formula>
    </cfRule>
  </conditionalFormatting>
  <conditionalFormatting sqref="D1042">
    <cfRule type="cellIs" dxfId="1" priority="2268" operator="equal">
      <formula>0</formula>
    </cfRule>
  </conditionalFormatting>
  <conditionalFormatting sqref="D1043">
    <cfRule type="cellIs" dxfId="1" priority="2270" operator="equal">
      <formula>0</formula>
    </cfRule>
  </conditionalFormatting>
  <conditionalFormatting sqref="D1044">
    <cfRule type="cellIs" dxfId="1" priority="2272" operator="equal">
      <formula>0</formula>
    </cfRule>
  </conditionalFormatting>
  <conditionalFormatting sqref="D1046">
    <cfRule type="cellIs" dxfId="1" priority="2274" operator="equal">
      <formula>0</formula>
    </cfRule>
  </conditionalFormatting>
  <conditionalFormatting sqref="D1047">
    <cfRule type="cellIs" dxfId="1" priority="2276" operator="equal">
      <formula>0</formula>
    </cfRule>
  </conditionalFormatting>
  <conditionalFormatting sqref="D1048">
    <cfRule type="cellIs" dxfId="1" priority="2278" operator="equal">
      <formula>0</formula>
    </cfRule>
  </conditionalFormatting>
  <conditionalFormatting sqref="D105">
    <cfRule type="cellIs" dxfId="1" priority="182" operator="equal">
      <formula>0</formula>
    </cfRule>
  </conditionalFormatting>
  <conditionalFormatting sqref="D106">
    <cfRule type="cellIs" dxfId="1" priority="183" operator="equal">
      <formula>0</formula>
    </cfRule>
  </conditionalFormatting>
  <conditionalFormatting sqref="D1065">
    <cfRule type="expression" dxfId="0" priority="2288">
      <formula>D1066=0</formula>
    </cfRule>
  </conditionalFormatting>
  <conditionalFormatting sqref="D1066">
    <cfRule type="cellIs" dxfId="1" priority="2295" operator="equal">
      <formula>0</formula>
    </cfRule>
  </conditionalFormatting>
  <conditionalFormatting sqref="D1067">
    <cfRule type="cellIs" dxfId="1" priority="2302" operator="equal">
      <formula>0</formula>
    </cfRule>
  </conditionalFormatting>
  <conditionalFormatting sqref="D1068">
    <cfRule type="cellIs" dxfId="1" priority="2306" operator="equal">
      <formula>0</formula>
    </cfRule>
  </conditionalFormatting>
  <conditionalFormatting sqref="D1069">
    <cfRule type="cellIs" dxfId="1" priority="2310" operator="equal">
      <formula>0</formula>
    </cfRule>
  </conditionalFormatting>
  <conditionalFormatting sqref="D107">
    <cfRule type="cellIs" dxfId="1" priority="184" operator="equal">
      <formula>0</formula>
    </cfRule>
  </conditionalFormatting>
  <conditionalFormatting sqref="D1070">
    <cfRule type="cellIs" dxfId="1" priority="2314" operator="equal">
      <formula>0</formula>
    </cfRule>
  </conditionalFormatting>
  <conditionalFormatting sqref="D1071">
    <cfRule type="cellIs" dxfId="1" priority="2317" operator="equal">
      <formula>0</formula>
    </cfRule>
  </conditionalFormatting>
  <conditionalFormatting sqref="D1072">
    <cfRule type="cellIs" dxfId="1" priority="2321" operator="equal">
      <formula>0</formula>
    </cfRule>
  </conditionalFormatting>
  <conditionalFormatting sqref="D1073">
    <cfRule type="cellIs" dxfId="1" priority="2325" operator="equal">
      <formula>0</formula>
    </cfRule>
  </conditionalFormatting>
  <conditionalFormatting sqref="D1074">
    <cfRule type="cellIs" dxfId="1" priority="2329" operator="equal">
      <formula>0</formula>
    </cfRule>
  </conditionalFormatting>
  <conditionalFormatting sqref="D1075">
    <cfRule type="cellIs" dxfId="1" priority="2332" operator="equal">
      <formula>0</formula>
    </cfRule>
  </conditionalFormatting>
  <conditionalFormatting sqref="D1076">
    <cfRule type="cellIs" dxfId="1" priority="2337" operator="equal">
      <formula>0</formula>
    </cfRule>
  </conditionalFormatting>
  <conditionalFormatting sqref="D1077">
    <cfRule type="cellIs" dxfId="1" priority="2341" operator="equal">
      <formula>0</formula>
    </cfRule>
  </conditionalFormatting>
  <conditionalFormatting sqref="D1078">
    <cfRule type="cellIs" dxfId="1" priority="2345" operator="equal">
      <formula>0</formula>
    </cfRule>
  </conditionalFormatting>
  <conditionalFormatting sqref="D1079">
    <cfRule type="cellIs" dxfId="1" priority="2349" operator="equal">
      <formula>0</formula>
    </cfRule>
  </conditionalFormatting>
  <conditionalFormatting sqref="D108">
    <cfRule type="cellIs" dxfId="1" priority="185" operator="equal">
      <formula>0</formula>
    </cfRule>
  </conditionalFormatting>
  <conditionalFormatting sqref="D1080">
    <cfRule type="cellIs" dxfId="1" priority="2353" operator="equal">
      <formula>0</formula>
    </cfRule>
  </conditionalFormatting>
  <conditionalFormatting sqref="D1081">
    <cfRule type="cellIs" dxfId="1" priority="2357" operator="equal">
      <formula>0</formula>
    </cfRule>
  </conditionalFormatting>
  <conditionalFormatting sqref="D1082">
    <cfRule type="cellIs" dxfId="1" priority="2361" operator="equal">
      <formula>0</formula>
    </cfRule>
  </conditionalFormatting>
  <conditionalFormatting sqref="D1083">
    <cfRule type="cellIs" dxfId="1" priority="2366" operator="equal">
      <formula>0</formula>
    </cfRule>
  </conditionalFormatting>
  <conditionalFormatting sqref="D1085">
    <cfRule type="expression" dxfId="0" priority="2370">
      <formula>D1086=0</formula>
    </cfRule>
  </conditionalFormatting>
  <conditionalFormatting sqref="D1086">
    <cfRule type="cellIs" dxfId="1" priority="2379" operator="equal">
      <formula>0</formula>
    </cfRule>
  </conditionalFormatting>
  <conditionalFormatting sqref="D1087">
    <cfRule type="cellIs" dxfId="1" priority="2388" operator="equal">
      <formula>0</formula>
    </cfRule>
  </conditionalFormatting>
  <conditionalFormatting sqref="D1089">
    <cfRule type="cellIs" dxfId="1" priority="2391" operator="equal">
      <formula>0</formula>
    </cfRule>
  </conditionalFormatting>
  <conditionalFormatting sqref="D109">
    <cfRule type="cellIs" dxfId="1" priority="186" operator="equal">
      <formula>0</formula>
    </cfRule>
  </conditionalFormatting>
  <conditionalFormatting sqref="D1090">
    <cfRule type="cellIs" dxfId="1" priority="2393" operator="equal">
      <formula>0</formula>
    </cfRule>
  </conditionalFormatting>
  <conditionalFormatting sqref="D1091">
    <cfRule type="cellIs" dxfId="1" priority="2395" operator="equal">
      <formula>0</formula>
    </cfRule>
  </conditionalFormatting>
  <conditionalFormatting sqref="D1092">
    <cfRule type="cellIs" dxfId="1" priority="2397" operator="equal">
      <formula>0</formula>
    </cfRule>
  </conditionalFormatting>
  <conditionalFormatting sqref="D1093">
    <cfRule type="cellIs" dxfId="1" priority="2399" operator="equal">
      <formula>0</formula>
    </cfRule>
  </conditionalFormatting>
  <conditionalFormatting sqref="D1094">
    <cfRule type="cellIs" dxfId="1" priority="2401" operator="equal">
      <formula>0</formula>
    </cfRule>
  </conditionalFormatting>
  <conditionalFormatting sqref="D1095">
    <cfRule type="cellIs" dxfId="1" priority="2403" operator="equal">
      <formula>0</formula>
    </cfRule>
  </conditionalFormatting>
  <conditionalFormatting sqref="D1096">
    <cfRule type="cellIs" dxfId="1" priority="2405" operator="equal">
      <formula>0</formula>
    </cfRule>
  </conditionalFormatting>
  <conditionalFormatting sqref="D1098">
    <cfRule type="cellIs" dxfId="1" priority="2408" operator="equal">
      <formula>0</formula>
    </cfRule>
  </conditionalFormatting>
  <conditionalFormatting sqref="D1099">
    <cfRule type="cellIs" dxfId="1" priority="2411" operator="equal">
      <formula>0</formula>
    </cfRule>
  </conditionalFormatting>
  <conditionalFormatting sqref="D1100">
    <cfRule type="cellIs" dxfId="1" priority="2412" operator="equal">
      <formula>0</formula>
    </cfRule>
  </conditionalFormatting>
  <conditionalFormatting sqref="D1101">
    <cfRule type="cellIs" dxfId="1" priority="2414" operator="equal">
      <formula>0</formula>
    </cfRule>
  </conditionalFormatting>
  <conditionalFormatting sqref="D1102">
    <cfRule type="cellIs" dxfId="1" priority="2416" operator="equal">
      <formula>0</formula>
    </cfRule>
  </conditionalFormatting>
  <conditionalFormatting sqref="D1103">
    <cfRule type="cellIs" dxfId="1" priority="2418" operator="equal">
      <formula>0</formula>
    </cfRule>
  </conditionalFormatting>
  <conditionalFormatting sqref="D1105">
    <cfRule type="expression" dxfId="0" priority="2421">
      <formula>D1106=0</formula>
    </cfRule>
  </conditionalFormatting>
  <conditionalFormatting sqref="D1106">
    <cfRule type="cellIs" dxfId="1" priority="2424" operator="equal">
      <formula>0</formula>
    </cfRule>
  </conditionalFormatting>
  <conditionalFormatting sqref="D1108">
    <cfRule type="cellIs" dxfId="1" priority="2427" operator="equal">
      <formula>0</formula>
    </cfRule>
  </conditionalFormatting>
  <conditionalFormatting sqref="D1131">
    <cfRule type="expression" dxfId="0" priority="2445">
      <formula>D1132=0</formula>
    </cfRule>
  </conditionalFormatting>
  <conditionalFormatting sqref="D1132">
    <cfRule type="cellIs" dxfId="1" priority="2454" operator="equal">
      <formula>0</formula>
    </cfRule>
  </conditionalFormatting>
  <conditionalFormatting sqref="D1133">
    <cfRule type="cellIs" dxfId="1" priority="2463" operator="equal">
      <formula>0</formula>
    </cfRule>
  </conditionalFormatting>
  <conditionalFormatting sqref="D1134">
    <cfRule type="cellIs" dxfId="1" priority="2468" operator="equal">
      <formula>0</formula>
    </cfRule>
  </conditionalFormatting>
  <conditionalFormatting sqref="D1135">
    <cfRule type="cellIs" dxfId="1" priority="2472" operator="equal">
      <formula>0</formula>
    </cfRule>
  </conditionalFormatting>
  <conditionalFormatting sqref="D1136">
    <cfRule type="cellIs" dxfId="1" priority="2477" operator="equal">
      <formula>0</formula>
    </cfRule>
  </conditionalFormatting>
  <conditionalFormatting sqref="D1137">
    <cfRule type="cellIs" dxfId="1" priority="2482" operator="equal">
      <formula>0</formula>
    </cfRule>
  </conditionalFormatting>
  <conditionalFormatting sqref="D1138">
    <cfRule type="cellIs" dxfId="1" priority="2487" operator="equal">
      <formula>0</formula>
    </cfRule>
  </conditionalFormatting>
  <conditionalFormatting sqref="D1139">
    <cfRule type="cellIs" dxfId="1" priority="2490" operator="equal">
      <formula>0</formula>
    </cfRule>
  </conditionalFormatting>
  <conditionalFormatting sqref="D1141">
    <cfRule type="expression" dxfId="0" priority="2495">
      <formula>D1142=0</formula>
    </cfRule>
  </conditionalFormatting>
  <conditionalFormatting sqref="D1142">
    <cfRule type="cellIs" dxfId="1" priority="2500" operator="equal">
      <formula>0</formula>
    </cfRule>
  </conditionalFormatting>
  <conditionalFormatting sqref="D1144">
    <cfRule type="cellIs" dxfId="1" priority="2505" operator="equal">
      <formula>0</formula>
    </cfRule>
  </conditionalFormatting>
  <conditionalFormatting sqref="D1145">
    <cfRule type="cellIs" dxfId="1" priority="2507" operator="equal">
      <formula>0</formula>
    </cfRule>
  </conditionalFormatting>
  <conditionalFormatting sqref="D1148">
    <cfRule type="cellIs" dxfId="1" priority="2511" operator="equal">
      <formula>0</formula>
    </cfRule>
  </conditionalFormatting>
  <conditionalFormatting sqref="D1167">
    <cfRule type="expression" dxfId="0" priority="2524">
      <formula>D1168=0</formula>
    </cfRule>
  </conditionalFormatting>
  <conditionalFormatting sqref="D1168">
    <cfRule type="cellIs" dxfId="1" priority="2530" operator="equal">
      <formula>0</formula>
    </cfRule>
  </conditionalFormatting>
  <conditionalFormatting sqref="D1169">
    <cfRule type="cellIs" dxfId="1" priority="2536" operator="equal">
      <formula>0</formula>
    </cfRule>
  </conditionalFormatting>
  <conditionalFormatting sqref="D117">
    <cfRule type="expression" dxfId="0" priority="189">
      <formula>D118=0</formula>
    </cfRule>
  </conditionalFormatting>
  <conditionalFormatting sqref="D1170">
    <cfRule type="cellIs" dxfId="1" priority="2540" operator="equal">
      <formula>0</formula>
    </cfRule>
  </conditionalFormatting>
  <conditionalFormatting sqref="D1171">
    <cfRule type="cellIs" dxfId="1" priority="2544" operator="equal">
      <formula>0</formula>
    </cfRule>
  </conditionalFormatting>
  <conditionalFormatting sqref="D1172">
    <cfRule type="cellIs" dxfId="1" priority="2548" operator="equal">
      <formula>0</formula>
    </cfRule>
  </conditionalFormatting>
  <conditionalFormatting sqref="D1173">
    <cfRule type="cellIs" dxfId="1" priority="2552" operator="equal">
      <formula>0</formula>
    </cfRule>
  </conditionalFormatting>
  <conditionalFormatting sqref="D1174">
    <cfRule type="cellIs" dxfId="1" priority="2556" operator="equal">
      <formula>0</formula>
    </cfRule>
  </conditionalFormatting>
  <conditionalFormatting sqref="D1175">
    <cfRule type="cellIs" dxfId="1" priority="2561" operator="equal">
      <formula>0</formula>
    </cfRule>
  </conditionalFormatting>
  <conditionalFormatting sqref="D1176">
    <cfRule type="cellIs" dxfId="1" priority="2565" operator="equal">
      <formula>0</formula>
    </cfRule>
  </conditionalFormatting>
  <conditionalFormatting sqref="D1177">
    <cfRule type="cellIs" dxfId="1" priority="2569" operator="equal">
      <formula>0</formula>
    </cfRule>
  </conditionalFormatting>
  <conditionalFormatting sqref="D1178">
    <cfRule type="cellIs" dxfId="1" priority="2573" operator="equal">
      <formula>0</formula>
    </cfRule>
  </conditionalFormatting>
  <conditionalFormatting sqref="D1179">
    <cfRule type="cellIs" dxfId="1" priority="2577" operator="equal">
      <formula>0</formula>
    </cfRule>
  </conditionalFormatting>
  <conditionalFormatting sqref="D118">
    <cfRule type="cellIs" dxfId="1" priority="195" operator="equal">
      <formula>0</formula>
    </cfRule>
  </conditionalFormatting>
  <conditionalFormatting sqref="D1180">
    <cfRule type="cellIs" dxfId="1" priority="2581" operator="equal">
      <formula>0</formula>
    </cfRule>
  </conditionalFormatting>
  <conditionalFormatting sqref="D1181">
    <cfRule type="cellIs" dxfId="1" priority="2585" operator="equal">
      <formula>0</formula>
    </cfRule>
  </conditionalFormatting>
  <conditionalFormatting sqref="D1182">
    <cfRule type="cellIs" dxfId="1" priority="2588" operator="equal">
      <formula>0</formula>
    </cfRule>
  </conditionalFormatting>
  <conditionalFormatting sqref="D1183">
    <cfRule type="cellIs" dxfId="1" priority="2592" operator="equal">
      <formula>0</formula>
    </cfRule>
  </conditionalFormatting>
  <conditionalFormatting sqref="D1184">
    <cfRule type="cellIs" dxfId="1" priority="2596" operator="equal">
      <formula>0</formula>
    </cfRule>
  </conditionalFormatting>
  <conditionalFormatting sqref="D1185">
    <cfRule type="cellIs" dxfId="1" priority="2599" operator="equal">
      <formula>0</formula>
    </cfRule>
  </conditionalFormatting>
  <conditionalFormatting sqref="D1187">
    <cfRule type="expression" dxfId="0" priority="2603">
      <formula>D1188=0</formula>
    </cfRule>
  </conditionalFormatting>
  <conditionalFormatting sqref="D1188">
    <cfRule type="cellIs" dxfId="1" priority="2605" operator="equal">
      <formula>0</formula>
    </cfRule>
  </conditionalFormatting>
  <conditionalFormatting sqref="D1189">
    <cfRule type="cellIs" dxfId="1" priority="2607" operator="equal">
      <formula>0</formula>
    </cfRule>
  </conditionalFormatting>
  <conditionalFormatting sqref="D119">
    <cfRule type="cellIs" dxfId="1" priority="201" operator="equal">
      <formula>0</formula>
    </cfRule>
  </conditionalFormatting>
  <conditionalFormatting sqref="D1190">
    <cfRule type="cellIs" dxfId="1" priority="2609" operator="equal">
      <formula>0</formula>
    </cfRule>
  </conditionalFormatting>
  <conditionalFormatting sqref="D1191">
    <cfRule type="cellIs" dxfId="1" priority="2611" operator="equal">
      <formula>0</formula>
    </cfRule>
  </conditionalFormatting>
  <conditionalFormatting sqref="D1192">
    <cfRule type="cellIs" dxfId="1" priority="2613" operator="equal">
      <formula>0</formula>
    </cfRule>
  </conditionalFormatting>
  <conditionalFormatting sqref="D1193">
    <cfRule type="cellIs" dxfId="1" priority="2615" operator="equal">
      <formula>0</formula>
    </cfRule>
  </conditionalFormatting>
  <conditionalFormatting sqref="D1194">
    <cfRule type="cellIs" dxfId="1" priority="2617" operator="equal">
      <formula>0</formula>
    </cfRule>
  </conditionalFormatting>
  <conditionalFormatting sqref="D1195">
    <cfRule type="cellIs" dxfId="1" priority="2619" operator="equal">
      <formula>0</formula>
    </cfRule>
  </conditionalFormatting>
  <conditionalFormatting sqref="D1196">
    <cfRule type="cellIs" dxfId="1" priority="2621" operator="equal">
      <formula>0</formula>
    </cfRule>
  </conditionalFormatting>
  <conditionalFormatting sqref="D1197">
    <cfRule type="cellIs" dxfId="1" priority="2623" operator="equal">
      <formula>0</formula>
    </cfRule>
  </conditionalFormatting>
  <conditionalFormatting sqref="D1198">
    <cfRule type="cellIs" dxfId="1" priority="2624" operator="equal">
      <formula>0</formula>
    </cfRule>
  </conditionalFormatting>
  <conditionalFormatting sqref="D1199">
    <cfRule type="cellIs" dxfId="1" priority="2626" operator="equal">
      <formula>0</formula>
    </cfRule>
  </conditionalFormatting>
  <conditionalFormatting sqref="D120">
    <cfRule type="cellIs" dxfId="1" priority="206" operator="equal">
      <formula>0</formula>
    </cfRule>
  </conditionalFormatting>
  <conditionalFormatting sqref="D1200">
    <cfRule type="cellIs" dxfId="1" priority="2628" operator="equal">
      <formula>0</formula>
    </cfRule>
  </conditionalFormatting>
  <conditionalFormatting sqref="D1201">
    <cfRule type="cellIs" dxfId="1" priority="2630" operator="equal">
      <formula>0</formula>
    </cfRule>
  </conditionalFormatting>
  <conditionalFormatting sqref="D1202">
    <cfRule type="cellIs" dxfId="1" priority="2632" operator="equal">
      <formula>0</formula>
    </cfRule>
  </conditionalFormatting>
  <conditionalFormatting sqref="D1203">
    <cfRule type="cellIs" dxfId="1" priority="2634" operator="equal">
      <formula>0</formula>
    </cfRule>
  </conditionalFormatting>
  <conditionalFormatting sqref="D1204">
    <cfRule type="cellIs" dxfId="1" priority="2636" operator="equal">
      <formula>0</formula>
    </cfRule>
  </conditionalFormatting>
  <conditionalFormatting sqref="D1205">
    <cfRule type="cellIs" dxfId="1" priority="2637" operator="equal">
      <formula>0</formula>
    </cfRule>
  </conditionalFormatting>
  <conditionalFormatting sqref="D1207">
    <cfRule type="expression" dxfId="0" priority="2639">
      <formula>D1208=0</formula>
    </cfRule>
  </conditionalFormatting>
  <conditionalFormatting sqref="D1208">
    <cfRule type="cellIs" dxfId="1" priority="2642" operator="equal">
      <formula>0</formula>
    </cfRule>
  </conditionalFormatting>
  <conditionalFormatting sqref="D1209">
    <cfRule type="cellIs" dxfId="1" priority="2645" operator="equal">
      <formula>0</formula>
    </cfRule>
  </conditionalFormatting>
  <conditionalFormatting sqref="D121">
    <cfRule type="cellIs" dxfId="1" priority="210" operator="equal">
      <formula>0</formula>
    </cfRule>
  </conditionalFormatting>
  <conditionalFormatting sqref="D1210">
    <cfRule type="cellIs" dxfId="1" priority="2647" operator="equal">
      <formula>0</formula>
    </cfRule>
  </conditionalFormatting>
  <conditionalFormatting sqref="D1211">
    <cfRule type="cellIs" dxfId="1" priority="2649" operator="equal">
      <formula>0</formula>
    </cfRule>
  </conditionalFormatting>
  <conditionalFormatting sqref="D1212">
    <cfRule type="cellIs" dxfId="1" priority="2650" operator="equal">
      <formula>0</formula>
    </cfRule>
  </conditionalFormatting>
  <conditionalFormatting sqref="D1213">
    <cfRule type="cellIs" dxfId="1" priority="2653" operator="equal">
      <formula>0</formula>
    </cfRule>
  </conditionalFormatting>
  <conditionalFormatting sqref="D1214">
    <cfRule type="cellIs" dxfId="1" priority="2655" operator="equal">
      <formula>0</formula>
    </cfRule>
  </conditionalFormatting>
  <conditionalFormatting sqref="D1215">
    <cfRule type="cellIs" dxfId="1" priority="2657" operator="equal">
      <formula>0</formula>
    </cfRule>
  </conditionalFormatting>
  <conditionalFormatting sqref="D1216">
    <cfRule type="cellIs" dxfId="1" priority="2659" operator="equal">
      <formula>0</formula>
    </cfRule>
  </conditionalFormatting>
  <conditionalFormatting sqref="D1218">
    <cfRule type="cellIs" dxfId="1" priority="2662" operator="equal">
      <formula>0</formula>
    </cfRule>
  </conditionalFormatting>
  <conditionalFormatting sqref="D1219">
    <cfRule type="cellIs" dxfId="1" priority="2664" operator="equal">
      <formula>0</formula>
    </cfRule>
  </conditionalFormatting>
  <conditionalFormatting sqref="D122">
    <cfRule type="cellIs" dxfId="1" priority="214" operator="equal">
      <formula>0</formula>
    </cfRule>
  </conditionalFormatting>
  <conditionalFormatting sqref="D1220">
    <cfRule type="cellIs" dxfId="1" priority="2666" operator="equal">
      <formula>0</formula>
    </cfRule>
  </conditionalFormatting>
  <conditionalFormatting sqref="D1222">
    <cfRule type="cellIs" dxfId="1" priority="2669" operator="equal">
      <formula>0</formula>
    </cfRule>
  </conditionalFormatting>
  <conditionalFormatting sqref="D1223">
    <cfRule type="cellIs" dxfId="1" priority="2671" operator="equal">
      <formula>0</formula>
    </cfRule>
  </conditionalFormatting>
  <conditionalFormatting sqref="D1224">
    <cfRule type="cellIs" dxfId="1" priority="2673" operator="equal">
      <formula>0</formula>
    </cfRule>
  </conditionalFormatting>
  <conditionalFormatting sqref="D1225">
    <cfRule type="cellIs" dxfId="1" priority="2675" operator="equal">
      <formula>0</formula>
    </cfRule>
  </conditionalFormatting>
  <conditionalFormatting sqref="D123">
    <cfRule type="cellIs" dxfId="1" priority="219" operator="equal">
      <formula>0</formula>
    </cfRule>
  </conditionalFormatting>
  <conditionalFormatting sqref="D1233">
    <cfRule type="expression" dxfId="0" priority="2677">
      <formula>D1234=0</formula>
    </cfRule>
  </conditionalFormatting>
  <conditionalFormatting sqref="D1234">
    <cfRule type="cellIs" dxfId="1" priority="2681" operator="equal">
      <formula>0</formula>
    </cfRule>
  </conditionalFormatting>
  <conditionalFormatting sqref="D1235">
    <cfRule type="cellIs" dxfId="1" priority="2685" operator="equal">
      <formula>0</formula>
    </cfRule>
  </conditionalFormatting>
  <conditionalFormatting sqref="D1236">
    <cfRule type="cellIs" dxfId="1" priority="2689" operator="equal">
      <formula>0</formula>
    </cfRule>
  </conditionalFormatting>
  <conditionalFormatting sqref="D1237">
    <cfRule type="cellIs" dxfId="1" priority="2693" operator="equal">
      <formula>0</formula>
    </cfRule>
  </conditionalFormatting>
  <conditionalFormatting sqref="D1238">
    <cfRule type="cellIs" dxfId="1" priority="2697" operator="equal">
      <formula>0</formula>
    </cfRule>
  </conditionalFormatting>
  <conditionalFormatting sqref="D1239">
    <cfRule type="cellIs" dxfId="1" priority="2701" operator="equal">
      <formula>0</formula>
    </cfRule>
  </conditionalFormatting>
  <conditionalFormatting sqref="D1241">
    <cfRule type="expression" dxfId="0" priority="2705">
      <formula>D1242=0</formula>
    </cfRule>
  </conditionalFormatting>
  <conditionalFormatting sqref="D1242">
    <cfRule type="cellIs" dxfId="1" priority="2710" operator="equal">
      <formula>0</formula>
    </cfRule>
  </conditionalFormatting>
  <conditionalFormatting sqref="D1243">
    <cfRule type="cellIs" dxfId="1" priority="2715" operator="equal">
      <formula>0</formula>
    </cfRule>
  </conditionalFormatting>
  <conditionalFormatting sqref="D1244">
    <cfRule type="cellIs" dxfId="1" priority="2716" operator="equal">
      <formula>0</formula>
    </cfRule>
  </conditionalFormatting>
  <conditionalFormatting sqref="D1245">
    <cfRule type="cellIs" dxfId="1" priority="2718" operator="equal">
      <formula>0</formula>
    </cfRule>
  </conditionalFormatting>
  <conditionalFormatting sqref="D1247">
    <cfRule type="cellIs" dxfId="1" priority="2721" operator="equal">
      <formula>0</formula>
    </cfRule>
  </conditionalFormatting>
  <conditionalFormatting sqref="D1249">
    <cfRule type="expression" dxfId="0" priority="2724">
      <formula>D1250=0</formula>
    </cfRule>
  </conditionalFormatting>
  <conditionalFormatting sqref="D125">
    <cfRule type="expression" dxfId="0" priority="223">
      <formula>D126=0</formula>
    </cfRule>
  </conditionalFormatting>
  <conditionalFormatting sqref="D1250">
    <cfRule type="cellIs" dxfId="1" priority="2726" operator="equal">
      <formula>0</formula>
    </cfRule>
  </conditionalFormatting>
  <conditionalFormatting sqref="D1255">
    <cfRule type="cellIs" dxfId="1" priority="2732" operator="equal">
      <formula>0</formula>
    </cfRule>
  </conditionalFormatting>
  <conditionalFormatting sqref="D126">
    <cfRule type="cellIs" dxfId="1" priority="227" operator="equal">
      <formula>0</formula>
    </cfRule>
  </conditionalFormatting>
  <conditionalFormatting sqref="D1263">
    <cfRule type="expression" dxfId="0" priority="2734">
      <formula>D1264=0</formula>
    </cfRule>
  </conditionalFormatting>
  <conditionalFormatting sqref="D1264">
    <cfRule type="cellIs" dxfId="1" priority="2740" operator="equal">
      <formula>0</formula>
    </cfRule>
  </conditionalFormatting>
  <conditionalFormatting sqref="D1265">
    <cfRule type="cellIs" dxfId="1" priority="2746" operator="equal">
      <formula>0</formula>
    </cfRule>
  </conditionalFormatting>
  <conditionalFormatting sqref="D1266">
    <cfRule type="cellIs" dxfId="1" priority="2750" operator="equal">
      <formula>0</formula>
    </cfRule>
  </conditionalFormatting>
  <conditionalFormatting sqref="D1267">
    <cfRule type="cellIs" dxfId="1" priority="2755" operator="equal">
      <formula>0</formula>
    </cfRule>
  </conditionalFormatting>
  <conditionalFormatting sqref="D1268">
    <cfRule type="cellIs" dxfId="1" priority="2759" operator="equal">
      <formula>0</formula>
    </cfRule>
  </conditionalFormatting>
  <conditionalFormatting sqref="D1269">
    <cfRule type="cellIs" dxfId="1" priority="2763" operator="equal">
      <formula>0</formula>
    </cfRule>
  </conditionalFormatting>
  <conditionalFormatting sqref="D127">
    <cfRule type="cellIs" dxfId="1" priority="231" operator="equal">
      <formula>0</formula>
    </cfRule>
  </conditionalFormatting>
  <conditionalFormatting sqref="D1270">
    <cfRule type="cellIs" dxfId="1" priority="2766" operator="equal">
      <formula>0</formula>
    </cfRule>
  </conditionalFormatting>
  <conditionalFormatting sqref="D1271">
    <cfRule type="cellIs" dxfId="1" priority="2770" operator="equal">
      <formula>0</formula>
    </cfRule>
  </conditionalFormatting>
  <conditionalFormatting sqref="D1272">
    <cfRule type="cellIs" dxfId="1" priority="2774" operator="equal">
      <formula>0</formula>
    </cfRule>
  </conditionalFormatting>
  <conditionalFormatting sqref="D1273">
    <cfRule type="cellIs" dxfId="1" priority="2778" operator="equal">
      <formula>0</formula>
    </cfRule>
  </conditionalFormatting>
  <conditionalFormatting sqref="D1274">
    <cfRule type="cellIs" dxfId="1" priority="2782" operator="equal">
      <formula>0</formula>
    </cfRule>
  </conditionalFormatting>
  <conditionalFormatting sqref="D1275">
    <cfRule type="cellIs" dxfId="1" priority="2787" operator="equal">
      <formula>0</formula>
    </cfRule>
  </conditionalFormatting>
  <conditionalFormatting sqref="D1276">
    <cfRule type="cellIs" dxfId="1" priority="2791" operator="equal">
      <formula>0</formula>
    </cfRule>
  </conditionalFormatting>
  <conditionalFormatting sqref="D1277">
    <cfRule type="cellIs" dxfId="1" priority="2795" operator="equal">
      <formula>0</formula>
    </cfRule>
  </conditionalFormatting>
  <conditionalFormatting sqref="D1278">
    <cfRule type="cellIs" dxfId="1" priority="2799" operator="equal">
      <formula>0</formula>
    </cfRule>
  </conditionalFormatting>
  <conditionalFormatting sqref="D1279">
    <cfRule type="cellIs" dxfId="1" priority="2803" operator="equal">
      <formula>0</formula>
    </cfRule>
  </conditionalFormatting>
  <conditionalFormatting sqref="D128">
    <cfRule type="cellIs" dxfId="1" priority="233" operator="equal">
      <formula>0</formula>
    </cfRule>
  </conditionalFormatting>
  <conditionalFormatting sqref="D1281">
    <cfRule type="expression" dxfId="0" priority="2808">
      <formula>D1282=0</formula>
    </cfRule>
  </conditionalFormatting>
  <conditionalFormatting sqref="D1282">
    <cfRule type="cellIs" dxfId="1" priority="2816" operator="equal">
      <formula>0</formula>
    </cfRule>
  </conditionalFormatting>
  <conditionalFormatting sqref="D1283">
    <cfRule type="cellIs" dxfId="1" priority="2824" operator="equal">
      <formula>0</formula>
    </cfRule>
  </conditionalFormatting>
  <conditionalFormatting sqref="D1284">
    <cfRule type="cellIs" dxfId="1" priority="2826" operator="equal">
      <formula>0</formula>
    </cfRule>
  </conditionalFormatting>
  <conditionalFormatting sqref="D1290">
    <cfRule type="cellIs" dxfId="1" priority="2838" operator="equal">
      <formula>0</formula>
    </cfRule>
  </conditionalFormatting>
  <conditionalFormatting sqref="D1293">
    <cfRule type="cellIs" dxfId="1" priority="2844" operator="equal">
      <formula>0</formula>
    </cfRule>
  </conditionalFormatting>
  <conditionalFormatting sqref="D1299">
    <cfRule type="expression" dxfId="0" priority="2854">
      <formula>D1300=0</formula>
    </cfRule>
  </conditionalFormatting>
  <conditionalFormatting sqref="D130">
    <cfRule type="cellIs" dxfId="1" priority="237" operator="equal">
      <formula>0</formula>
    </cfRule>
  </conditionalFormatting>
  <conditionalFormatting sqref="D1300">
    <cfRule type="cellIs" dxfId="1" priority="2856" operator="equal">
      <formula>0</formula>
    </cfRule>
  </conditionalFormatting>
  <conditionalFormatting sqref="D1309">
    <cfRule type="cellIs" dxfId="1" priority="2866" operator="equal">
      <formula>0</formula>
    </cfRule>
  </conditionalFormatting>
  <conditionalFormatting sqref="D131">
    <cfRule type="cellIs" dxfId="1" priority="239" operator="equal">
      <formula>0</formula>
    </cfRule>
  </conditionalFormatting>
  <conditionalFormatting sqref="D1312">
    <cfRule type="cellIs" dxfId="1" priority="2870" operator="equal">
      <formula>0</formula>
    </cfRule>
  </conditionalFormatting>
  <conditionalFormatting sqref="D1314">
    <cfRule type="cellIs" dxfId="1" priority="2872" operator="equal">
      <formula>0</formula>
    </cfRule>
  </conditionalFormatting>
  <conditionalFormatting sqref="D1323">
    <cfRule type="expression" dxfId="0" priority="2875">
      <formula>D1324=0</formula>
    </cfRule>
  </conditionalFormatting>
  <conditionalFormatting sqref="D1324">
    <cfRule type="cellIs" dxfId="1" priority="2885" operator="equal">
      <formula>0</formula>
    </cfRule>
  </conditionalFormatting>
  <conditionalFormatting sqref="D1325">
    <cfRule type="cellIs" dxfId="1" priority="2895" operator="equal">
      <formula>0</formula>
    </cfRule>
  </conditionalFormatting>
  <conditionalFormatting sqref="D1326">
    <cfRule type="cellIs" dxfId="1" priority="2899" operator="equal">
      <formula>0</formula>
    </cfRule>
  </conditionalFormatting>
  <conditionalFormatting sqref="D1327">
    <cfRule type="cellIs" dxfId="1" priority="2904" operator="equal">
      <formula>0</formula>
    </cfRule>
  </conditionalFormatting>
  <conditionalFormatting sqref="D1328">
    <cfRule type="cellIs" dxfId="1" priority="2909" operator="equal">
      <formula>0</formula>
    </cfRule>
  </conditionalFormatting>
  <conditionalFormatting sqref="D133">
    <cfRule type="expression" dxfId="0" priority="241">
      <formula>D134=0</formula>
    </cfRule>
  </conditionalFormatting>
  <conditionalFormatting sqref="D1330">
    <cfRule type="cellIs" dxfId="1" priority="2916" operator="equal">
      <formula>0</formula>
    </cfRule>
  </conditionalFormatting>
  <conditionalFormatting sqref="D1331">
    <cfRule type="cellIs" dxfId="1" priority="2921" operator="equal">
      <formula>0</formula>
    </cfRule>
  </conditionalFormatting>
  <conditionalFormatting sqref="D1333">
    <cfRule type="cellIs" dxfId="1" priority="2930" operator="equal">
      <formula>0</formula>
    </cfRule>
  </conditionalFormatting>
  <conditionalFormatting sqref="D1334">
    <cfRule type="cellIs" dxfId="1" priority="2935" operator="equal">
      <formula>0</formula>
    </cfRule>
  </conditionalFormatting>
  <conditionalFormatting sqref="D1335">
    <cfRule type="cellIs" dxfId="1" priority="2940" operator="equal">
      <formula>0</formula>
    </cfRule>
  </conditionalFormatting>
  <conditionalFormatting sqref="D1336">
    <cfRule type="cellIs" dxfId="1" priority="2945" operator="equal">
      <formula>0</formula>
    </cfRule>
  </conditionalFormatting>
  <conditionalFormatting sqref="D1338">
    <cfRule type="cellIs" dxfId="1" priority="2955" operator="equal">
      <formula>0</formula>
    </cfRule>
  </conditionalFormatting>
  <conditionalFormatting sqref="D134">
    <cfRule type="cellIs" dxfId="1" priority="243" operator="equal">
      <formula>0</formula>
    </cfRule>
  </conditionalFormatting>
  <conditionalFormatting sqref="D1340">
    <cfRule type="cellIs" dxfId="1" priority="2965" operator="equal">
      <formula>0</formula>
    </cfRule>
  </conditionalFormatting>
  <conditionalFormatting sqref="D1343">
    <cfRule type="expression" dxfId="0" priority="2974">
      <formula>D1344=0</formula>
    </cfRule>
  </conditionalFormatting>
  <conditionalFormatting sqref="D1344">
    <cfRule type="cellIs" dxfId="1" priority="2981" operator="equal">
      <formula>0</formula>
    </cfRule>
  </conditionalFormatting>
  <conditionalFormatting sqref="D1345">
    <cfRule type="cellIs" dxfId="1" priority="2988" operator="equal">
      <formula>0</formula>
    </cfRule>
  </conditionalFormatting>
  <conditionalFormatting sqref="D1346">
    <cfRule type="cellIs" dxfId="1" priority="2989" operator="equal">
      <formula>0</formula>
    </cfRule>
  </conditionalFormatting>
  <conditionalFormatting sqref="D1348">
    <cfRule type="cellIs" dxfId="1" priority="2993" operator="equal">
      <formula>0</formula>
    </cfRule>
  </conditionalFormatting>
  <conditionalFormatting sqref="D1349">
    <cfRule type="cellIs" dxfId="1" priority="2995" operator="equal">
      <formula>0</formula>
    </cfRule>
  </conditionalFormatting>
  <conditionalFormatting sqref="D135">
    <cfRule type="cellIs" dxfId="1" priority="245" operator="equal">
      <formula>0</formula>
    </cfRule>
  </conditionalFormatting>
  <conditionalFormatting sqref="D1352">
    <cfRule type="cellIs" dxfId="1" priority="2998" operator="equal">
      <formula>0</formula>
    </cfRule>
  </conditionalFormatting>
  <conditionalFormatting sqref="D1354">
    <cfRule type="cellIs" dxfId="1" priority="3002" operator="equal">
      <formula>0</formula>
    </cfRule>
  </conditionalFormatting>
  <conditionalFormatting sqref="D1355">
    <cfRule type="cellIs" dxfId="1" priority="3004" operator="equal">
      <formula>0</formula>
    </cfRule>
  </conditionalFormatting>
  <conditionalFormatting sqref="D1356">
    <cfRule type="cellIs" dxfId="1" priority="3006" operator="equal">
      <formula>0</formula>
    </cfRule>
  </conditionalFormatting>
  <conditionalFormatting sqref="D1357">
    <cfRule type="cellIs" dxfId="1" priority="3008" operator="equal">
      <formula>0</formula>
    </cfRule>
  </conditionalFormatting>
  <conditionalFormatting sqref="D1358">
    <cfRule type="cellIs" dxfId="1" priority="3010" operator="equal">
      <formula>0</formula>
    </cfRule>
  </conditionalFormatting>
  <conditionalFormatting sqref="D1359">
    <cfRule type="cellIs" dxfId="1" priority="3012" operator="equal">
      <formula>0</formula>
    </cfRule>
  </conditionalFormatting>
  <conditionalFormatting sqref="D1360">
    <cfRule type="cellIs" dxfId="1" priority="3014" operator="equal">
      <formula>0</formula>
    </cfRule>
  </conditionalFormatting>
  <conditionalFormatting sqref="D1361">
    <cfRule type="cellIs" dxfId="1" priority="3016" operator="equal">
      <formula>0</formula>
    </cfRule>
  </conditionalFormatting>
  <conditionalFormatting sqref="D1363">
    <cfRule type="expression" dxfId="0" priority="3020">
      <formula>D1364=0</formula>
    </cfRule>
  </conditionalFormatting>
  <conditionalFormatting sqref="D1364">
    <cfRule type="cellIs" dxfId="1" priority="3024" operator="equal">
      <formula>0</formula>
    </cfRule>
  </conditionalFormatting>
  <conditionalFormatting sqref="D1367">
    <cfRule type="cellIs" dxfId="1" priority="3029" operator="equal">
      <formula>0</formula>
    </cfRule>
  </conditionalFormatting>
  <conditionalFormatting sqref="D137">
    <cfRule type="cellIs" dxfId="1" priority="247" operator="equal">
      <formula>0</formula>
    </cfRule>
  </conditionalFormatting>
  <conditionalFormatting sqref="D138">
    <cfRule type="cellIs" dxfId="1" priority="249" operator="equal">
      <formula>0</formula>
    </cfRule>
  </conditionalFormatting>
  <conditionalFormatting sqref="D1389">
    <cfRule type="expression" dxfId="0" priority="3049">
      <formula>D1390=0</formula>
    </cfRule>
  </conditionalFormatting>
  <conditionalFormatting sqref="D139">
    <cfRule type="cellIs" dxfId="1" priority="251" operator="equal">
      <formula>0</formula>
    </cfRule>
  </conditionalFormatting>
  <conditionalFormatting sqref="D1390">
    <cfRule type="cellIs" dxfId="1" priority="3058" operator="equal">
      <formula>0</formula>
    </cfRule>
  </conditionalFormatting>
  <conditionalFormatting sqref="D1391">
    <cfRule type="cellIs" dxfId="1" priority="3067" operator="equal">
      <formula>0</formula>
    </cfRule>
  </conditionalFormatting>
  <conditionalFormatting sqref="D1392">
    <cfRule type="cellIs" dxfId="1" priority="3069" operator="equal">
      <formula>0</formula>
    </cfRule>
  </conditionalFormatting>
  <conditionalFormatting sqref="D1394">
    <cfRule type="cellIs" dxfId="1" priority="3077" operator="equal">
      <formula>0</formula>
    </cfRule>
  </conditionalFormatting>
  <conditionalFormatting sqref="D1395">
    <cfRule type="cellIs" dxfId="1" priority="3080" operator="equal">
      <formula>0</formula>
    </cfRule>
  </conditionalFormatting>
  <conditionalFormatting sqref="D1396">
    <cfRule type="cellIs" dxfId="1" priority="3085" operator="equal">
      <formula>0</formula>
    </cfRule>
  </conditionalFormatting>
  <conditionalFormatting sqref="D1397">
    <cfRule type="cellIs" dxfId="1" priority="3090" operator="equal">
      <formula>0</formula>
    </cfRule>
  </conditionalFormatting>
  <conditionalFormatting sqref="D1398">
    <cfRule type="cellIs" dxfId="1" priority="3094" operator="equal">
      <formula>0</formula>
    </cfRule>
  </conditionalFormatting>
  <conditionalFormatting sqref="D1399">
    <cfRule type="cellIs" dxfId="1" priority="3099" operator="equal">
      <formula>0</formula>
    </cfRule>
  </conditionalFormatting>
  <conditionalFormatting sqref="D1400">
    <cfRule type="cellIs" dxfId="1" priority="3102" operator="equal">
      <formula>0</formula>
    </cfRule>
  </conditionalFormatting>
  <conditionalFormatting sqref="D1401">
    <cfRule type="cellIs" dxfId="1" priority="3107" operator="equal">
      <formula>0</formula>
    </cfRule>
  </conditionalFormatting>
  <conditionalFormatting sqref="D1402">
    <cfRule type="cellIs" dxfId="1" priority="3110" operator="equal">
      <formula>0</formula>
    </cfRule>
  </conditionalFormatting>
  <conditionalFormatting sqref="D1404">
    <cfRule type="expression" dxfId="0" priority="3115">
      <formula>D1405=0</formula>
    </cfRule>
  </conditionalFormatting>
  <conditionalFormatting sqref="D1405">
    <cfRule type="cellIs" dxfId="1" priority="3121" operator="equal">
      <formula>0</formula>
    </cfRule>
  </conditionalFormatting>
  <conditionalFormatting sqref="D1408">
    <cfRule type="cellIs" dxfId="1" priority="3127" operator="equal">
      <formula>0</formula>
    </cfRule>
  </conditionalFormatting>
  <conditionalFormatting sqref="D1413">
    <cfRule type="cellIs" dxfId="1" priority="3135" operator="equal">
      <formula>0</formula>
    </cfRule>
  </conditionalFormatting>
  <conditionalFormatting sqref="D1415">
    <cfRule type="cellIs" dxfId="1" priority="3139" operator="equal">
      <formula>0</formula>
    </cfRule>
  </conditionalFormatting>
  <conditionalFormatting sqref="D1416">
    <cfRule type="cellIs" dxfId="1" priority="3141" operator="equal">
      <formula>0</formula>
    </cfRule>
  </conditionalFormatting>
  <conditionalFormatting sqref="D1419">
    <cfRule type="expression" dxfId="0" priority="3146">
      <formula>D1420=0</formula>
    </cfRule>
  </conditionalFormatting>
  <conditionalFormatting sqref="D1420">
    <cfRule type="cellIs" dxfId="1" priority="3149" operator="equal">
      <formula>0</formula>
    </cfRule>
  </conditionalFormatting>
  <conditionalFormatting sqref="D1423">
    <cfRule type="cellIs" dxfId="1" priority="3153" operator="equal">
      <formula>0</formula>
    </cfRule>
  </conditionalFormatting>
  <conditionalFormatting sqref="D1424">
    <cfRule type="cellIs" dxfId="1" priority="3155" operator="equal">
      <formula>0</formula>
    </cfRule>
  </conditionalFormatting>
  <conditionalFormatting sqref="D1427">
    <cfRule type="cellIs" dxfId="1" priority="3160" operator="equal">
      <formula>0</formula>
    </cfRule>
  </conditionalFormatting>
  <conditionalFormatting sqref="D1428">
    <cfRule type="cellIs" dxfId="1" priority="3162" operator="equal">
      <formula>0</formula>
    </cfRule>
  </conditionalFormatting>
  <conditionalFormatting sqref="D1430">
    <cfRule type="cellIs" dxfId="1" priority="3166" operator="equal">
      <formula>0</formula>
    </cfRule>
  </conditionalFormatting>
  <conditionalFormatting sqref="D1431">
    <cfRule type="cellIs" dxfId="1" priority="3168" operator="equal">
      <formula>0</formula>
    </cfRule>
  </conditionalFormatting>
  <conditionalFormatting sqref="D1440">
    <cfRule type="expression" dxfId="0" priority="3171">
      <formula>D1441=0</formula>
    </cfRule>
  </conditionalFormatting>
  <conditionalFormatting sqref="D1441">
    <cfRule type="cellIs" dxfId="1" priority="3175" operator="equal">
      <formula>0</formula>
    </cfRule>
  </conditionalFormatting>
  <conditionalFormatting sqref="D1442">
    <cfRule type="cellIs" dxfId="1" priority="3179" operator="equal">
      <formula>0</formula>
    </cfRule>
  </conditionalFormatting>
  <conditionalFormatting sqref="D1443">
    <cfRule type="cellIs" dxfId="1" priority="3183" operator="equal">
      <formula>0</formula>
    </cfRule>
  </conditionalFormatting>
  <conditionalFormatting sqref="D1444">
    <cfRule type="cellIs" dxfId="1" priority="3187" operator="equal">
      <formula>0</formula>
    </cfRule>
  </conditionalFormatting>
  <conditionalFormatting sqref="D1445">
    <cfRule type="cellIs" dxfId="1" priority="3191" operator="equal">
      <formula>0</formula>
    </cfRule>
  </conditionalFormatting>
  <conditionalFormatting sqref="D1446">
    <cfRule type="cellIs" dxfId="1" priority="3195" operator="equal">
      <formula>0</formula>
    </cfRule>
  </conditionalFormatting>
  <conditionalFormatting sqref="D1447">
    <cfRule type="cellIs" dxfId="1" priority="3199" operator="equal">
      <formula>0</formula>
    </cfRule>
  </conditionalFormatting>
  <conditionalFormatting sqref="D1448">
    <cfRule type="cellIs" dxfId="1" priority="3203" operator="equal">
      <formula>0</formula>
    </cfRule>
  </conditionalFormatting>
  <conditionalFormatting sqref="D1449">
    <cfRule type="cellIs" dxfId="1" priority="3207" operator="equal">
      <formula>0</formula>
    </cfRule>
  </conditionalFormatting>
  <conditionalFormatting sqref="D1450">
    <cfRule type="cellIs" dxfId="1" priority="3211" operator="equal">
      <formula>0</formula>
    </cfRule>
  </conditionalFormatting>
  <conditionalFormatting sqref="D1452">
    <cfRule type="expression" dxfId="0" priority="3214">
      <formula>D1453=0</formula>
    </cfRule>
  </conditionalFormatting>
  <conditionalFormatting sqref="D1453">
    <cfRule type="cellIs" dxfId="1" priority="3216" operator="equal">
      <formula>0</formula>
    </cfRule>
  </conditionalFormatting>
  <conditionalFormatting sqref="D1454">
    <cfRule type="cellIs" dxfId="1" priority="3218" operator="equal">
      <formula>0</formula>
    </cfRule>
  </conditionalFormatting>
  <conditionalFormatting sqref="D1455">
    <cfRule type="cellIs" dxfId="1" priority="3220" operator="equal">
      <formula>0</formula>
    </cfRule>
  </conditionalFormatting>
  <conditionalFormatting sqref="D1456">
    <cfRule type="cellIs" dxfId="1" priority="3222" operator="equal">
      <formula>0</formula>
    </cfRule>
  </conditionalFormatting>
  <conditionalFormatting sqref="D1457">
    <cfRule type="cellIs" dxfId="1" priority="3224" operator="equal">
      <formula>0</formula>
    </cfRule>
  </conditionalFormatting>
  <conditionalFormatting sqref="D1458">
    <cfRule type="cellIs" dxfId="1" priority="3226" operator="equal">
      <formula>0</formula>
    </cfRule>
  </conditionalFormatting>
  <conditionalFormatting sqref="D1459">
    <cfRule type="cellIs" dxfId="1" priority="3228" operator="equal">
      <formula>0</formula>
    </cfRule>
  </conditionalFormatting>
  <conditionalFormatting sqref="D1460">
    <cfRule type="cellIs" dxfId="1" priority="3230" operator="equal">
      <formula>0</formula>
    </cfRule>
  </conditionalFormatting>
  <conditionalFormatting sqref="D1461">
    <cfRule type="cellIs" dxfId="1" priority="3232" operator="equal">
      <formula>0</formula>
    </cfRule>
  </conditionalFormatting>
  <conditionalFormatting sqref="D1462">
    <cfRule type="cellIs" dxfId="1" priority="3234" operator="equal">
      <formula>0</formula>
    </cfRule>
  </conditionalFormatting>
  <conditionalFormatting sqref="D1464">
    <cfRule type="expression" dxfId="0" priority="3236">
      <formula>D1465=0</formula>
    </cfRule>
  </conditionalFormatting>
  <conditionalFormatting sqref="D1465">
    <cfRule type="cellIs" dxfId="1" priority="3238" operator="equal">
      <formula>0</formula>
    </cfRule>
  </conditionalFormatting>
  <conditionalFormatting sqref="D1466">
    <cfRule type="cellIs" dxfId="1" priority="3240" operator="equal">
      <formula>0</formula>
    </cfRule>
  </conditionalFormatting>
  <conditionalFormatting sqref="D1467">
    <cfRule type="cellIs" dxfId="1" priority="3242" operator="equal">
      <formula>0</formula>
    </cfRule>
  </conditionalFormatting>
  <conditionalFormatting sqref="D1468">
    <cfRule type="cellIs" dxfId="1" priority="3244" operator="equal">
      <formula>0</formula>
    </cfRule>
  </conditionalFormatting>
  <conditionalFormatting sqref="D1469">
    <cfRule type="cellIs" dxfId="1" priority="3245" operator="equal">
      <formula>0</formula>
    </cfRule>
  </conditionalFormatting>
  <conditionalFormatting sqref="D147">
    <cfRule type="expression" dxfId="0" priority="253">
      <formula>D148=0</formula>
    </cfRule>
  </conditionalFormatting>
  <conditionalFormatting sqref="D1470">
    <cfRule type="cellIs" dxfId="1" priority="3246" operator="equal">
      <formula>0</formula>
    </cfRule>
  </conditionalFormatting>
  <conditionalFormatting sqref="D1471">
    <cfRule type="cellIs" dxfId="1" priority="3248" operator="equal">
      <formula>0</formula>
    </cfRule>
  </conditionalFormatting>
  <conditionalFormatting sqref="D1472">
    <cfRule type="cellIs" dxfId="1" priority="3249" operator="equal">
      <formula>0</formula>
    </cfRule>
  </conditionalFormatting>
  <conditionalFormatting sqref="D1473">
    <cfRule type="cellIs" dxfId="1" priority="3251" operator="equal">
      <formula>0</formula>
    </cfRule>
  </conditionalFormatting>
  <conditionalFormatting sqref="D1474">
    <cfRule type="cellIs" dxfId="1" priority="3252" operator="equal">
      <formula>0</formula>
    </cfRule>
  </conditionalFormatting>
  <conditionalFormatting sqref="D148">
    <cfRule type="cellIs" dxfId="1" priority="259" operator="equal">
      <formula>0</formula>
    </cfRule>
  </conditionalFormatting>
  <conditionalFormatting sqref="D1482">
    <cfRule type="expression" dxfId="0" priority="3254">
      <formula>D1483=0</formula>
    </cfRule>
  </conditionalFormatting>
  <conditionalFormatting sqref="D1483">
    <cfRule type="cellIs" dxfId="1" priority="3258" operator="equal">
      <formula>0</formula>
    </cfRule>
  </conditionalFormatting>
  <conditionalFormatting sqref="D1484">
    <cfRule type="cellIs" dxfId="1" priority="3262" operator="equal">
      <formula>0</formula>
    </cfRule>
  </conditionalFormatting>
  <conditionalFormatting sqref="D1485">
    <cfRule type="cellIs" dxfId="1" priority="3266" operator="equal">
      <formula>0</formula>
    </cfRule>
  </conditionalFormatting>
  <conditionalFormatting sqref="D1486">
    <cfRule type="cellIs" dxfId="1" priority="3269" operator="equal">
      <formula>0</formula>
    </cfRule>
  </conditionalFormatting>
  <conditionalFormatting sqref="D1488">
    <cfRule type="expression" dxfId="0" priority="3273">
      <formula>D1489=0</formula>
    </cfRule>
  </conditionalFormatting>
  <conditionalFormatting sqref="D1489">
    <cfRule type="cellIs" dxfId="1" priority="3275" operator="equal">
      <formula>0</formula>
    </cfRule>
  </conditionalFormatting>
  <conditionalFormatting sqref="D149">
    <cfRule type="cellIs" dxfId="1" priority="265" operator="equal">
      <formula>0</formula>
    </cfRule>
  </conditionalFormatting>
  <conditionalFormatting sqref="D1490">
    <cfRule type="cellIs" dxfId="1" priority="3277" operator="equal">
      <formula>0</formula>
    </cfRule>
  </conditionalFormatting>
  <conditionalFormatting sqref="D1491">
    <cfRule type="cellIs" dxfId="1" priority="3279" operator="equal">
      <formula>0</formula>
    </cfRule>
  </conditionalFormatting>
  <conditionalFormatting sqref="D1492">
    <cfRule type="cellIs" dxfId="1" priority="3281" operator="equal">
      <formula>0</formula>
    </cfRule>
  </conditionalFormatting>
  <conditionalFormatting sqref="D1494">
    <cfRule type="expression" dxfId="0" priority="3283">
      <formula>D1495=0</formula>
    </cfRule>
  </conditionalFormatting>
  <conditionalFormatting sqref="D1495">
    <cfRule type="cellIs" dxfId="1" priority="3285" operator="equal">
      <formula>0</formula>
    </cfRule>
  </conditionalFormatting>
  <conditionalFormatting sqref="D1496">
    <cfRule type="cellIs" dxfId="1" priority="3287" operator="equal">
      <formula>0</formula>
    </cfRule>
  </conditionalFormatting>
  <conditionalFormatting sqref="D150">
    <cfRule type="cellIs" dxfId="1" priority="269" operator="equal">
      <formula>0</formula>
    </cfRule>
  </conditionalFormatting>
  <conditionalFormatting sqref="D1506">
    <cfRule type="expression" dxfId="0" priority="3291">
      <formula>D1507=0</formula>
    </cfRule>
  </conditionalFormatting>
  <conditionalFormatting sqref="D1507">
    <cfRule type="cellIs" dxfId="1" priority="3295" operator="equal">
      <formula>0</formula>
    </cfRule>
  </conditionalFormatting>
  <conditionalFormatting sqref="D1508">
    <cfRule type="cellIs" dxfId="1" priority="3299" operator="equal">
      <formula>0</formula>
    </cfRule>
  </conditionalFormatting>
  <conditionalFormatting sqref="D1509">
    <cfRule type="cellIs" dxfId="1" priority="3303" operator="equal">
      <formula>0</formula>
    </cfRule>
  </conditionalFormatting>
  <conditionalFormatting sqref="D151">
    <cfRule type="cellIs" dxfId="1" priority="273" operator="equal">
      <formula>0</formula>
    </cfRule>
  </conditionalFormatting>
  <conditionalFormatting sqref="D1511">
    <cfRule type="expression" dxfId="0" priority="3307">
      <formula>D1512=0</formula>
    </cfRule>
  </conditionalFormatting>
  <conditionalFormatting sqref="D1512">
    <cfRule type="cellIs" dxfId="1" priority="3310" operator="equal">
      <formula>0</formula>
    </cfRule>
  </conditionalFormatting>
  <conditionalFormatting sqref="D1513">
    <cfRule type="cellIs" dxfId="1" priority="3313" operator="equal">
      <formula>0</formula>
    </cfRule>
  </conditionalFormatting>
  <conditionalFormatting sqref="D1514">
    <cfRule type="cellIs" dxfId="1" priority="3314" operator="equal">
      <formula>0</formula>
    </cfRule>
  </conditionalFormatting>
  <conditionalFormatting sqref="D152">
    <cfRule type="cellIs" dxfId="1" priority="277" operator="equal">
      <formula>0</formula>
    </cfRule>
  </conditionalFormatting>
  <conditionalFormatting sqref="D1527">
    <cfRule type="expression" dxfId="0" priority="3321">
      <formula>D1528=0</formula>
    </cfRule>
  </conditionalFormatting>
  <conditionalFormatting sqref="D1528">
    <cfRule type="cellIs" dxfId="1" priority="3330" operator="equal">
      <formula>0</formula>
    </cfRule>
  </conditionalFormatting>
  <conditionalFormatting sqref="D1529">
    <cfRule type="cellIs" dxfId="1" priority="3339" operator="equal">
      <formula>0</formula>
    </cfRule>
  </conditionalFormatting>
  <conditionalFormatting sqref="D153">
    <cfRule type="cellIs" dxfId="1" priority="281" operator="equal">
      <formula>0</formula>
    </cfRule>
  </conditionalFormatting>
  <conditionalFormatting sqref="D1530">
    <cfRule type="cellIs" dxfId="1" priority="3342" operator="equal">
      <formula>0</formula>
    </cfRule>
  </conditionalFormatting>
  <conditionalFormatting sqref="D1531">
    <cfRule type="cellIs" dxfId="1" priority="3347" operator="equal">
      <formula>0</formula>
    </cfRule>
  </conditionalFormatting>
  <conditionalFormatting sqref="D1532">
    <cfRule type="cellIs" dxfId="1" priority="3350" operator="equal">
      <formula>0</formula>
    </cfRule>
  </conditionalFormatting>
  <conditionalFormatting sqref="D1534">
    <cfRule type="cellIs" dxfId="1" priority="3358" operator="equal">
      <formula>0</formula>
    </cfRule>
  </conditionalFormatting>
  <conditionalFormatting sqref="D1535">
    <cfRule type="cellIs" dxfId="1" priority="3361" operator="equal">
      <formula>0</formula>
    </cfRule>
  </conditionalFormatting>
  <conditionalFormatting sqref="D1536">
    <cfRule type="cellIs" dxfId="1" priority="3366" operator="equal">
      <formula>0</formula>
    </cfRule>
  </conditionalFormatting>
  <conditionalFormatting sqref="D1537">
    <cfRule type="cellIs" dxfId="1" priority="3371" operator="equal">
      <formula>0</formula>
    </cfRule>
  </conditionalFormatting>
  <conditionalFormatting sqref="D1538">
    <cfRule type="cellIs" dxfId="1" priority="3375" operator="equal">
      <formula>0</formula>
    </cfRule>
  </conditionalFormatting>
  <conditionalFormatting sqref="D1539">
    <cfRule type="cellIs" dxfId="1" priority="3380" operator="equal">
      <formula>0</formula>
    </cfRule>
  </conditionalFormatting>
  <conditionalFormatting sqref="D154">
    <cfRule type="cellIs" dxfId="1" priority="285" operator="equal">
      <formula>0</formula>
    </cfRule>
  </conditionalFormatting>
  <conditionalFormatting sqref="D1540">
    <cfRule type="cellIs" dxfId="1" priority="3382" operator="equal">
      <formula>0</formula>
    </cfRule>
  </conditionalFormatting>
  <conditionalFormatting sqref="D1542">
    <cfRule type="expression" dxfId="0" priority="3387">
      <formula>D1543=0</formula>
    </cfRule>
  </conditionalFormatting>
  <conditionalFormatting sqref="D1543">
    <cfRule type="cellIs" dxfId="1" priority="3394" operator="equal">
      <formula>0</formula>
    </cfRule>
  </conditionalFormatting>
  <conditionalFormatting sqref="D1546">
    <cfRule type="cellIs" dxfId="1" priority="3401" operator="equal">
      <formula>0</formula>
    </cfRule>
  </conditionalFormatting>
  <conditionalFormatting sqref="D1547">
    <cfRule type="cellIs" dxfId="1" priority="3402" operator="equal">
      <formula>0</formula>
    </cfRule>
  </conditionalFormatting>
  <conditionalFormatting sqref="D155">
    <cfRule type="cellIs" dxfId="1" priority="290" operator="equal">
      <formula>0</formula>
    </cfRule>
  </conditionalFormatting>
  <conditionalFormatting sqref="D1557">
    <cfRule type="expression" dxfId="0" priority="3418">
      <formula>D1558=0</formula>
    </cfRule>
  </conditionalFormatting>
  <conditionalFormatting sqref="D1558">
    <cfRule type="cellIs" dxfId="1" priority="3420" operator="equal">
      <formula>0</formula>
    </cfRule>
  </conditionalFormatting>
  <conditionalFormatting sqref="D156">
    <cfRule type="cellIs" dxfId="1" priority="294" operator="equal">
      <formula>0</formula>
    </cfRule>
  </conditionalFormatting>
  <conditionalFormatting sqref="D1564">
    <cfRule type="cellIs" dxfId="1" priority="3427" operator="equal">
      <formula>0</formula>
    </cfRule>
  </conditionalFormatting>
  <conditionalFormatting sqref="D1567">
    <cfRule type="cellIs" dxfId="1" priority="3431" operator="equal">
      <formula>0</formula>
    </cfRule>
  </conditionalFormatting>
  <conditionalFormatting sqref="D157">
    <cfRule type="cellIs" dxfId="1" priority="298" operator="equal">
      <formula>0</formula>
    </cfRule>
  </conditionalFormatting>
  <conditionalFormatting sqref="D1570">
    <cfRule type="cellIs" dxfId="1" priority="3435" operator="equal">
      <formula>0</formula>
    </cfRule>
  </conditionalFormatting>
  <conditionalFormatting sqref="D1578">
    <cfRule type="expression" dxfId="0" priority="3437">
      <formula>D1579=0</formula>
    </cfRule>
  </conditionalFormatting>
  <conditionalFormatting sqref="D1579">
    <cfRule type="cellIs" dxfId="1" priority="3442" operator="equal">
      <formula>0</formula>
    </cfRule>
  </conditionalFormatting>
  <conditionalFormatting sqref="D158">
    <cfRule type="cellIs" dxfId="1" priority="301" operator="equal">
      <formula>0</formula>
    </cfRule>
  </conditionalFormatting>
  <conditionalFormatting sqref="D1580">
    <cfRule type="cellIs" dxfId="1" priority="3447" operator="equal">
      <formula>0</formula>
    </cfRule>
  </conditionalFormatting>
  <conditionalFormatting sqref="D1581">
    <cfRule type="cellIs" dxfId="1" priority="3450" operator="equal">
      <formula>0</formula>
    </cfRule>
  </conditionalFormatting>
  <conditionalFormatting sqref="D1582">
    <cfRule type="cellIs" dxfId="1" priority="3454" operator="equal">
      <formula>0</formula>
    </cfRule>
  </conditionalFormatting>
  <conditionalFormatting sqref="D1583">
    <cfRule type="cellIs" dxfId="1" priority="3458" operator="equal">
      <formula>0</formula>
    </cfRule>
  </conditionalFormatting>
  <conditionalFormatting sqref="D1585">
    <cfRule type="expression" dxfId="0" priority="3463">
      <formula>D1586=0</formula>
    </cfRule>
  </conditionalFormatting>
  <conditionalFormatting sqref="D1586">
    <cfRule type="cellIs" dxfId="1" priority="3466" operator="equal">
      <formula>0</formula>
    </cfRule>
  </conditionalFormatting>
  <conditionalFormatting sqref="D1587">
    <cfRule type="cellIs" dxfId="1" priority="3469" operator="equal">
      <formula>0</formula>
    </cfRule>
  </conditionalFormatting>
  <conditionalFormatting sqref="D1588">
    <cfRule type="cellIs" dxfId="1" priority="3471" operator="equal">
      <formula>0</formula>
    </cfRule>
  </conditionalFormatting>
  <conditionalFormatting sqref="D1589">
    <cfRule type="cellIs" dxfId="1" priority="3473" operator="equal">
      <formula>0</formula>
    </cfRule>
  </conditionalFormatting>
  <conditionalFormatting sqref="D1590">
    <cfRule type="cellIs" dxfId="1" priority="3474" operator="equal">
      <formula>0</formula>
    </cfRule>
  </conditionalFormatting>
  <conditionalFormatting sqref="D1592">
    <cfRule type="expression" dxfId="0" priority="3477">
      <formula>D1593=0</formula>
    </cfRule>
  </conditionalFormatting>
  <conditionalFormatting sqref="D1593">
    <cfRule type="cellIs" dxfId="1" priority="3479" operator="equal">
      <formula>0</formula>
    </cfRule>
  </conditionalFormatting>
  <conditionalFormatting sqref="D1594">
    <cfRule type="cellIs" dxfId="1" priority="3481" operator="equal">
      <formula>0</formula>
    </cfRule>
  </conditionalFormatting>
  <conditionalFormatting sqref="D1595">
    <cfRule type="cellIs" dxfId="1" priority="3483" operator="equal">
      <formula>0</formula>
    </cfRule>
  </conditionalFormatting>
  <conditionalFormatting sqref="D1596">
    <cfRule type="cellIs" dxfId="1" priority="3485" operator="equal">
      <formula>0</formula>
    </cfRule>
  </conditionalFormatting>
  <conditionalFormatting sqref="D1597">
    <cfRule type="cellIs" dxfId="1" priority="3486" operator="equal">
      <formula>0</formula>
    </cfRule>
  </conditionalFormatting>
  <conditionalFormatting sqref="D160">
    <cfRule type="expression" dxfId="0" priority="305">
      <formula>D161=0</formula>
    </cfRule>
  </conditionalFormatting>
  <conditionalFormatting sqref="D1605">
    <cfRule type="expression" dxfId="0" priority="3488">
      <formula>D1606=0</formula>
    </cfRule>
  </conditionalFormatting>
  <conditionalFormatting sqref="D1606">
    <cfRule type="cellIs" dxfId="1" priority="3495" operator="equal">
      <formula>0</formula>
    </cfRule>
  </conditionalFormatting>
  <conditionalFormatting sqref="D1607">
    <cfRule type="cellIs" dxfId="1" priority="3502" operator="equal">
      <formula>0</formula>
    </cfRule>
  </conditionalFormatting>
  <conditionalFormatting sqref="D1608">
    <cfRule type="cellIs" dxfId="1" priority="3507" operator="equal">
      <formula>0</formula>
    </cfRule>
  </conditionalFormatting>
  <conditionalFormatting sqref="D161">
    <cfRule type="cellIs" dxfId="1" priority="314" operator="equal">
      <formula>0</formula>
    </cfRule>
  </conditionalFormatting>
  <conditionalFormatting sqref="D1611">
    <cfRule type="expression" dxfId="0" priority="3515">
      <formula>D1612=0</formula>
    </cfRule>
  </conditionalFormatting>
  <conditionalFormatting sqref="D1612">
    <cfRule type="cellIs" dxfId="1" priority="3517" operator="equal">
      <formula>0</formula>
    </cfRule>
  </conditionalFormatting>
  <conditionalFormatting sqref="D1613">
    <cfRule type="cellIs" dxfId="1" priority="3519" operator="equal">
      <formula>0</formula>
    </cfRule>
  </conditionalFormatting>
  <conditionalFormatting sqref="D1614">
    <cfRule type="cellIs" dxfId="1" priority="3521" operator="equal">
      <formula>0</formula>
    </cfRule>
  </conditionalFormatting>
  <conditionalFormatting sqref="D1615">
    <cfRule type="cellIs" dxfId="1" priority="3523" operator="equal">
      <formula>0</formula>
    </cfRule>
  </conditionalFormatting>
  <conditionalFormatting sqref="D162">
    <cfRule type="cellIs" dxfId="1" priority="323" operator="equal">
      <formula>0</formula>
    </cfRule>
  </conditionalFormatting>
  <conditionalFormatting sqref="D164">
    <cfRule type="cellIs" dxfId="1" priority="326" operator="equal">
      <formula>0</formula>
    </cfRule>
  </conditionalFormatting>
  <conditionalFormatting sqref="D173">
    <cfRule type="expression" dxfId="0" priority="341">
      <formula>D174=0</formula>
    </cfRule>
  </conditionalFormatting>
  <conditionalFormatting sqref="D174">
    <cfRule type="cellIs" dxfId="1" priority="345" operator="equal">
      <formula>0</formula>
    </cfRule>
  </conditionalFormatting>
  <conditionalFormatting sqref="D176">
    <cfRule type="cellIs" dxfId="1" priority="349" operator="equal">
      <formula>0</formula>
    </cfRule>
  </conditionalFormatting>
  <conditionalFormatting sqref="D177">
    <cfRule type="cellIs" dxfId="1" priority="350" operator="equal">
      <formula>0</formula>
    </cfRule>
  </conditionalFormatting>
  <conditionalFormatting sqref="D178">
    <cfRule type="cellIs" dxfId="1" priority="351" operator="equal">
      <formula>0</formula>
    </cfRule>
  </conditionalFormatting>
  <conditionalFormatting sqref="D179">
    <cfRule type="cellIs" dxfId="1" priority="352" operator="equal">
      <formula>0</formula>
    </cfRule>
  </conditionalFormatting>
  <conditionalFormatting sqref="D180">
    <cfRule type="cellIs" dxfId="1" priority="353" operator="equal">
      <formula>0</formula>
    </cfRule>
  </conditionalFormatting>
  <conditionalFormatting sqref="D181">
    <cfRule type="cellIs" dxfId="1" priority="354" operator="equal">
      <formula>0</formula>
    </cfRule>
  </conditionalFormatting>
  <conditionalFormatting sqref="D183">
    <cfRule type="cellIs" dxfId="1" priority="356" operator="equal">
      <formula>0</formula>
    </cfRule>
  </conditionalFormatting>
  <conditionalFormatting sqref="D184">
    <cfRule type="cellIs" dxfId="1" priority="357" operator="equal">
      <formula>0</formula>
    </cfRule>
  </conditionalFormatting>
  <conditionalFormatting sqref="D192">
    <cfRule type="expression" dxfId="0" priority="360">
      <formula>D193=0</formula>
    </cfRule>
  </conditionalFormatting>
  <conditionalFormatting sqref="D193">
    <cfRule type="cellIs" dxfId="1" priority="371" operator="equal">
      <formula>0</formula>
    </cfRule>
  </conditionalFormatting>
  <conditionalFormatting sqref="D194">
    <cfRule type="cellIs" dxfId="1" priority="382" operator="equal">
      <formula>0</formula>
    </cfRule>
  </conditionalFormatting>
  <conditionalFormatting sqref="D195">
    <cfRule type="cellIs" dxfId="1" priority="386" operator="equal">
      <formula>0</formula>
    </cfRule>
  </conditionalFormatting>
  <conditionalFormatting sqref="D197">
    <cfRule type="cellIs" dxfId="1" priority="394" operator="equal">
      <formula>0</formula>
    </cfRule>
  </conditionalFormatting>
  <conditionalFormatting sqref="D198">
    <cfRule type="cellIs" dxfId="1" priority="399" operator="equal">
      <formula>0</formula>
    </cfRule>
  </conditionalFormatting>
  <conditionalFormatting sqref="D199">
    <cfRule type="cellIs" dxfId="1" priority="404" operator="equal">
      <formula>0</formula>
    </cfRule>
  </conditionalFormatting>
  <conditionalFormatting sqref="D200">
    <cfRule type="cellIs" dxfId="1" priority="409" operator="equal">
      <formula>0</formula>
    </cfRule>
  </conditionalFormatting>
  <conditionalFormatting sqref="D203">
    <cfRule type="cellIs" dxfId="1" priority="423" operator="equal">
      <formula>0</formula>
    </cfRule>
  </conditionalFormatting>
  <conditionalFormatting sqref="D204">
    <cfRule type="cellIs" dxfId="1" priority="426" operator="equal">
      <formula>0</formula>
    </cfRule>
  </conditionalFormatting>
  <conditionalFormatting sqref="D206">
    <cfRule type="cellIs" dxfId="1" priority="435" operator="equal">
      <formula>0</formula>
    </cfRule>
  </conditionalFormatting>
  <conditionalFormatting sqref="D213">
    <cfRule type="expression" dxfId="0" priority="458">
      <formula>D214=0</formula>
    </cfRule>
  </conditionalFormatting>
  <conditionalFormatting sqref="D214">
    <cfRule type="cellIs" dxfId="1" priority="464" operator="equal">
      <formula>0</formula>
    </cfRule>
  </conditionalFormatting>
  <conditionalFormatting sqref="D215">
    <cfRule type="cellIs" dxfId="1" priority="470" operator="equal">
      <formula>0</formula>
    </cfRule>
  </conditionalFormatting>
  <conditionalFormatting sqref="D219">
    <cfRule type="cellIs" dxfId="1" priority="475" operator="equal">
      <formula>0</formula>
    </cfRule>
  </conditionalFormatting>
  <conditionalFormatting sqref="D225">
    <cfRule type="cellIs" dxfId="1" priority="485" operator="equal">
      <formula>0</formula>
    </cfRule>
  </conditionalFormatting>
  <conditionalFormatting sqref="D227">
    <cfRule type="cellIs" dxfId="1" priority="487" operator="equal">
      <formula>0</formula>
    </cfRule>
  </conditionalFormatting>
  <conditionalFormatting sqref="D228">
    <cfRule type="cellIs" dxfId="1" priority="488" operator="equal">
      <formula>0</formula>
    </cfRule>
  </conditionalFormatting>
  <conditionalFormatting sqref="D232">
    <cfRule type="cellIs" dxfId="1" priority="494" operator="equal">
      <formula>0</formula>
    </cfRule>
  </conditionalFormatting>
  <conditionalFormatting sqref="D234">
    <cfRule type="expression" dxfId="0" priority="496">
      <formula>D235=0</formula>
    </cfRule>
  </conditionalFormatting>
  <conditionalFormatting sqref="D235">
    <cfRule type="cellIs" dxfId="1" priority="498" operator="equal">
      <formula>0</formula>
    </cfRule>
  </conditionalFormatting>
  <conditionalFormatting sqref="D236">
    <cfRule type="cellIs" dxfId="1" priority="500" operator="equal">
      <formula>0</formula>
    </cfRule>
  </conditionalFormatting>
  <conditionalFormatting sqref="D237">
    <cfRule type="cellIs" dxfId="1" priority="501" operator="equal">
      <formula>0</formula>
    </cfRule>
  </conditionalFormatting>
  <conditionalFormatting sqref="D238">
    <cfRule type="cellIs" dxfId="1" priority="502" operator="equal">
      <formula>0</formula>
    </cfRule>
  </conditionalFormatting>
  <conditionalFormatting sqref="D239">
    <cfRule type="cellIs" dxfId="1" priority="503" operator="equal">
      <formula>0</formula>
    </cfRule>
  </conditionalFormatting>
  <conditionalFormatting sqref="D240">
    <cfRule type="cellIs" dxfId="1" priority="504" operator="equal">
      <formula>0</formula>
    </cfRule>
  </conditionalFormatting>
  <conditionalFormatting sqref="D241">
    <cfRule type="cellIs" dxfId="1" priority="505" operator="equal">
      <formula>0</formula>
    </cfRule>
  </conditionalFormatting>
  <conditionalFormatting sqref="D242">
    <cfRule type="cellIs" dxfId="1" priority="506" operator="equal">
      <formula>0</formula>
    </cfRule>
  </conditionalFormatting>
  <conditionalFormatting sqref="D243">
    <cfRule type="cellIs" dxfId="1" priority="507" operator="equal">
      <formula>0</formula>
    </cfRule>
  </conditionalFormatting>
  <conditionalFormatting sqref="D244">
    <cfRule type="cellIs" dxfId="1" priority="508" operator="equal">
      <formula>0</formula>
    </cfRule>
  </conditionalFormatting>
  <conditionalFormatting sqref="D245">
    <cfRule type="cellIs" dxfId="1" priority="509" operator="equal">
      <formula>0</formula>
    </cfRule>
  </conditionalFormatting>
  <conditionalFormatting sqref="D246">
    <cfRule type="cellIs" dxfId="1" priority="511" operator="equal">
      <formula>0</formula>
    </cfRule>
  </conditionalFormatting>
  <conditionalFormatting sqref="D247">
    <cfRule type="cellIs" dxfId="1" priority="512" operator="equal">
      <formula>0</formula>
    </cfRule>
  </conditionalFormatting>
  <conditionalFormatting sqref="D248">
    <cfRule type="cellIs" dxfId="1" priority="513" operator="equal">
      <formula>0</formula>
    </cfRule>
  </conditionalFormatting>
  <conditionalFormatting sqref="D249">
    <cfRule type="cellIs" dxfId="1" priority="514" operator="equal">
      <formula>0</formula>
    </cfRule>
  </conditionalFormatting>
  <conditionalFormatting sqref="D250">
    <cfRule type="cellIs" dxfId="1" priority="515" operator="equal">
      <formula>0</formula>
    </cfRule>
  </conditionalFormatting>
  <conditionalFormatting sqref="D251">
    <cfRule type="cellIs" dxfId="1" priority="516" operator="equal">
      <formula>0</formula>
    </cfRule>
  </conditionalFormatting>
  <conditionalFormatting sqref="D252">
    <cfRule type="cellIs" dxfId="1" priority="517" operator="equal">
      <formula>0</formula>
    </cfRule>
  </conditionalFormatting>
  <conditionalFormatting sqref="D253">
    <cfRule type="cellIs" dxfId="1" priority="518" operator="equal">
      <formula>0</formula>
    </cfRule>
  </conditionalFormatting>
  <conditionalFormatting sqref="D261">
    <cfRule type="expression" dxfId="0" priority="520">
      <formula>D262=0</formula>
    </cfRule>
  </conditionalFormatting>
  <conditionalFormatting sqref="D262">
    <cfRule type="cellIs" dxfId="1" priority="524" operator="equal">
      <formula>0</formula>
    </cfRule>
  </conditionalFormatting>
  <conditionalFormatting sqref="D263">
    <cfRule type="cellIs" dxfId="1" priority="528" operator="equal">
      <formula>0</formula>
    </cfRule>
  </conditionalFormatting>
  <conditionalFormatting sqref="D264">
    <cfRule type="cellIs" dxfId="1" priority="532" operator="equal">
      <formula>0</formula>
    </cfRule>
  </conditionalFormatting>
  <conditionalFormatting sqref="D266">
    <cfRule type="expression" dxfId="0" priority="536">
      <formula>D267=0</formula>
    </cfRule>
  </conditionalFormatting>
  <conditionalFormatting sqref="D267">
    <cfRule type="cellIs" dxfId="1" priority="538" operator="equal">
      <formula>0</formula>
    </cfRule>
  </conditionalFormatting>
  <conditionalFormatting sqref="D268">
    <cfRule type="cellIs" dxfId="1" priority="540" operator="equal">
      <formula>0</formula>
    </cfRule>
  </conditionalFormatting>
  <conditionalFormatting sqref="D269">
    <cfRule type="cellIs" dxfId="1" priority="542" operator="equal">
      <formula>0</formula>
    </cfRule>
  </conditionalFormatting>
  <conditionalFormatting sqref="D27">
    <cfRule type="expression" dxfId="0" priority="2">
      <formula>D28=0</formula>
    </cfRule>
  </conditionalFormatting>
  <conditionalFormatting sqref="D271">
    <cfRule type="expression" dxfId="0" priority="544">
      <formula>D272=0</formula>
    </cfRule>
  </conditionalFormatting>
  <conditionalFormatting sqref="D272">
    <cfRule type="cellIs" dxfId="1" priority="546" operator="equal">
      <formula>0</formula>
    </cfRule>
  </conditionalFormatting>
  <conditionalFormatting sqref="D274">
    <cfRule type="cellIs" dxfId="1" priority="549" operator="equal">
      <formula>0</formula>
    </cfRule>
  </conditionalFormatting>
  <conditionalFormatting sqref="D28">
    <cfRule type="cellIs" dxfId="1" priority="8" operator="equal">
      <formula>0</formula>
    </cfRule>
  </conditionalFormatting>
  <conditionalFormatting sqref="D282">
    <cfRule type="expression" dxfId="0" priority="551">
      <formula>D283=0</formula>
    </cfRule>
  </conditionalFormatting>
  <conditionalFormatting sqref="D283">
    <cfRule type="cellIs" dxfId="1" priority="559" operator="equal">
      <formula>0</formula>
    </cfRule>
  </conditionalFormatting>
  <conditionalFormatting sqref="D284">
    <cfRule type="cellIs" dxfId="1" priority="567" operator="equal">
      <formula>0</formula>
    </cfRule>
  </conditionalFormatting>
  <conditionalFormatting sqref="D285">
    <cfRule type="cellIs" dxfId="1" priority="573" operator="equal">
      <formula>0</formula>
    </cfRule>
  </conditionalFormatting>
  <conditionalFormatting sqref="D286">
    <cfRule type="cellIs" dxfId="1" priority="577" operator="equal">
      <formula>0</formula>
    </cfRule>
  </conditionalFormatting>
  <conditionalFormatting sqref="D287">
    <cfRule type="cellIs" dxfId="1" priority="581" operator="equal">
      <formula>0</formula>
    </cfRule>
  </conditionalFormatting>
  <conditionalFormatting sqref="D288">
    <cfRule type="cellIs" dxfId="1" priority="585" operator="equal">
      <formula>0</formula>
    </cfRule>
  </conditionalFormatting>
  <conditionalFormatting sqref="D289">
    <cfRule type="cellIs" dxfId="1" priority="589" operator="equal">
      <formula>0</formula>
    </cfRule>
  </conditionalFormatting>
  <conditionalFormatting sqref="D29">
    <cfRule type="cellIs" dxfId="1" priority="14" operator="equal">
      <formula>0</formula>
    </cfRule>
  </conditionalFormatting>
  <conditionalFormatting sqref="D290">
    <cfRule type="cellIs" dxfId="1" priority="593" operator="equal">
      <formula>0</formula>
    </cfRule>
  </conditionalFormatting>
  <conditionalFormatting sqref="D291">
    <cfRule type="cellIs" dxfId="1" priority="597" operator="equal">
      <formula>0</formula>
    </cfRule>
  </conditionalFormatting>
  <conditionalFormatting sqref="D292">
    <cfRule type="cellIs" dxfId="1" priority="601" operator="equal">
      <formula>0</formula>
    </cfRule>
  </conditionalFormatting>
  <conditionalFormatting sqref="D293">
    <cfRule type="cellIs" dxfId="1" priority="605" operator="equal">
      <formula>0</formula>
    </cfRule>
  </conditionalFormatting>
  <conditionalFormatting sqref="D294">
    <cfRule type="cellIs" dxfId="1" priority="608" operator="equal">
      <formula>0</formula>
    </cfRule>
  </conditionalFormatting>
  <conditionalFormatting sqref="D295">
    <cfRule type="cellIs" dxfId="1" priority="612" operator="equal">
      <formula>0</formula>
    </cfRule>
  </conditionalFormatting>
  <conditionalFormatting sqref="D296">
    <cfRule type="cellIs" dxfId="1" priority="616" operator="equal">
      <formula>0</formula>
    </cfRule>
  </conditionalFormatting>
  <conditionalFormatting sqref="D297">
    <cfRule type="cellIs" dxfId="1" priority="620" operator="equal">
      <formula>0</formula>
    </cfRule>
  </conditionalFormatting>
  <conditionalFormatting sqref="D298">
    <cfRule type="cellIs" dxfId="1" priority="623" operator="equal">
      <formula>0</formula>
    </cfRule>
  </conditionalFormatting>
  <conditionalFormatting sqref="D299">
    <cfRule type="cellIs" dxfId="1" priority="627" operator="equal">
      <formula>0</formula>
    </cfRule>
  </conditionalFormatting>
  <conditionalFormatting sqref="D30">
    <cfRule type="cellIs" dxfId="1" priority="18" operator="equal">
      <formula>0</formula>
    </cfRule>
  </conditionalFormatting>
  <conditionalFormatting sqref="D300">
    <cfRule type="cellIs" dxfId="1" priority="632" operator="equal">
      <formula>0</formula>
    </cfRule>
  </conditionalFormatting>
  <conditionalFormatting sqref="D301">
    <cfRule type="cellIs" dxfId="1" priority="637" operator="equal">
      <formula>0</formula>
    </cfRule>
  </conditionalFormatting>
  <conditionalFormatting sqref="D302">
    <cfRule type="cellIs" dxfId="1" priority="642" operator="equal">
      <formula>0</formula>
    </cfRule>
  </conditionalFormatting>
  <conditionalFormatting sqref="D303">
    <cfRule type="cellIs" dxfId="1" priority="646" operator="equal">
      <formula>0</formula>
    </cfRule>
  </conditionalFormatting>
  <conditionalFormatting sqref="D304">
    <cfRule type="cellIs" dxfId="1" priority="650" operator="equal">
      <formula>0</formula>
    </cfRule>
  </conditionalFormatting>
  <conditionalFormatting sqref="D305">
    <cfRule type="cellIs" dxfId="1" priority="654" operator="equal">
      <formula>0</formula>
    </cfRule>
  </conditionalFormatting>
  <conditionalFormatting sqref="D306">
    <cfRule type="cellIs" dxfId="1" priority="658" operator="equal">
      <formula>0</formula>
    </cfRule>
  </conditionalFormatting>
  <conditionalFormatting sqref="D307">
    <cfRule type="cellIs" dxfId="1" priority="662" operator="equal">
      <formula>0</formula>
    </cfRule>
  </conditionalFormatting>
  <conditionalFormatting sqref="D309">
    <cfRule type="expression" dxfId="0" priority="667">
      <formula>D310=0</formula>
    </cfRule>
  </conditionalFormatting>
  <conditionalFormatting sqref="D31">
    <cfRule type="cellIs" dxfId="1" priority="22" operator="equal">
      <formula>0</formula>
    </cfRule>
  </conditionalFormatting>
  <conditionalFormatting sqref="D310">
    <cfRule type="cellIs" dxfId="1" priority="675" operator="equal">
      <formula>0</formula>
    </cfRule>
  </conditionalFormatting>
  <conditionalFormatting sqref="D311">
    <cfRule type="cellIs" dxfId="1" priority="683" operator="equal">
      <formula>0</formula>
    </cfRule>
  </conditionalFormatting>
  <conditionalFormatting sqref="D313">
    <cfRule type="cellIs" dxfId="1" priority="687" operator="equal">
      <formula>0</formula>
    </cfRule>
  </conditionalFormatting>
  <conditionalFormatting sqref="D32">
    <cfRule type="cellIs" dxfId="1" priority="26" operator="equal">
      <formula>0</formula>
    </cfRule>
  </conditionalFormatting>
  <conditionalFormatting sqref="D321">
    <cfRule type="cellIs" dxfId="1" priority="703" operator="equal">
      <formula>0</formula>
    </cfRule>
  </conditionalFormatting>
  <conditionalFormatting sqref="D328">
    <cfRule type="cellIs" dxfId="1" priority="716" operator="equal">
      <formula>0</formula>
    </cfRule>
  </conditionalFormatting>
  <conditionalFormatting sqref="D33">
    <cfRule type="cellIs" dxfId="1" priority="30" operator="equal">
      <formula>0</formula>
    </cfRule>
  </conditionalFormatting>
  <conditionalFormatting sqref="D336">
    <cfRule type="expression" dxfId="0" priority="730">
      <formula>D337=0</formula>
    </cfRule>
  </conditionalFormatting>
  <conditionalFormatting sqref="D337">
    <cfRule type="cellIs" dxfId="1" priority="733" operator="equal">
      <formula>0</formula>
    </cfRule>
  </conditionalFormatting>
  <conditionalFormatting sqref="D349">
    <cfRule type="cellIs" dxfId="1" priority="747" operator="equal">
      <formula>0</formula>
    </cfRule>
  </conditionalFormatting>
  <conditionalFormatting sqref="D35">
    <cfRule type="expression" dxfId="0" priority="34">
      <formula>D36=0</formula>
    </cfRule>
  </conditionalFormatting>
  <conditionalFormatting sqref="D356">
    <cfRule type="cellIs" dxfId="1" priority="755" operator="equal">
      <formula>0</formula>
    </cfRule>
  </conditionalFormatting>
  <conditionalFormatting sqref="D36">
    <cfRule type="cellIs" dxfId="1" priority="37" operator="equal">
      <formula>0</formula>
    </cfRule>
  </conditionalFormatting>
  <conditionalFormatting sqref="D360">
    <cfRule type="cellIs" dxfId="1" priority="760" operator="equal">
      <formula>0</formula>
    </cfRule>
  </conditionalFormatting>
  <conditionalFormatting sqref="D369">
    <cfRule type="expression" dxfId="0" priority="763">
      <formula>D370=0</formula>
    </cfRule>
  </conditionalFormatting>
  <conditionalFormatting sqref="D37">
    <cfRule type="cellIs" dxfId="1" priority="40" operator="equal">
      <formula>0</formula>
    </cfRule>
  </conditionalFormatting>
  <conditionalFormatting sqref="D370">
    <cfRule type="cellIs" dxfId="1" priority="770" operator="equal">
      <formula>0</formula>
    </cfRule>
  </conditionalFormatting>
  <conditionalFormatting sqref="D371">
    <cfRule type="cellIs" dxfId="1" priority="777" operator="equal">
      <formula>0</formula>
    </cfRule>
  </conditionalFormatting>
  <conditionalFormatting sqref="D372">
    <cfRule type="cellIs" dxfId="1" priority="781" operator="equal">
      <formula>0</formula>
    </cfRule>
  </conditionalFormatting>
  <conditionalFormatting sqref="D373">
    <cfRule type="cellIs" dxfId="1" priority="787" operator="equal">
      <formula>0</formula>
    </cfRule>
  </conditionalFormatting>
  <conditionalFormatting sqref="D374">
    <cfRule type="cellIs" dxfId="1" priority="791" operator="equal">
      <formula>0</formula>
    </cfRule>
  </conditionalFormatting>
  <conditionalFormatting sqref="D375">
    <cfRule type="cellIs" dxfId="1" priority="795" operator="equal">
      <formula>0</formula>
    </cfRule>
  </conditionalFormatting>
  <conditionalFormatting sqref="D377">
    <cfRule type="expression" dxfId="0" priority="799">
      <formula>D378=0</formula>
    </cfRule>
  </conditionalFormatting>
  <conditionalFormatting sqref="D378">
    <cfRule type="cellIs" dxfId="1" priority="802" operator="equal">
      <formula>0</formula>
    </cfRule>
  </conditionalFormatting>
  <conditionalFormatting sqref="D38">
    <cfRule type="cellIs" dxfId="1" priority="42" operator="equal">
      <formula>0</formula>
    </cfRule>
  </conditionalFormatting>
  <conditionalFormatting sqref="D380">
    <cfRule type="cellIs" dxfId="1" priority="805" operator="equal">
      <formula>0</formula>
    </cfRule>
  </conditionalFormatting>
  <conditionalFormatting sqref="D385">
    <cfRule type="expression" dxfId="0" priority="811">
      <formula>D386=0</formula>
    </cfRule>
  </conditionalFormatting>
  <conditionalFormatting sqref="D386">
    <cfRule type="cellIs" dxfId="1" priority="813" operator="equal">
      <formula>0</formula>
    </cfRule>
  </conditionalFormatting>
  <conditionalFormatting sqref="D388">
    <cfRule type="cellIs" dxfId="1" priority="815" operator="equal">
      <formula>0</formula>
    </cfRule>
  </conditionalFormatting>
  <conditionalFormatting sqref="D39">
    <cfRule type="cellIs" dxfId="1" priority="44" operator="equal">
      <formula>0</formula>
    </cfRule>
  </conditionalFormatting>
  <conditionalFormatting sqref="D399">
    <cfRule type="expression" dxfId="0" priority="820">
      <formula>D400=0</formula>
    </cfRule>
  </conditionalFormatting>
  <conditionalFormatting sqref="D400">
    <cfRule type="cellIs" dxfId="1" priority="829" operator="equal">
      <formula>0</formula>
    </cfRule>
  </conditionalFormatting>
  <conditionalFormatting sqref="D401">
    <cfRule type="cellIs" dxfId="1" priority="838" operator="equal">
      <formula>0</formula>
    </cfRule>
  </conditionalFormatting>
  <conditionalFormatting sqref="D402">
    <cfRule type="cellIs" dxfId="1" priority="841" operator="equal">
      <formula>0</formula>
    </cfRule>
  </conditionalFormatting>
  <conditionalFormatting sqref="D403">
    <cfRule type="cellIs" dxfId="1" priority="846" operator="equal">
      <formula>0</formula>
    </cfRule>
  </conditionalFormatting>
  <conditionalFormatting sqref="D404">
    <cfRule type="cellIs" dxfId="1" priority="849" operator="equal">
      <formula>0</formula>
    </cfRule>
  </conditionalFormatting>
  <conditionalFormatting sqref="D405">
    <cfRule type="cellIs" dxfId="1" priority="854" operator="equal">
      <formula>0</formula>
    </cfRule>
  </conditionalFormatting>
  <conditionalFormatting sqref="D406">
    <cfRule type="cellIs" dxfId="1" priority="858" operator="equal">
      <formula>0</formula>
    </cfRule>
  </conditionalFormatting>
  <conditionalFormatting sqref="D407">
    <cfRule type="cellIs" dxfId="1" priority="860" operator="equal">
      <formula>0</formula>
    </cfRule>
  </conditionalFormatting>
  <conditionalFormatting sqref="D409">
    <cfRule type="cellIs" dxfId="1" priority="870" operator="equal">
      <formula>0</formula>
    </cfRule>
  </conditionalFormatting>
  <conditionalFormatting sqref="D41">
    <cfRule type="cellIs" dxfId="1" priority="47" operator="equal">
      <formula>0</formula>
    </cfRule>
  </conditionalFormatting>
  <conditionalFormatting sqref="D411">
    <cfRule type="expression" dxfId="0" priority="873">
      <formula>D412=0</formula>
    </cfRule>
  </conditionalFormatting>
  <conditionalFormatting sqref="D412">
    <cfRule type="cellIs" dxfId="1" priority="878" operator="equal">
      <formula>0</formula>
    </cfRule>
  </conditionalFormatting>
  <conditionalFormatting sqref="D415">
    <cfRule type="cellIs" dxfId="1" priority="883" operator="equal">
      <formula>0</formula>
    </cfRule>
  </conditionalFormatting>
  <conditionalFormatting sqref="D420">
    <cfRule type="cellIs" dxfId="1" priority="891" operator="equal">
      <formula>0</formula>
    </cfRule>
  </conditionalFormatting>
  <conditionalFormatting sqref="D421">
    <cfRule type="cellIs" dxfId="1" priority="893" operator="equal">
      <formula>0</formula>
    </cfRule>
  </conditionalFormatting>
  <conditionalFormatting sqref="D423">
    <cfRule type="expression" dxfId="0" priority="896">
      <formula>D424=0</formula>
    </cfRule>
  </conditionalFormatting>
  <conditionalFormatting sqref="D424">
    <cfRule type="cellIs" dxfId="1" priority="899" operator="equal">
      <formula>0</formula>
    </cfRule>
  </conditionalFormatting>
  <conditionalFormatting sqref="D427">
    <cfRule type="cellIs" dxfId="1" priority="903" operator="equal">
      <formula>0</formula>
    </cfRule>
  </conditionalFormatting>
  <conditionalFormatting sqref="D429">
    <cfRule type="cellIs" dxfId="1" priority="906" operator="equal">
      <formula>0</formula>
    </cfRule>
  </conditionalFormatting>
  <conditionalFormatting sqref="D43">
    <cfRule type="expression" dxfId="0" priority="49">
      <formula>D44=0</formula>
    </cfRule>
  </conditionalFormatting>
  <conditionalFormatting sqref="D431">
    <cfRule type="cellIs" dxfId="1" priority="909" operator="equal">
      <formula>0</formula>
    </cfRule>
  </conditionalFormatting>
  <conditionalFormatting sqref="D432">
    <cfRule type="cellIs" dxfId="1" priority="911" operator="equal">
      <formula>0</formula>
    </cfRule>
  </conditionalFormatting>
  <conditionalFormatting sqref="D433">
    <cfRule type="cellIs" dxfId="1" priority="913" operator="equal">
      <formula>0</formula>
    </cfRule>
  </conditionalFormatting>
  <conditionalFormatting sqref="D44">
    <cfRule type="cellIs" dxfId="1" priority="51" operator="equal">
      <formula>0</formula>
    </cfRule>
  </conditionalFormatting>
  <conditionalFormatting sqref="D441">
    <cfRule type="expression" dxfId="0" priority="915">
      <formula>D442=0</formula>
    </cfRule>
  </conditionalFormatting>
  <conditionalFormatting sqref="D442">
    <cfRule type="cellIs" dxfId="1" priority="924" operator="equal">
      <formula>0</formula>
    </cfRule>
  </conditionalFormatting>
  <conditionalFormatting sqref="D443">
    <cfRule type="cellIs" dxfId="1" priority="932" operator="equal">
      <formula>0</formula>
    </cfRule>
  </conditionalFormatting>
  <conditionalFormatting sqref="D445">
    <cfRule type="cellIs" dxfId="1" priority="942" operator="equal">
      <formula>0</formula>
    </cfRule>
  </conditionalFormatting>
  <conditionalFormatting sqref="D446">
    <cfRule type="cellIs" dxfId="1" priority="947" operator="equal">
      <formula>0</formula>
    </cfRule>
  </conditionalFormatting>
  <conditionalFormatting sqref="D447">
    <cfRule type="cellIs" dxfId="1" priority="951" operator="equal">
      <formula>0</formula>
    </cfRule>
  </conditionalFormatting>
  <conditionalFormatting sqref="D448">
    <cfRule type="cellIs" dxfId="1" priority="955" operator="equal">
      <formula>0</formula>
    </cfRule>
  </conditionalFormatting>
  <conditionalFormatting sqref="D45">
    <cfRule type="cellIs" dxfId="1" priority="53" operator="equal">
      <formula>0</formula>
    </cfRule>
  </conditionalFormatting>
  <conditionalFormatting sqref="D450">
    <cfRule type="expression" dxfId="0" priority="959">
      <formula>D451=0</formula>
    </cfRule>
  </conditionalFormatting>
  <conditionalFormatting sqref="D451">
    <cfRule type="cellIs" dxfId="1" priority="962" operator="equal">
      <formula>0</formula>
    </cfRule>
  </conditionalFormatting>
  <conditionalFormatting sqref="D452">
    <cfRule type="cellIs" dxfId="1" priority="965" operator="equal">
      <formula>0</formula>
    </cfRule>
  </conditionalFormatting>
  <conditionalFormatting sqref="D453">
    <cfRule type="cellIs" dxfId="1" priority="966" operator="equal">
      <formula>0</formula>
    </cfRule>
  </conditionalFormatting>
  <conditionalFormatting sqref="D454">
    <cfRule type="cellIs" dxfId="1" priority="968" operator="equal">
      <formula>0</formula>
    </cfRule>
  </conditionalFormatting>
  <conditionalFormatting sqref="D455">
    <cfRule type="cellIs" dxfId="1" priority="970" operator="equal">
      <formula>0</formula>
    </cfRule>
  </conditionalFormatting>
  <conditionalFormatting sqref="D457">
    <cfRule type="cellIs" dxfId="1" priority="973" operator="equal">
      <formula>0</formula>
    </cfRule>
  </conditionalFormatting>
  <conditionalFormatting sqref="D459">
    <cfRule type="expression" dxfId="0" priority="975">
      <formula>D460=0</formula>
    </cfRule>
  </conditionalFormatting>
  <conditionalFormatting sqref="D46">
    <cfRule type="cellIs" dxfId="1" priority="55" operator="equal">
      <formula>0</formula>
    </cfRule>
  </conditionalFormatting>
  <conditionalFormatting sqref="D460">
    <cfRule type="cellIs" dxfId="1" priority="977" operator="equal">
      <formula>0</formula>
    </cfRule>
  </conditionalFormatting>
  <conditionalFormatting sqref="D462">
    <cfRule type="cellIs" dxfId="1" priority="980" operator="equal">
      <formula>0</formula>
    </cfRule>
  </conditionalFormatting>
  <conditionalFormatting sqref="D463">
    <cfRule type="cellIs" dxfId="1" priority="982" operator="equal">
      <formula>0</formula>
    </cfRule>
  </conditionalFormatting>
  <conditionalFormatting sqref="D465">
    <cfRule type="cellIs" dxfId="1" priority="984" operator="equal">
      <formula>0</formula>
    </cfRule>
  </conditionalFormatting>
  <conditionalFormatting sqref="D466">
    <cfRule type="cellIs" dxfId="1" priority="986" operator="equal">
      <formula>0</formula>
    </cfRule>
  </conditionalFormatting>
  <conditionalFormatting sqref="D47">
    <cfRule type="cellIs" dxfId="1" priority="57" operator="equal">
      <formula>0</formula>
    </cfRule>
  </conditionalFormatting>
  <conditionalFormatting sqref="D474">
    <cfRule type="expression" dxfId="0" priority="988">
      <formula>D475=0</formula>
    </cfRule>
  </conditionalFormatting>
  <conditionalFormatting sqref="D475">
    <cfRule type="cellIs" dxfId="1" priority="991" operator="equal">
      <formula>0</formula>
    </cfRule>
  </conditionalFormatting>
  <conditionalFormatting sqref="D476">
    <cfRule type="cellIs" dxfId="1" priority="994" operator="equal">
      <formula>0</formula>
    </cfRule>
  </conditionalFormatting>
  <conditionalFormatting sqref="D48">
    <cfRule type="cellIs" dxfId="1" priority="58" operator="equal">
      <formula>0</formula>
    </cfRule>
  </conditionalFormatting>
  <conditionalFormatting sqref="D49">
    <cfRule type="cellIs" dxfId="1" priority="60" operator="equal">
      <formula>0</formula>
    </cfRule>
  </conditionalFormatting>
  <conditionalFormatting sqref="D492">
    <cfRule type="expression" dxfId="0" priority="1003">
      <formula>D493=0</formula>
    </cfRule>
  </conditionalFormatting>
  <conditionalFormatting sqref="D493">
    <cfRule type="cellIs" dxfId="1" priority="1007" operator="equal">
      <formula>0</formula>
    </cfRule>
  </conditionalFormatting>
  <conditionalFormatting sqref="D494">
    <cfRule type="cellIs" dxfId="1" priority="1011" operator="equal">
      <formula>0</formula>
    </cfRule>
  </conditionalFormatting>
  <conditionalFormatting sqref="D495">
    <cfRule type="cellIs" dxfId="1" priority="1015" operator="equal">
      <formula>0</formula>
    </cfRule>
  </conditionalFormatting>
  <conditionalFormatting sqref="D496">
    <cfRule type="cellIs" dxfId="1" priority="1019" operator="equal">
      <formula>0</formula>
    </cfRule>
  </conditionalFormatting>
  <conditionalFormatting sqref="D497">
    <cfRule type="cellIs" dxfId="1" priority="1023" operator="equal">
      <formula>0</formula>
    </cfRule>
  </conditionalFormatting>
  <conditionalFormatting sqref="D498">
    <cfRule type="cellIs" dxfId="1" priority="1027" operator="equal">
      <formula>0</formula>
    </cfRule>
  </conditionalFormatting>
  <conditionalFormatting sqref="D500">
    <cfRule type="expression" dxfId="0" priority="1031">
      <formula>D501=0</formula>
    </cfRule>
  </conditionalFormatting>
  <conditionalFormatting sqref="D501">
    <cfRule type="cellIs" dxfId="1" priority="1033" operator="equal">
      <formula>0</formula>
    </cfRule>
  </conditionalFormatting>
  <conditionalFormatting sqref="D502">
    <cfRule type="cellIs" dxfId="1" priority="1035" operator="equal">
      <formula>0</formula>
    </cfRule>
  </conditionalFormatting>
  <conditionalFormatting sqref="D503">
    <cfRule type="cellIs" dxfId="1" priority="1036" operator="equal">
      <formula>0</formula>
    </cfRule>
  </conditionalFormatting>
  <conditionalFormatting sqref="D504">
    <cfRule type="cellIs" dxfId="1" priority="1038" operator="equal">
      <formula>0</formula>
    </cfRule>
  </conditionalFormatting>
  <conditionalFormatting sqref="D505">
    <cfRule type="cellIs" dxfId="1" priority="1040" operator="equal">
      <formula>0</formula>
    </cfRule>
  </conditionalFormatting>
  <conditionalFormatting sqref="D506">
    <cfRule type="cellIs" dxfId="1" priority="1041" operator="equal">
      <formula>0</formula>
    </cfRule>
  </conditionalFormatting>
  <conditionalFormatting sqref="D508">
    <cfRule type="expression" dxfId="0" priority="1043">
      <formula>D509=0</formula>
    </cfRule>
  </conditionalFormatting>
  <conditionalFormatting sqref="D509">
    <cfRule type="cellIs" dxfId="1" priority="1045" operator="equal">
      <formula>0</formula>
    </cfRule>
  </conditionalFormatting>
  <conditionalFormatting sqref="D510">
    <cfRule type="cellIs" dxfId="1" priority="1047" operator="equal">
      <formula>0</formula>
    </cfRule>
  </conditionalFormatting>
  <conditionalFormatting sqref="D511">
    <cfRule type="cellIs" dxfId="1" priority="1049" operator="equal">
      <formula>0</formula>
    </cfRule>
  </conditionalFormatting>
  <conditionalFormatting sqref="D512">
    <cfRule type="cellIs" dxfId="1" priority="1051" operator="equal">
      <formula>0</formula>
    </cfRule>
  </conditionalFormatting>
  <conditionalFormatting sqref="D513">
    <cfRule type="cellIs" dxfId="1" priority="1053" operator="equal">
      <formula>0</formula>
    </cfRule>
  </conditionalFormatting>
  <conditionalFormatting sqref="D514">
    <cfRule type="cellIs" dxfId="1" priority="1055" operator="equal">
      <formula>0</formula>
    </cfRule>
  </conditionalFormatting>
  <conditionalFormatting sqref="D522">
    <cfRule type="expression" dxfId="0" priority="1057">
      <formula>D523=0</formula>
    </cfRule>
  </conditionalFormatting>
  <conditionalFormatting sqref="D523">
    <cfRule type="cellIs" dxfId="1" priority="1068" operator="equal">
      <formula>0</formula>
    </cfRule>
  </conditionalFormatting>
  <conditionalFormatting sqref="D524">
    <cfRule type="cellIs" dxfId="1" priority="1079" operator="equal">
      <formula>0</formula>
    </cfRule>
  </conditionalFormatting>
  <conditionalFormatting sqref="D525">
    <cfRule type="cellIs" dxfId="1" priority="1083" operator="equal">
      <formula>0</formula>
    </cfRule>
  </conditionalFormatting>
  <conditionalFormatting sqref="D527">
    <cfRule type="cellIs" dxfId="1" priority="1091" operator="equal">
      <formula>0</formula>
    </cfRule>
  </conditionalFormatting>
  <conditionalFormatting sqref="D528">
    <cfRule type="cellIs" dxfId="1" priority="1095" operator="equal">
      <formula>0</formula>
    </cfRule>
  </conditionalFormatting>
  <conditionalFormatting sqref="D529">
    <cfRule type="cellIs" dxfId="1" priority="1099" operator="equal">
      <formula>0</formula>
    </cfRule>
  </conditionalFormatting>
  <conditionalFormatting sqref="D530">
    <cfRule type="cellIs" dxfId="1" priority="1103" operator="equal">
      <formula>0</formula>
    </cfRule>
  </conditionalFormatting>
  <conditionalFormatting sqref="D531">
    <cfRule type="cellIs" dxfId="1" priority="1107" operator="equal">
      <formula>0</formula>
    </cfRule>
  </conditionalFormatting>
  <conditionalFormatting sqref="D532">
    <cfRule type="cellIs" dxfId="1" priority="1111" operator="equal">
      <formula>0</formula>
    </cfRule>
  </conditionalFormatting>
  <conditionalFormatting sqref="D533">
    <cfRule type="cellIs" dxfId="1" priority="1115" operator="equal">
      <formula>0</formula>
    </cfRule>
  </conditionalFormatting>
  <conditionalFormatting sqref="D534">
    <cfRule type="cellIs" dxfId="1" priority="1119" operator="equal">
      <formula>0</formula>
    </cfRule>
  </conditionalFormatting>
  <conditionalFormatting sqref="D535">
    <cfRule type="cellIs" dxfId="1" priority="1123" operator="equal">
      <formula>0</formula>
    </cfRule>
  </conditionalFormatting>
  <conditionalFormatting sqref="D536">
    <cfRule type="cellIs" dxfId="1" priority="1127" operator="equal">
      <formula>0</formula>
    </cfRule>
  </conditionalFormatting>
  <conditionalFormatting sqref="D537">
    <cfRule type="cellIs" dxfId="1" priority="1131" operator="equal">
      <formula>0</formula>
    </cfRule>
  </conditionalFormatting>
  <conditionalFormatting sqref="D538">
    <cfRule type="cellIs" dxfId="1" priority="1134" operator="equal">
      <formula>0</formula>
    </cfRule>
  </conditionalFormatting>
  <conditionalFormatting sqref="D539">
    <cfRule type="cellIs" dxfId="1" priority="1138" operator="equal">
      <formula>0</formula>
    </cfRule>
  </conditionalFormatting>
  <conditionalFormatting sqref="D540">
    <cfRule type="cellIs" dxfId="1" priority="1143" operator="equal">
      <formula>0</formula>
    </cfRule>
  </conditionalFormatting>
  <conditionalFormatting sqref="D541">
    <cfRule type="cellIs" dxfId="1" priority="1148" operator="equal">
      <formula>0</formula>
    </cfRule>
  </conditionalFormatting>
  <conditionalFormatting sqref="D542">
    <cfRule type="cellIs" dxfId="1" priority="1152" operator="equal">
      <formula>0</formula>
    </cfRule>
  </conditionalFormatting>
  <conditionalFormatting sqref="D543">
    <cfRule type="cellIs" dxfId="1" priority="1156" operator="equal">
      <formula>0</formula>
    </cfRule>
  </conditionalFormatting>
  <conditionalFormatting sqref="D544">
    <cfRule type="cellIs" dxfId="1" priority="1160" operator="equal">
      <formula>0</formula>
    </cfRule>
  </conditionalFormatting>
  <conditionalFormatting sqref="D545">
    <cfRule type="cellIs" dxfId="1" priority="1164" operator="equal">
      <formula>0</formula>
    </cfRule>
  </conditionalFormatting>
  <conditionalFormatting sqref="D546">
    <cfRule type="cellIs" dxfId="1" priority="1168" operator="equal">
      <formula>0</formula>
    </cfRule>
  </conditionalFormatting>
  <conditionalFormatting sqref="D547">
    <cfRule type="cellIs" dxfId="1" priority="1172" operator="equal">
      <formula>0</formula>
    </cfRule>
  </conditionalFormatting>
  <conditionalFormatting sqref="D548">
    <cfRule type="cellIs" dxfId="1" priority="1176" operator="equal">
      <formula>0</formula>
    </cfRule>
  </conditionalFormatting>
  <conditionalFormatting sqref="D550">
    <cfRule type="expression" dxfId="0" priority="1181">
      <formula>D551=0</formula>
    </cfRule>
  </conditionalFormatting>
  <conditionalFormatting sqref="D551">
    <cfRule type="cellIs" dxfId="1" priority="1191" operator="equal">
      <formula>0</formula>
    </cfRule>
  </conditionalFormatting>
  <conditionalFormatting sqref="D552">
    <cfRule type="cellIs" dxfId="1" priority="1201" operator="equal">
      <formula>0</formula>
    </cfRule>
  </conditionalFormatting>
  <conditionalFormatting sqref="D554">
    <cfRule type="cellIs" dxfId="1" priority="1205" operator="equal">
      <formula>0</formula>
    </cfRule>
  </conditionalFormatting>
  <conditionalFormatting sqref="D564">
    <cfRule type="cellIs" dxfId="1" priority="1224" operator="equal">
      <formula>0</formula>
    </cfRule>
  </conditionalFormatting>
  <conditionalFormatting sqref="D567">
    <cfRule type="cellIs" dxfId="1" priority="1229" operator="equal">
      <formula>0</formula>
    </cfRule>
  </conditionalFormatting>
  <conditionalFormatting sqref="D57">
    <cfRule type="expression" dxfId="0" priority="62">
      <formula>D58=0</formula>
    </cfRule>
  </conditionalFormatting>
  <conditionalFormatting sqref="D570">
    <cfRule type="cellIs" dxfId="1" priority="1234" operator="equal">
      <formula>0</formula>
    </cfRule>
  </conditionalFormatting>
  <conditionalFormatting sqref="D578">
    <cfRule type="expression" dxfId="0" priority="1248">
      <formula>D579=0</formula>
    </cfRule>
  </conditionalFormatting>
  <conditionalFormatting sqref="D579">
    <cfRule type="cellIs" dxfId="1" priority="1254" operator="equal">
      <formula>0</formula>
    </cfRule>
  </conditionalFormatting>
  <conditionalFormatting sqref="D58">
    <cfRule type="cellIs" dxfId="1" priority="66" operator="equal">
      <formula>0</formula>
    </cfRule>
  </conditionalFormatting>
  <conditionalFormatting sqref="D583">
    <cfRule type="cellIs" dxfId="1" priority="1262" operator="equal">
      <formula>0</formula>
    </cfRule>
  </conditionalFormatting>
  <conditionalFormatting sqref="D59">
    <cfRule type="cellIs" dxfId="1" priority="70" operator="equal">
      <formula>0</formula>
    </cfRule>
  </conditionalFormatting>
  <conditionalFormatting sqref="D612">
    <cfRule type="expression" dxfId="0" priority="1287">
      <formula>D613=0</formula>
    </cfRule>
  </conditionalFormatting>
  <conditionalFormatting sqref="D613">
    <cfRule type="cellIs" dxfId="1" priority="1296" operator="equal">
      <formula>0</formula>
    </cfRule>
  </conditionalFormatting>
  <conditionalFormatting sqref="D614">
    <cfRule type="cellIs" dxfId="1" priority="1305" operator="equal">
      <formula>0</formula>
    </cfRule>
  </conditionalFormatting>
  <conditionalFormatting sqref="D615">
    <cfRule type="cellIs" dxfId="1" priority="1307" operator="equal">
      <formula>0</formula>
    </cfRule>
  </conditionalFormatting>
  <conditionalFormatting sqref="D616">
    <cfRule type="cellIs" dxfId="1" priority="1310" operator="equal">
      <formula>0</formula>
    </cfRule>
  </conditionalFormatting>
  <conditionalFormatting sqref="D617">
    <cfRule type="cellIs" dxfId="1" priority="1315" operator="equal">
      <formula>0</formula>
    </cfRule>
  </conditionalFormatting>
  <conditionalFormatting sqref="D619">
    <cfRule type="cellIs" dxfId="1" priority="1322" operator="equal">
      <formula>0</formula>
    </cfRule>
  </conditionalFormatting>
  <conditionalFormatting sqref="D620">
    <cfRule type="cellIs" dxfId="1" priority="1325" operator="equal">
      <formula>0</formula>
    </cfRule>
  </conditionalFormatting>
  <conditionalFormatting sqref="D621">
    <cfRule type="cellIs" dxfId="1" priority="1330" operator="equal">
      <formula>0</formula>
    </cfRule>
  </conditionalFormatting>
  <conditionalFormatting sqref="D623">
    <cfRule type="expression" dxfId="0" priority="1336">
      <formula>D624=0</formula>
    </cfRule>
  </conditionalFormatting>
  <conditionalFormatting sqref="D624">
    <cfRule type="cellIs" dxfId="1" priority="1341" operator="equal">
      <formula>0</formula>
    </cfRule>
  </conditionalFormatting>
  <conditionalFormatting sqref="D627">
    <cfRule type="cellIs" dxfId="1" priority="1346" operator="equal">
      <formula>0</formula>
    </cfRule>
  </conditionalFormatting>
  <conditionalFormatting sqref="D629">
    <cfRule type="cellIs" dxfId="1" priority="1349" operator="equal">
      <formula>0</formula>
    </cfRule>
  </conditionalFormatting>
  <conditionalFormatting sqref="D634">
    <cfRule type="expression" dxfId="0" priority="1355">
      <formula>D635=0</formula>
    </cfRule>
  </conditionalFormatting>
  <conditionalFormatting sqref="D635">
    <cfRule type="cellIs" dxfId="1" priority="1357" operator="equal">
      <formula>0</formula>
    </cfRule>
  </conditionalFormatting>
  <conditionalFormatting sqref="D641">
    <cfRule type="cellIs" dxfId="1" priority="1364" operator="equal">
      <formula>0</formula>
    </cfRule>
  </conditionalFormatting>
  <conditionalFormatting sqref="D651">
    <cfRule type="expression" dxfId="0" priority="1368">
      <formula>D652=0</formula>
    </cfRule>
  </conditionalFormatting>
  <conditionalFormatting sqref="D652">
    <cfRule type="cellIs" dxfId="1" priority="1374" operator="equal">
      <formula>0</formula>
    </cfRule>
  </conditionalFormatting>
  <conditionalFormatting sqref="D653">
    <cfRule type="cellIs" dxfId="1" priority="1380" operator="equal">
      <formula>0</formula>
    </cfRule>
  </conditionalFormatting>
  <conditionalFormatting sqref="D654">
    <cfRule type="cellIs" dxfId="1" priority="1384" operator="equal">
      <formula>0</formula>
    </cfRule>
  </conditionalFormatting>
  <conditionalFormatting sqref="D655">
    <cfRule type="cellIs" dxfId="1" priority="1388" operator="equal">
      <formula>0</formula>
    </cfRule>
  </conditionalFormatting>
  <conditionalFormatting sqref="D656">
    <cfRule type="cellIs" dxfId="1" priority="1392" operator="equal">
      <formula>0</formula>
    </cfRule>
  </conditionalFormatting>
  <conditionalFormatting sqref="D657">
    <cfRule type="cellIs" dxfId="1" priority="1397" operator="equal">
      <formula>0</formula>
    </cfRule>
  </conditionalFormatting>
  <conditionalFormatting sqref="D658">
    <cfRule type="cellIs" dxfId="1" priority="1401" operator="equal">
      <formula>0</formula>
    </cfRule>
  </conditionalFormatting>
  <conditionalFormatting sqref="D659">
    <cfRule type="cellIs" dxfId="1" priority="1405" operator="equal">
      <formula>0</formula>
    </cfRule>
  </conditionalFormatting>
  <conditionalFormatting sqref="D660">
    <cfRule type="cellIs" dxfId="1" priority="1409" operator="equal">
      <formula>0</formula>
    </cfRule>
  </conditionalFormatting>
  <conditionalFormatting sqref="D661">
    <cfRule type="cellIs" dxfId="1" priority="1413" operator="equal">
      <formula>0</formula>
    </cfRule>
  </conditionalFormatting>
  <conditionalFormatting sqref="D662">
    <cfRule type="cellIs" dxfId="1" priority="1417" operator="equal">
      <formula>0</formula>
    </cfRule>
  </conditionalFormatting>
  <conditionalFormatting sqref="D664">
    <cfRule type="expression" dxfId="0" priority="1421">
      <formula>D665=0</formula>
    </cfRule>
  </conditionalFormatting>
  <conditionalFormatting sqref="D665">
    <cfRule type="cellIs" dxfId="1" priority="1429" operator="equal">
      <formula>0</formula>
    </cfRule>
  </conditionalFormatting>
  <conditionalFormatting sqref="D666">
    <cfRule type="cellIs" dxfId="1" priority="1437" operator="equal">
      <formula>0</formula>
    </cfRule>
  </conditionalFormatting>
  <conditionalFormatting sqref="D672">
    <cfRule type="cellIs" dxfId="1" priority="1447" operator="equal">
      <formula>0</formula>
    </cfRule>
  </conditionalFormatting>
  <conditionalFormatting sqref="D677">
    <cfRule type="expression" dxfId="0" priority="1455">
      <formula>D678=0</formula>
    </cfRule>
  </conditionalFormatting>
  <conditionalFormatting sqref="D678">
    <cfRule type="cellIs" dxfId="1" priority="1459" operator="equal">
      <formula>0</formula>
    </cfRule>
  </conditionalFormatting>
  <conditionalFormatting sqref="D680">
    <cfRule type="cellIs" dxfId="1" priority="1463" operator="equal">
      <formula>0</formula>
    </cfRule>
  </conditionalFormatting>
  <conditionalFormatting sqref="D696">
    <cfRule type="expression" dxfId="0" priority="1474">
      <formula>D697=0</formula>
    </cfRule>
  </conditionalFormatting>
  <conditionalFormatting sqref="D697">
    <cfRule type="cellIs" dxfId="1" priority="1481" operator="equal">
      <formula>0</formula>
    </cfRule>
  </conditionalFormatting>
  <conditionalFormatting sqref="D698">
    <cfRule type="cellIs" dxfId="1" priority="1488" operator="equal">
      <formula>0</formula>
    </cfRule>
  </conditionalFormatting>
  <conditionalFormatting sqref="D699">
    <cfRule type="cellIs" dxfId="1" priority="1493" operator="equal">
      <formula>0</formula>
    </cfRule>
  </conditionalFormatting>
  <conditionalFormatting sqref="D700">
    <cfRule type="cellIs" dxfId="1" priority="1497" operator="equal">
      <formula>0</formula>
    </cfRule>
  </conditionalFormatting>
  <conditionalFormatting sqref="D701">
    <cfRule type="cellIs" dxfId="1" priority="1502" operator="equal">
      <formula>0</formula>
    </cfRule>
  </conditionalFormatting>
  <conditionalFormatting sqref="D703">
    <cfRule type="expression" dxfId="0" priority="1507">
      <formula>D704=0</formula>
    </cfRule>
  </conditionalFormatting>
  <conditionalFormatting sqref="D704">
    <cfRule type="cellIs" dxfId="1" priority="1510" operator="equal">
      <formula>0</formula>
    </cfRule>
  </conditionalFormatting>
  <conditionalFormatting sqref="D705">
    <cfRule type="cellIs" dxfId="1" priority="1513" operator="equal">
      <formula>0</formula>
    </cfRule>
  </conditionalFormatting>
  <conditionalFormatting sqref="D710">
    <cfRule type="expression" dxfId="0" priority="1519">
      <formula>D711=0</formula>
    </cfRule>
  </conditionalFormatting>
  <conditionalFormatting sqref="D711">
    <cfRule type="cellIs" dxfId="1" priority="1521" operator="equal">
      <formula>0</formula>
    </cfRule>
  </conditionalFormatting>
  <conditionalFormatting sqref="D712">
    <cfRule type="cellIs" dxfId="1" priority="1523" operator="equal">
      <formula>0</formula>
    </cfRule>
  </conditionalFormatting>
  <conditionalFormatting sqref="D715">
    <cfRule type="cellIs" dxfId="1" priority="1527" operator="equal">
      <formula>0</formula>
    </cfRule>
  </conditionalFormatting>
  <conditionalFormatting sqref="D723">
    <cfRule type="expression" dxfId="0" priority="1529">
      <formula>D724=0</formula>
    </cfRule>
  </conditionalFormatting>
  <conditionalFormatting sqref="D724">
    <cfRule type="cellIs" dxfId="1" priority="1536" operator="equal">
      <formula>0</formula>
    </cfRule>
  </conditionalFormatting>
  <conditionalFormatting sqref="D725">
    <cfRule type="cellIs" dxfId="1" priority="1543" operator="equal">
      <formula>0</formula>
    </cfRule>
  </conditionalFormatting>
  <conditionalFormatting sqref="D727">
    <cfRule type="cellIs" dxfId="1" priority="1551" operator="equal">
      <formula>0</formula>
    </cfRule>
  </conditionalFormatting>
  <conditionalFormatting sqref="D728">
    <cfRule type="cellIs" dxfId="1" priority="1555" operator="equal">
      <formula>0</formula>
    </cfRule>
  </conditionalFormatting>
  <conditionalFormatting sqref="D730">
    <cfRule type="expression" dxfId="0" priority="1559">
      <formula>D731=0</formula>
    </cfRule>
  </conditionalFormatting>
  <conditionalFormatting sqref="D731">
    <cfRule type="cellIs" dxfId="1" priority="1563" operator="equal">
      <formula>0</formula>
    </cfRule>
  </conditionalFormatting>
  <conditionalFormatting sqref="D732">
    <cfRule type="cellIs" dxfId="1" priority="1567" operator="equal">
      <formula>0</formula>
    </cfRule>
  </conditionalFormatting>
  <conditionalFormatting sqref="D733">
    <cfRule type="cellIs" dxfId="1" priority="1569" operator="equal">
      <formula>0</formula>
    </cfRule>
  </conditionalFormatting>
  <conditionalFormatting sqref="D734">
    <cfRule type="cellIs" dxfId="1" priority="1571" operator="equal">
      <formula>0</formula>
    </cfRule>
  </conditionalFormatting>
  <conditionalFormatting sqref="D737">
    <cfRule type="expression" dxfId="0" priority="1575">
      <formula>D738=0</formula>
    </cfRule>
  </conditionalFormatting>
  <conditionalFormatting sqref="D738">
    <cfRule type="cellIs" dxfId="1" priority="1578" operator="equal">
      <formula>0</formula>
    </cfRule>
  </conditionalFormatting>
  <conditionalFormatting sqref="D739">
    <cfRule type="cellIs" dxfId="1" priority="1581" operator="equal">
      <formula>0</formula>
    </cfRule>
  </conditionalFormatting>
  <conditionalFormatting sqref="D741">
    <cfRule type="cellIs" dxfId="1" priority="1584" operator="equal">
      <formula>0</formula>
    </cfRule>
  </conditionalFormatting>
  <conditionalFormatting sqref="D75">
    <cfRule type="expression" dxfId="0" priority="80">
      <formula>D76=0</formula>
    </cfRule>
  </conditionalFormatting>
  <conditionalFormatting sqref="D750">
    <cfRule type="expression" dxfId="0" priority="1588">
      <formula>D751=0</formula>
    </cfRule>
  </conditionalFormatting>
  <conditionalFormatting sqref="D751">
    <cfRule type="cellIs" dxfId="1" priority="1595" operator="equal">
      <formula>0</formula>
    </cfRule>
  </conditionalFormatting>
  <conditionalFormatting sqref="D752">
    <cfRule type="cellIs" dxfId="1" priority="1602" operator="equal">
      <formula>0</formula>
    </cfRule>
  </conditionalFormatting>
  <conditionalFormatting sqref="D753">
    <cfRule type="cellIs" dxfId="1" priority="1607" operator="equal">
      <formula>0</formula>
    </cfRule>
  </conditionalFormatting>
  <conditionalFormatting sqref="D755">
    <cfRule type="expression" dxfId="0" priority="1612">
      <formula>D756=0</formula>
    </cfRule>
  </conditionalFormatting>
  <conditionalFormatting sqref="D756">
    <cfRule type="cellIs" dxfId="1" priority="1614" operator="equal">
      <formula>0</formula>
    </cfRule>
  </conditionalFormatting>
  <conditionalFormatting sqref="D757">
    <cfRule type="cellIs" dxfId="1" priority="1616" operator="equal">
      <formula>0</formula>
    </cfRule>
  </conditionalFormatting>
  <conditionalFormatting sqref="D758">
    <cfRule type="cellIs" dxfId="1" priority="1618" operator="equal">
      <formula>0</formula>
    </cfRule>
  </conditionalFormatting>
  <conditionalFormatting sqref="D76">
    <cfRule type="cellIs" dxfId="1" priority="90" operator="equal">
      <formula>0</formula>
    </cfRule>
  </conditionalFormatting>
  <conditionalFormatting sqref="D760">
    <cfRule type="expression" dxfId="0" priority="1620">
      <formula>D761=0</formula>
    </cfRule>
  </conditionalFormatting>
  <conditionalFormatting sqref="D761">
    <cfRule type="cellIs" dxfId="1" priority="1622" operator="equal">
      <formula>0</formula>
    </cfRule>
  </conditionalFormatting>
  <conditionalFormatting sqref="D763">
    <cfRule type="cellIs" dxfId="1" priority="1625" operator="equal">
      <formula>0</formula>
    </cfRule>
  </conditionalFormatting>
  <conditionalFormatting sqref="D77">
    <cfRule type="cellIs" dxfId="1" priority="100" operator="equal">
      <formula>0</formula>
    </cfRule>
  </conditionalFormatting>
  <conditionalFormatting sqref="D771">
    <cfRule type="expression" dxfId="0" priority="1627">
      <formula>D772=0</formula>
    </cfRule>
  </conditionalFormatting>
  <conditionalFormatting sqref="D772">
    <cfRule type="cellIs" dxfId="1" priority="1638" operator="equal">
      <formula>0</formula>
    </cfRule>
  </conditionalFormatting>
  <conditionalFormatting sqref="D773">
    <cfRule type="cellIs" dxfId="1" priority="1649" operator="equal">
      <formula>0</formula>
    </cfRule>
  </conditionalFormatting>
  <conditionalFormatting sqref="D774">
    <cfRule type="cellIs" dxfId="1" priority="1653" operator="equal">
      <formula>0</formula>
    </cfRule>
  </conditionalFormatting>
  <conditionalFormatting sqref="D775">
    <cfRule type="cellIs" dxfId="1" priority="1657" operator="equal">
      <formula>0</formula>
    </cfRule>
  </conditionalFormatting>
  <conditionalFormatting sqref="D777">
    <cfRule type="cellIs" dxfId="1" priority="1668" operator="equal">
      <formula>0</formula>
    </cfRule>
  </conditionalFormatting>
  <conditionalFormatting sqref="D778">
    <cfRule type="cellIs" dxfId="1" priority="1673" operator="equal">
      <formula>0</formula>
    </cfRule>
  </conditionalFormatting>
  <conditionalFormatting sqref="D779">
    <cfRule type="cellIs" dxfId="1" priority="1678" operator="equal">
      <formula>0</formula>
    </cfRule>
  </conditionalFormatting>
  <conditionalFormatting sqref="D78">
    <cfRule type="cellIs" dxfId="1" priority="105" operator="equal">
      <formula>0</formula>
    </cfRule>
  </conditionalFormatting>
  <conditionalFormatting sqref="D780">
    <cfRule type="cellIs" dxfId="1" priority="1682" operator="equal">
      <formula>0</formula>
    </cfRule>
  </conditionalFormatting>
  <conditionalFormatting sqref="D781">
    <cfRule type="cellIs" dxfId="1" priority="1686" operator="equal">
      <formula>0</formula>
    </cfRule>
  </conditionalFormatting>
  <conditionalFormatting sqref="D782">
    <cfRule type="cellIs" dxfId="1" priority="1692" operator="equal">
      <formula>0</formula>
    </cfRule>
  </conditionalFormatting>
  <conditionalFormatting sqref="D783">
    <cfRule type="cellIs" dxfId="1" priority="1695" operator="equal">
      <formula>0</formula>
    </cfRule>
  </conditionalFormatting>
  <conditionalFormatting sqref="D784">
    <cfRule type="cellIs" dxfId="1" priority="1699" operator="equal">
      <formula>0</formula>
    </cfRule>
  </conditionalFormatting>
  <conditionalFormatting sqref="D785">
    <cfRule type="cellIs" dxfId="1" priority="1704" operator="equal">
      <formula>0</formula>
    </cfRule>
  </conditionalFormatting>
  <conditionalFormatting sqref="D787">
    <cfRule type="cellIs" dxfId="1" priority="1711" operator="equal">
      <formula>0</formula>
    </cfRule>
  </conditionalFormatting>
  <conditionalFormatting sqref="D788">
    <cfRule type="cellIs" dxfId="1" priority="1716" operator="equal">
      <formula>0</formula>
    </cfRule>
  </conditionalFormatting>
  <conditionalFormatting sqref="D789">
    <cfRule type="cellIs" dxfId="1" priority="1721" operator="equal">
      <formula>0</formula>
    </cfRule>
  </conditionalFormatting>
  <conditionalFormatting sqref="D79">
    <cfRule type="cellIs" dxfId="1" priority="110" operator="equal">
      <formula>0</formula>
    </cfRule>
  </conditionalFormatting>
  <conditionalFormatting sqref="D790">
    <cfRule type="cellIs" dxfId="1" priority="1726" operator="equal">
      <formula>0</formula>
    </cfRule>
  </conditionalFormatting>
  <conditionalFormatting sqref="D791">
    <cfRule type="cellIs" dxfId="1" priority="1731" operator="equal">
      <formula>0</formula>
    </cfRule>
  </conditionalFormatting>
  <conditionalFormatting sqref="D794">
    <cfRule type="expression" dxfId="0" priority="1740">
      <formula>D795=0</formula>
    </cfRule>
  </conditionalFormatting>
  <conditionalFormatting sqref="D795">
    <cfRule type="cellIs" dxfId="1" priority="1747" operator="equal">
      <formula>0</formula>
    </cfRule>
  </conditionalFormatting>
  <conditionalFormatting sqref="D796">
    <cfRule type="cellIs" dxfId="1" priority="1754" operator="equal">
      <formula>0</formula>
    </cfRule>
  </conditionalFormatting>
  <conditionalFormatting sqref="D80">
    <cfRule type="cellIs" dxfId="1" priority="114" operator="equal">
      <formula>0</formula>
    </cfRule>
  </conditionalFormatting>
  <conditionalFormatting sqref="D801">
    <cfRule type="cellIs" dxfId="1" priority="1762" operator="equal">
      <formula>0</formula>
    </cfRule>
  </conditionalFormatting>
  <conditionalFormatting sqref="D809">
    <cfRule type="cellIs" dxfId="1" priority="1776" operator="equal">
      <formula>0</formula>
    </cfRule>
  </conditionalFormatting>
  <conditionalFormatting sqref="D81">
    <cfRule type="cellIs" dxfId="1" priority="119" operator="equal">
      <formula>0</formula>
    </cfRule>
  </conditionalFormatting>
  <conditionalFormatting sqref="D817">
    <cfRule type="expression" dxfId="0" priority="1786">
      <formula>D818=0</formula>
    </cfRule>
  </conditionalFormatting>
  <conditionalFormatting sqref="D818">
    <cfRule type="cellIs" dxfId="1" priority="1788" operator="equal">
      <formula>0</formula>
    </cfRule>
  </conditionalFormatting>
  <conditionalFormatting sqref="D82">
    <cfRule type="cellIs" dxfId="1" priority="124" operator="equal">
      <formula>0</formula>
    </cfRule>
  </conditionalFormatting>
  <conditionalFormatting sqref="D829">
    <cfRule type="cellIs" dxfId="1" priority="1800" operator="equal">
      <formula>0</formula>
    </cfRule>
  </conditionalFormatting>
  <conditionalFormatting sqref="D83">
    <cfRule type="cellIs" dxfId="1" priority="130" operator="equal">
      <formula>0</formula>
    </cfRule>
  </conditionalFormatting>
  <conditionalFormatting sqref="D838">
    <cfRule type="cellIs" dxfId="1" priority="1810" operator="equal">
      <formula>0</formula>
    </cfRule>
  </conditionalFormatting>
  <conditionalFormatting sqref="D84">
    <cfRule type="cellIs" dxfId="1" priority="135" operator="equal">
      <formula>0</formula>
    </cfRule>
  </conditionalFormatting>
  <conditionalFormatting sqref="D846">
    <cfRule type="expression" dxfId="0" priority="1812">
      <formula>D847=0</formula>
    </cfRule>
  </conditionalFormatting>
  <conditionalFormatting sqref="D847">
    <cfRule type="cellIs" dxfId="1" priority="1823" operator="equal">
      <formula>0</formula>
    </cfRule>
  </conditionalFormatting>
  <conditionalFormatting sqref="D848">
    <cfRule type="cellIs" dxfId="1" priority="1834" operator="equal">
      <formula>0</formula>
    </cfRule>
  </conditionalFormatting>
  <conditionalFormatting sqref="D849">
    <cfRule type="cellIs" dxfId="1" priority="1838" operator="equal">
      <formula>0</formula>
    </cfRule>
  </conditionalFormatting>
  <conditionalFormatting sqref="D85">
    <cfRule type="cellIs" dxfId="1" priority="138" operator="equal">
      <formula>0</formula>
    </cfRule>
  </conditionalFormatting>
  <conditionalFormatting sqref="D850">
    <cfRule type="cellIs" dxfId="1" priority="1842" operator="equal">
      <formula>0</formula>
    </cfRule>
  </conditionalFormatting>
  <conditionalFormatting sqref="D851">
    <cfRule type="cellIs" dxfId="1" priority="1846" operator="equal">
      <formula>0</formula>
    </cfRule>
  </conditionalFormatting>
  <conditionalFormatting sqref="D853">
    <cfRule type="cellIs" dxfId="1" priority="1854" operator="equal">
      <formula>0</formula>
    </cfRule>
  </conditionalFormatting>
  <conditionalFormatting sqref="D854">
    <cfRule type="cellIs" dxfId="1" priority="1858" operator="equal">
      <formula>0</formula>
    </cfRule>
  </conditionalFormatting>
  <conditionalFormatting sqref="D856">
    <cfRule type="expression" dxfId="0" priority="1863">
      <formula>D857=0</formula>
    </cfRule>
  </conditionalFormatting>
  <conditionalFormatting sqref="D857">
    <cfRule type="cellIs" dxfId="1" priority="1869" operator="equal">
      <formula>0</formula>
    </cfRule>
  </conditionalFormatting>
  <conditionalFormatting sqref="D858">
    <cfRule type="cellIs" dxfId="1" priority="1875" operator="equal">
      <formula>0</formula>
    </cfRule>
  </conditionalFormatting>
  <conditionalFormatting sqref="D863">
    <cfRule type="cellIs" dxfId="1" priority="1883" operator="equal">
      <formula>0</formula>
    </cfRule>
  </conditionalFormatting>
  <conditionalFormatting sqref="D864">
    <cfRule type="cellIs" dxfId="1" priority="1884" operator="equal">
      <formula>0</formula>
    </cfRule>
  </conditionalFormatting>
  <conditionalFormatting sqref="D866">
    <cfRule type="expression" dxfId="0" priority="1887">
      <formula>D867=0</formula>
    </cfRule>
  </conditionalFormatting>
  <conditionalFormatting sqref="D867">
    <cfRule type="cellIs" dxfId="1" priority="1890" operator="equal">
      <formula>0</formula>
    </cfRule>
  </conditionalFormatting>
  <conditionalFormatting sqref="D869">
    <cfRule type="cellIs" dxfId="1" priority="1894" operator="equal">
      <formula>0</formula>
    </cfRule>
  </conditionalFormatting>
  <conditionalFormatting sqref="D87">
    <cfRule type="expression" dxfId="0" priority="142">
      <formula>D88=0</formula>
    </cfRule>
  </conditionalFormatting>
  <conditionalFormatting sqref="D88">
    <cfRule type="cellIs" dxfId="1" priority="148" operator="equal">
      <formula>0</formula>
    </cfRule>
  </conditionalFormatting>
  <conditionalFormatting sqref="D882">
    <cfRule type="expression" dxfId="0" priority="1903">
      <formula>D883=0</formula>
    </cfRule>
  </conditionalFormatting>
  <conditionalFormatting sqref="D883">
    <cfRule type="cellIs" dxfId="1" priority="1912" operator="equal">
      <formula>0</formula>
    </cfRule>
  </conditionalFormatting>
  <conditionalFormatting sqref="D884">
    <cfRule type="cellIs" dxfId="1" priority="1921" operator="equal">
      <formula>0</formula>
    </cfRule>
  </conditionalFormatting>
  <conditionalFormatting sqref="D885">
    <cfRule type="cellIs" dxfId="1" priority="1925" operator="equal">
      <formula>0</formula>
    </cfRule>
  </conditionalFormatting>
  <conditionalFormatting sqref="D886">
    <cfRule type="cellIs" dxfId="1" priority="1928" operator="equal">
      <formula>0</formula>
    </cfRule>
  </conditionalFormatting>
  <conditionalFormatting sqref="D887">
    <cfRule type="cellIs" dxfId="1" priority="1934" operator="equal">
      <formula>0</formula>
    </cfRule>
  </conditionalFormatting>
  <conditionalFormatting sqref="D888">
    <cfRule type="cellIs" dxfId="1" priority="1938" operator="equal">
      <formula>0</formula>
    </cfRule>
  </conditionalFormatting>
  <conditionalFormatting sqref="D889">
    <cfRule type="cellIs" dxfId="1" priority="1942" operator="equal">
      <formula>0</formula>
    </cfRule>
  </conditionalFormatting>
  <conditionalFormatting sqref="D89">
    <cfRule type="cellIs" dxfId="1" priority="154" operator="equal">
      <formula>0</formula>
    </cfRule>
  </conditionalFormatting>
  <conditionalFormatting sqref="D891">
    <cfRule type="expression" dxfId="0" priority="1947">
      <formula>D892=0</formula>
    </cfRule>
  </conditionalFormatting>
  <conditionalFormatting sqref="D892">
    <cfRule type="cellIs" dxfId="1" priority="1954" operator="equal">
      <formula>0</formula>
    </cfRule>
  </conditionalFormatting>
  <conditionalFormatting sqref="D893">
    <cfRule type="cellIs" dxfId="1" priority="1961" operator="equal">
      <formula>0</formula>
    </cfRule>
  </conditionalFormatting>
  <conditionalFormatting sqref="D895">
    <cfRule type="cellIs" dxfId="1" priority="1963" operator="equal">
      <formula>0</formula>
    </cfRule>
  </conditionalFormatting>
  <conditionalFormatting sqref="D896">
    <cfRule type="cellIs" dxfId="1" priority="1966" operator="equal">
      <formula>0</formula>
    </cfRule>
  </conditionalFormatting>
  <conditionalFormatting sqref="D898">
    <cfRule type="cellIs" dxfId="1" priority="1969" operator="equal">
      <formula>0</formula>
    </cfRule>
  </conditionalFormatting>
  <conditionalFormatting sqref="D900">
    <cfRule type="expression" dxfId="0" priority="1972">
      <formula>D901=0</formula>
    </cfRule>
  </conditionalFormatting>
  <conditionalFormatting sqref="D901">
    <cfRule type="cellIs" dxfId="1" priority="1975" operator="equal">
      <formula>0</formula>
    </cfRule>
  </conditionalFormatting>
  <conditionalFormatting sqref="D903">
    <cfRule type="cellIs" dxfId="1" priority="1978" operator="equal">
      <formula>0</formula>
    </cfRule>
  </conditionalFormatting>
  <conditionalFormatting sqref="D906">
    <cfRule type="cellIs" dxfId="1" priority="1982" operator="equal">
      <formula>0</formula>
    </cfRule>
  </conditionalFormatting>
  <conditionalFormatting sqref="D915">
    <cfRule type="expression" dxfId="0" priority="1985">
      <formula>D916=0</formula>
    </cfRule>
  </conditionalFormatting>
  <conditionalFormatting sqref="D916">
    <cfRule type="cellIs" dxfId="1" priority="1991" operator="equal">
      <formula>0</formula>
    </cfRule>
  </conditionalFormatting>
  <conditionalFormatting sqref="D917">
    <cfRule type="cellIs" dxfId="1" priority="1997" operator="equal">
      <formula>0</formula>
    </cfRule>
  </conditionalFormatting>
  <conditionalFormatting sqref="D919">
    <cfRule type="cellIs" dxfId="1" priority="2004" operator="equal">
      <formula>0</formula>
    </cfRule>
  </conditionalFormatting>
  <conditionalFormatting sqref="D920">
    <cfRule type="cellIs" dxfId="1" priority="2008" operator="equal">
      <formula>0</formula>
    </cfRule>
  </conditionalFormatting>
  <conditionalFormatting sqref="D921">
    <cfRule type="cellIs" dxfId="1" priority="2013" operator="equal">
      <formula>0</formula>
    </cfRule>
  </conditionalFormatting>
  <conditionalFormatting sqref="D922">
    <cfRule type="cellIs" dxfId="1" priority="2017" operator="equal">
      <formula>0</formula>
    </cfRule>
  </conditionalFormatting>
  <conditionalFormatting sqref="D924">
    <cfRule type="expression" dxfId="0" priority="2021">
      <formula>D925=0</formula>
    </cfRule>
  </conditionalFormatting>
  <conditionalFormatting sqref="D925">
    <cfRule type="cellIs" dxfId="1" priority="2023" operator="equal">
      <formula>0</formula>
    </cfRule>
  </conditionalFormatting>
  <conditionalFormatting sqref="D926">
    <cfRule type="cellIs" dxfId="1" priority="2025" operator="equal">
      <formula>0</formula>
    </cfRule>
  </conditionalFormatting>
  <conditionalFormatting sqref="D927">
    <cfRule type="cellIs" dxfId="1" priority="2027" operator="equal">
      <formula>0</formula>
    </cfRule>
  </conditionalFormatting>
  <conditionalFormatting sqref="D930">
    <cfRule type="cellIs" dxfId="1" priority="2031" operator="equal">
      <formula>0</formula>
    </cfRule>
  </conditionalFormatting>
  <conditionalFormatting sqref="D931">
    <cfRule type="cellIs" dxfId="1" priority="2033" operator="equal">
      <formula>0</formula>
    </cfRule>
  </conditionalFormatting>
  <conditionalFormatting sqref="D948">
    <cfRule type="expression" dxfId="0" priority="2043">
      <formula>D949=0</formula>
    </cfRule>
  </conditionalFormatting>
  <conditionalFormatting sqref="D949">
    <cfRule type="cellIs" dxfId="1" priority="2051" operator="equal">
      <formula>0</formula>
    </cfRule>
  </conditionalFormatting>
  <conditionalFormatting sqref="D950">
    <cfRule type="cellIs" dxfId="1" priority="2059" operator="equal">
      <formula>0</formula>
    </cfRule>
  </conditionalFormatting>
  <conditionalFormatting sqref="D951">
    <cfRule type="cellIs" dxfId="1" priority="2063" operator="equal">
      <formula>0</formula>
    </cfRule>
  </conditionalFormatting>
  <conditionalFormatting sqref="D952">
    <cfRule type="cellIs" dxfId="1" priority="2068" operator="equal">
      <formula>0</formula>
    </cfRule>
  </conditionalFormatting>
  <conditionalFormatting sqref="D953">
    <cfRule type="cellIs" dxfId="1" priority="2072" operator="equal">
      <formula>0</formula>
    </cfRule>
  </conditionalFormatting>
  <conditionalFormatting sqref="D954">
    <cfRule type="cellIs" dxfId="1" priority="2076" operator="equal">
      <formula>0</formula>
    </cfRule>
  </conditionalFormatting>
  <conditionalFormatting sqref="D955">
    <cfRule type="cellIs" dxfId="1" priority="2080" operator="equal">
      <formula>0</formula>
    </cfRule>
  </conditionalFormatting>
  <conditionalFormatting sqref="D956">
    <cfRule type="cellIs" dxfId="1" priority="2084" operator="equal">
      <formula>0</formula>
    </cfRule>
  </conditionalFormatting>
  <conditionalFormatting sqref="D957">
    <cfRule type="cellIs" dxfId="1" priority="2088" operator="equal">
      <formula>0</formula>
    </cfRule>
  </conditionalFormatting>
  <conditionalFormatting sqref="D959">
    <cfRule type="cellIs" dxfId="1" priority="2097" operator="equal">
      <formula>0</formula>
    </cfRule>
  </conditionalFormatting>
  <conditionalFormatting sqref="D960">
    <cfRule type="cellIs" dxfId="1" priority="2101" operator="equal">
      <formula>0</formula>
    </cfRule>
  </conditionalFormatting>
  <conditionalFormatting sqref="D963">
    <cfRule type="expression" dxfId="0" priority="2110">
      <formula>D964=0</formula>
    </cfRule>
  </conditionalFormatting>
  <conditionalFormatting sqref="D964">
    <cfRule type="cellIs" dxfId="1" priority="2115" operator="equal">
      <formula>0</formula>
    </cfRule>
  </conditionalFormatting>
  <conditionalFormatting sqref="D965">
    <cfRule type="cellIs" dxfId="1" priority="2120" operator="equal">
      <formula>0</formula>
    </cfRule>
  </conditionalFormatting>
  <conditionalFormatting sqref="D966">
    <cfRule type="cellIs" dxfId="1" priority="2121" operator="equal">
      <formula>0</formula>
    </cfRule>
  </conditionalFormatting>
  <conditionalFormatting sqref="D968">
    <cfRule type="cellIs" dxfId="1" priority="2126" operator="equal">
      <formula>0</formula>
    </cfRule>
  </conditionalFormatting>
  <conditionalFormatting sqref="D969">
    <cfRule type="cellIs" dxfId="1" priority="2128" operator="equal">
      <formula>0</formula>
    </cfRule>
  </conditionalFormatting>
  <conditionalFormatting sqref="D97">
    <cfRule type="cellIs" dxfId="1" priority="170" operator="equal">
      <formula>0</formula>
    </cfRule>
  </conditionalFormatting>
  <conditionalFormatting sqref="D970">
    <cfRule type="cellIs" dxfId="1" priority="2130" operator="equal">
      <formula>0</formula>
    </cfRule>
  </conditionalFormatting>
  <conditionalFormatting sqref="D972">
    <cfRule type="cellIs" dxfId="1" priority="2134" operator="equal">
      <formula>0</formula>
    </cfRule>
  </conditionalFormatting>
  <conditionalFormatting sqref="D973">
    <cfRule type="cellIs" dxfId="1" priority="2136" operator="equal">
      <formula>0</formula>
    </cfRule>
  </conditionalFormatting>
  <conditionalFormatting sqref="D974">
    <cfRule type="cellIs" dxfId="1" priority="2138" operator="equal">
      <formula>0</formula>
    </cfRule>
  </conditionalFormatting>
  <conditionalFormatting sqref="D975">
    <cfRule type="cellIs" dxfId="1" priority="2140" operator="equal">
      <formula>0</formula>
    </cfRule>
  </conditionalFormatting>
  <conditionalFormatting sqref="D978">
    <cfRule type="expression" dxfId="0" priority="2144">
      <formula>D979=0</formula>
    </cfRule>
  </conditionalFormatting>
  <conditionalFormatting sqref="D979">
    <cfRule type="cellIs" dxfId="1" priority="2147" operator="equal">
      <formula>0</formula>
    </cfRule>
  </conditionalFormatting>
  <conditionalFormatting sqref="D980">
    <cfRule type="cellIs" dxfId="1" priority="2150" operator="equal">
      <formula>0</formula>
    </cfRule>
  </conditionalFormatting>
  <conditionalFormatting sqref="D981">
    <cfRule type="cellIs" dxfId="1" priority="2151" operator="equal">
      <formula>0</formula>
    </cfRule>
  </conditionalFormatting>
  <conditionalFormatting sqref="D982">
    <cfRule type="cellIs" dxfId="1" priority="2153" operator="equal">
      <formula>0</formula>
    </cfRule>
  </conditionalFormatting>
  <conditionalFormatting sqref="D983">
    <cfRule type="cellIs" dxfId="1" priority="2155" operator="equal">
      <formula>0</formula>
    </cfRule>
  </conditionalFormatting>
  <conditionalFormatting sqref="D984">
    <cfRule type="cellIs" dxfId="1" priority="2157" operator="equal">
      <formula>0</formula>
    </cfRule>
  </conditionalFormatting>
  <conditionalFormatting sqref="D985">
    <cfRule type="cellIs" dxfId="1" priority="2159" operator="equal">
      <formula>0</formula>
    </cfRule>
  </conditionalFormatting>
  <conditionalFormatting sqref="D986">
    <cfRule type="cellIs" dxfId="1" priority="2160" operator="equal">
      <formula>0</formula>
    </cfRule>
  </conditionalFormatting>
  <conditionalFormatting sqref="D988">
    <cfRule type="cellIs" dxfId="1" priority="2163" operator="equal">
      <formula>0</formula>
    </cfRule>
  </conditionalFormatting>
  <conditionalFormatting sqref="D989">
    <cfRule type="cellIs" dxfId="1" priority="2165" operator="equal">
      <formula>0</formula>
    </cfRule>
  </conditionalFormatting>
  <conditionalFormatting sqref="D99">
    <cfRule type="expression" dxfId="0" priority="173">
      <formula>D100=0</formula>
    </cfRule>
  </conditionalFormatting>
  <conditionalFormatting sqref="D990">
    <cfRule type="cellIs" dxfId="1" priority="2167" operator="equal">
      <formula>0</formula>
    </cfRule>
  </conditionalFormatting>
  <conditionalFormatting sqref="D991">
    <cfRule type="cellIs" dxfId="1" priority="2168" operator="equal">
      <formula>0</formula>
    </cfRule>
  </conditionalFormatting>
  <conditionalFormatting sqref="D999">
    <cfRule type="expression" dxfId="0" priority="2170">
      <formula>D1000=0</formula>
    </cfRule>
  </conditionalFormatting>
  <conditionalFormatting sqref="E100">
    <cfRule type="cellIs" dxfId="1" priority="177" operator="equal">
      <formula>0</formula>
    </cfRule>
  </conditionalFormatting>
  <conditionalFormatting sqref="E1000">
    <cfRule type="cellIs" dxfId="1" priority="2175" operator="equal">
      <formula>0</formula>
    </cfRule>
  </conditionalFormatting>
  <conditionalFormatting sqref="E1001">
    <cfRule type="cellIs" dxfId="1" priority="2179" operator="equal">
      <formula>0</formula>
    </cfRule>
  </conditionalFormatting>
  <conditionalFormatting sqref="E1002">
    <cfRule type="cellIs" dxfId="1" priority="2183" operator="equal">
      <formula>0</formula>
    </cfRule>
  </conditionalFormatting>
  <conditionalFormatting sqref="E1003">
    <cfRule type="cellIs" dxfId="1" priority="2186" operator="equal">
      <formula>0</formula>
    </cfRule>
  </conditionalFormatting>
  <conditionalFormatting sqref="E1004">
    <cfRule type="cellIs" dxfId="1" priority="2190" operator="equal">
      <formula>0</formula>
    </cfRule>
  </conditionalFormatting>
  <conditionalFormatting sqref="E1005">
    <cfRule type="cellIs" dxfId="1" priority="2194" operator="equal">
      <formula>0</formula>
    </cfRule>
  </conditionalFormatting>
  <conditionalFormatting sqref="E1006">
    <cfRule type="cellIs" dxfId="1" priority="2198" operator="equal">
      <formula>0</formula>
    </cfRule>
  </conditionalFormatting>
  <conditionalFormatting sqref="E1032">
    <cfRule type="expression" dxfId="0" priority="2230">
      <formula>E1033=0</formula>
    </cfRule>
  </conditionalFormatting>
  <conditionalFormatting sqref="E1033">
    <cfRule type="cellIs" dxfId="1" priority="2236" operator="equal">
      <formula>0</formula>
    </cfRule>
  </conditionalFormatting>
  <conditionalFormatting sqref="E1034">
    <cfRule type="cellIs" dxfId="1" priority="2242" operator="equal">
      <formula>0</formula>
    </cfRule>
  </conditionalFormatting>
  <conditionalFormatting sqref="E1035">
    <cfRule type="cellIs" dxfId="1" priority="2246" operator="equal">
      <formula>0</formula>
    </cfRule>
  </conditionalFormatting>
  <conditionalFormatting sqref="E1036">
    <cfRule type="cellIs" dxfId="1" priority="2252" operator="equal">
      <formula>0</formula>
    </cfRule>
  </conditionalFormatting>
  <conditionalFormatting sqref="E1037">
    <cfRule type="cellIs" dxfId="1" priority="2255" operator="equal">
      <formula>0</formula>
    </cfRule>
  </conditionalFormatting>
  <conditionalFormatting sqref="E1038">
    <cfRule type="cellIs" dxfId="1" priority="2259" operator="equal">
      <formula>0</formula>
    </cfRule>
  </conditionalFormatting>
  <conditionalFormatting sqref="E1039">
    <cfRule type="cellIs" dxfId="1" priority="2263" operator="equal">
      <formula>0</formula>
    </cfRule>
  </conditionalFormatting>
  <conditionalFormatting sqref="E1065">
    <cfRule type="expression" dxfId="0" priority="2289">
      <formula>E1066=0</formula>
    </cfRule>
  </conditionalFormatting>
  <conditionalFormatting sqref="E1066">
    <cfRule type="cellIs" dxfId="1" priority="2296" operator="equal">
      <formula>0</formula>
    </cfRule>
  </conditionalFormatting>
  <conditionalFormatting sqref="E1067">
    <cfRule type="cellIs" dxfId="1" priority="2303" operator="equal">
      <formula>0</formula>
    </cfRule>
  </conditionalFormatting>
  <conditionalFormatting sqref="E1068">
    <cfRule type="cellIs" dxfId="1" priority="2307" operator="equal">
      <formula>0</formula>
    </cfRule>
  </conditionalFormatting>
  <conditionalFormatting sqref="E1069">
    <cfRule type="cellIs" dxfId="1" priority="2311" operator="equal">
      <formula>0</formula>
    </cfRule>
  </conditionalFormatting>
  <conditionalFormatting sqref="E1071">
    <cfRule type="cellIs" dxfId="1" priority="2318" operator="equal">
      <formula>0</formula>
    </cfRule>
  </conditionalFormatting>
  <conditionalFormatting sqref="E1072">
    <cfRule type="cellIs" dxfId="1" priority="2322" operator="equal">
      <formula>0</formula>
    </cfRule>
  </conditionalFormatting>
  <conditionalFormatting sqref="E1073">
    <cfRule type="cellIs" dxfId="1" priority="2326" operator="equal">
      <formula>0</formula>
    </cfRule>
  </conditionalFormatting>
  <conditionalFormatting sqref="E1075">
    <cfRule type="cellIs" dxfId="1" priority="2333" operator="equal">
      <formula>0</formula>
    </cfRule>
  </conditionalFormatting>
  <conditionalFormatting sqref="E1076">
    <cfRule type="cellIs" dxfId="1" priority="2338" operator="equal">
      <formula>0</formula>
    </cfRule>
  </conditionalFormatting>
  <conditionalFormatting sqref="E1077">
    <cfRule type="cellIs" dxfId="1" priority="2342" operator="equal">
      <formula>0</formula>
    </cfRule>
  </conditionalFormatting>
  <conditionalFormatting sqref="E1078">
    <cfRule type="cellIs" dxfId="1" priority="2346" operator="equal">
      <formula>0</formula>
    </cfRule>
  </conditionalFormatting>
  <conditionalFormatting sqref="E1079">
    <cfRule type="cellIs" dxfId="1" priority="2350" operator="equal">
      <formula>0</formula>
    </cfRule>
  </conditionalFormatting>
  <conditionalFormatting sqref="E1080">
    <cfRule type="cellIs" dxfId="1" priority="2354" operator="equal">
      <formula>0</formula>
    </cfRule>
  </conditionalFormatting>
  <conditionalFormatting sqref="E1081">
    <cfRule type="cellIs" dxfId="1" priority="2358" operator="equal">
      <formula>0</formula>
    </cfRule>
  </conditionalFormatting>
  <conditionalFormatting sqref="E1082">
    <cfRule type="cellIs" dxfId="1" priority="2362" operator="equal">
      <formula>0</formula>
    </cfRule>
  </conditionalFormatting>
  <conditionalFormatting sqref="E1083">
    <cfRule type="cellIs" dxfId="1" priority="2367" operator="equal">
      <formula>0</formula>
    </cfRule>
  </conditionalFormatting>
  <conditionalFormatting sqref="E1085">
    <cfRule type="expression" dxfId="0" priority="2371">
      <formula>E1086=0</formula>
    </cfRule>
  </conditionalFormatting>
  <conditionalFormatting sqref="E1086">
    <cfRule type="cellIs" dxfId="1" priority="2380" operator="equal">
      <formula>0</formula>
    </cfRule>
  </conditionalFormatting>
  <conditionalFormatting sqref="E1088">
    <cfRule type="cellIs" dxfId="1" priority="2389" operator="equal">
      <formula>0</formula>
    </cfRule>
  </conditionalFormatting>
  <conditionalFormatting sqref="E109">
    <cfRule type="cellIs" dxfId="1" priority="187" operator="equal">
      <formula>0</formula>
    </cfRule>
  </conditionalFormatting>
  <conditionalFormatting sqref="E1090">
    <cfRule type="cellIs" dxfId="1" priority="2394" operator="equal">
      <formula>0</formula>
    </cfRule>
  </conditionalFormatting>
  <conditionalFormatting sqref="E1105">
    <cfRule type="expression" dxfId="0" priority="2422">
      <formula>E1106=0</formula>
    </cfRule>
  </conditionalFormatting>
  <conditionalFormatting sqref="E1106">
    <cfRule type="cellIs" dxfId="1" priority="2425" operator="equal">
      <formula>0</formula>
    </cfRule>
  </conditionalFormatting>
  <conditionalFormatting sqref="E1120">
    <cfRule type="cellIs" dxfId="1" priority="2440" operator="equal">
      <formula>0</formula>
    </cfRule>
  </conditionalFormatting>
  <conditionalFormatting sqref="E1131">
    <cfRule type="expression" dxfId="0" priority="2446">
      <formula>E1132=0</formula>
    </cfRule>
  </conditionalFormatting>
  <conditionalFormatting sqref="E1132">
    <cfRule type="cellIs" dxfId="1" priority="2455" operator="equal">
      <formula>0</formula>
    </cfRule>
  </conditionalFormatting>
  <conditionalFormatting sqref="E1133">
    <cfRule type="cellIs" dxfId="1" priority="2464" operator="equal">
      <formula>0</formula>
    </cfRule>
  </conditionalFormatting>
  <conditionalFormatting sqref="E1135">
    <cfRule type="cellIs" dxfId="1" priority="2473" operator="equal">
      <formula>0</formula>
    </cfRule>
  </conditionalFormatting>
  <conditionalFormatting sqref="E1136">
    <cfRule type="cellIs" dxfId="1" priority="2478" operator="equal">
      <formula>0</formula>
    </cfRule>
  </conditionalFormatting>
  <conditionalFormatting sqref="E1138">
    <cfRule type="cellIs" dxfId="1" priority="2488" operator="equal">
      <formula>0</formula>
    </cfRule>
  </conditionalFormatting>
  <conditionalFormatting sqref="E1141">
    <cfRule type="expression" dxfId="0" priority="2496">
      <formula>E1142=0</formula>
    </cfRule>
  </conditionalFormatting>
  <conditionalFormatting sqref="E1142">
    <cfRule type="cellIs" dxfId="1" priority="2501" operator="equal">
      <formula>0</formula>
    </cfRule>
  </conditionalFormatting>
  <conditionalFormatting sqref="E1144">
    <cfRule type="cellIs" dxfId="1" priority="2506" operator="equal">
      <formula>0</formula>
    </cfRule>
  </conditionalFormatting>
  <conditionalFormatting sqref="E1167">
    <cfRule type="expression" dxfId="0" priority="2525">
      <formula>E1168=0</formula>
    </cfRule>
  </conditionalFormatting>
  <conditionalFormatting sqref="E1168">
    <cfRule type="cellIs" dxfId="1" priority="2531" operator="equal">
      <formula>0</formula>
    </cfRule>
  </conditionalFormatting>
  <conditionalFormatting sqref="E1169">
    <cfRule type="cellIs" dxfId="1" priority="2537" operator="equal">
      <formula>0</formula>
    </cfRule>
  </conditionalFormatting>
  <conditionalFormatting sqref="E117">
    <cfRule type="expression" dxfId="0" priority="190">
      <formula>E118=0</formula>
    </cfRule>
  </conditionalFormatting>
  <conditionalFormatting sqref="E1170">
    <cfRule type="cellIs" dxfId="1" priority="2541" operator="equal">
      <formula>0</formula>
    </cfRule>
  </conditionalFormatting>
  <conditionalFormatting sqref="E1171">
    <cfRule type="cellIs" dxfId="1" priority="2545" operator="equal">
      <formula>0</formula>
    </cfRule>
  </conditionalFormatting>
  <conditionalFormatting sqref="E1172">
    <cfRule type="cellIs" dxfId="1" priority="2549" operator="equal">
      <formula>0</formula>
    </cfRule>
  </conditionalFormatting>
  <conditionalFormatting sqref="E1173">
    <cfRule type="cellIs" dxfId="1" priority="2553" operator="equal">
      <formula>0</formula>
    </cfRule>
  </conditionalFormatting>
  <conditionalFormatting sqref="E1174">
    <cfRule type="cellIs" dxfId="1" priority="2557" operator="equal">
      <formula>0</formula>
    </cfRule>
  </conditionalFormatting>
  <conditionalFormatting sqref="E1175">
    <cfRule type="cellIs" dxfId="1" priority="2562" operator="equal">
      <formula>0</formula>
    </cfRule>
  </conditionalFormatting>
  <conditionalFormatting sqref="E1176">
    <cfRule type="cellIs" dxfId="1" priority="2566" operator="equal">
      <formula>0</formula>
    </cfRule>
  </conditionalFormatting>
  <conditionalFormatting sqref="E1177">
    <cfRule type="cellIs" dxfId="1" priority="2570" operator="equal">
      <formula>0</formula>
    </cfRule>
  </conditionalFormatting>
  <conditionalFormatting sqref="E1178">
    <cfRule type="cellIs" dxfId="1" priority="2574" operator="equal">
      <formula>0</formula>
    </cfRule>
  </conditionalFormatting>
  <conditionalFormatting sqref="E1179">
    <cfRule type="cellIs" dxfId="1" priority="2578" operator="equal">
      <formula>0</formula>
    </cfRule>
  </conditionalFormatting>
  <conditionalFormatting sqref="E118">
    <cfRule type="cellIs" dxfId="1" priority="196" operator="equal">
      <formula>0</formula>
    </cfRule>
  </conditionalFormatting>
  <conditionalFormatting sqref="E1180">
    <cfRule type="cellIs" dxfId="1" priority="2582" operator="equal">
      <formula>0</formula>
    </cfRule>
  </conditionalFormatting>
  <conditionalFormatting sqref="E1182">
    <cfRule type="cellIs" dxfId="1" priority="2589" operator="equal">
      <formula>0</formula>
    </cfRule>
  </conditionalFormatting>
  <conditionalFormatting sqref="E1183">
    <cfRule type="cellIs" dxfId="1" priority="2593" operator="equal">
      <formula>0</formula>
    </cfRule>
  </conditionalFormatting>
  <conditionalFormatting sqref="E1185">
    <cfRule type="cellIs" dxfId="1" priority="2600" operator="equal">
      <formula>0</formula>
    </cfRule>
  </conditionalFormatting>
  <conditionalFormatting sqref="E119">
    <cfRule type="cellIs" dxfId="1" priority="202" operator="equal">
      <formula>0</formula>
    </cfRule>
  </conditionalFormatting>
  <conditionalFormatting sqref="E120">
    <cfRule type="cellIs" dxfId="1" priority="207" operator="equal">
      <formula>0</formula>
    </cfRule>
  </conditionalFormatting>
  <conditionalFormatting sqref="E1207">
    <cfRule type="expression" dxfId="0" priority="2640">
      <formula>E1208=0</formula>
    </cfRule>
  </conditionalFormatting>
  <conditionalFormatting sqref="E1208">
    <cfRule type="cellIs" dxfId="1" priority="2643" operator="equal">
      <formula>0</formula>
    </cfRule>
  </conditionalFormatting>
  <conditionalFormatting sqref="E121">
    <cfRule type="cellIs" dxfId="1" priority="211" operator="equal">
      <formula>0</formula>
    </cfRule>
  </conditionalFormatting>
  <conditionalFormatting sqref="E1212">
    <cfRule type="cellIs" dxfId="1" priority="2651" operator="equal">
      <formula>0</formula>
    </cfRule>
  </conditionalFormatting>
  <conditionalFormatting sqref="E122">
    <cfRule type="cellIs" dxfId="1" priority="215" operator="equal">
      <formula>0</formula>
    </cfRule>
  </conditionalFormatting>
  <conditionalFormatting sqref="E1233">
    <cfRule type="expression" dxfId="0" priority="2678">
      <formula>E1234=0</formula>
    </cfRule>
  </conditionalFormatting>
  <conditionalFormatting sqref="E1234">
    <cfRule type="cellIs" dxfId="1" priority="2682" operator="equal">
      <formula>0</formula>
    </cfRule>
  </conditionalFormatting>
  <conditionalFormatting sqref="E1235">
    <cfRule type="cellIs" dxfId="1" priority="2686" operator="equal">
      <formula>0</formula>
    </cfRule>
  </conditionalFormatting>
  <conditionalFormatting sqref="E1236">
    <cfRule type="cellIs" dxfId="1" priority="2690" operator="equal">
      <formula>0</formula>
    </cfRule>
  </conditionalFormatting>
  <conditionalFormatting sqref="E1237">
    <cfRule type="cellIs" dxfId="1" priority="2694" operator="equal">
      <formula>0</formula>
    </cfRule>
  </conditionalFormatting>
  <conditionalFormatting sqref="E1238">
    <cfRule type="cellIs" dxfId="1" priority="2698" operator="equal">
      <formula>0</formula>
    </cfRule>
  </conditionalFormatting>
  <conditionalFormatting sqref="E1239">
    <cfRule type="cellIs" dxfId="1" priority="2702" operator="equal">
      <formula>0</formula>
    </cfRule>
  </conditionalFormatting>
  <conditionalFormatting sqref="E1241">
    <cfRule type="expression" dxfId="0" priority="2706">
      <formula>E1242=0</formula>
    </cfRule>
  </conditionalFormatting>
  <conditionalFormatting sqref="E1242">
    <cfRule type="cellIs" dxfId="1" priority="2711" operator="equal">
      <formula>0</formula>
    </cfRule>
  </conditionalFormatting>
  <conditionalFormatting sqref="E1244">
    <cfRule type="cellIs" dxfId="1" priority="2717" operator="equal">
      <formula>0</formula>
    </cfRule>
  </conditionalFormatting>
  <conditionalFormatting sqref="E1247">
    <cfRule type="cellIs" dxfId="1" priority="2722" operator="equal">
      <formula>0</formula>
    </cfRule>
  </conditionalFormatting>
  <conditionalFormatting sqref="E125">
    <cfRule type="expression" dxfId="0" priority="224">
      <formula>E126=0</formula>
    </cfRule>
  </conditionalFormatting>
  <conditionalFormatting sqref="E126">
    <cfRule type="cellIs" dxfId="1" priority="228" operator="equal">
      <formula>0</formula>
    </cfRule>
  </conditionalFormatting>
  <conditionalFormatting sqref="E1263">
    <cfRule type="expression" dxfId="0" priority="2735">
      <formula>E1264=0</formula>
    </cfRule>
  </conditionalFormatting>
  <conditionalFormatting sqref="E1264">
    <cfRule type="cellIs" dxfId="1" priority="2741" operator="equal">
      <formula>0</formula>
    </cfRule>
  </conditionalFormatting>
  <conditionalFormatting sqref="E1265">
    <cfRule type="cellIs" dxfId="1" priority="2747" operator="equal">
      <formula>0</formula>
    </cfRule>
  </conditionalFormatting>
  <conditionalFormatting sqref="E1266">
    <cfRule type="cellIs" dxfId="1" priority="2751" operator="equal">
      <formula>0</formula>
    </cfRule>
  </conditionalFormatting>
  <conditionalFormatting sqref="E1267">
    <cfRule type="cellIs" dxfId="1" priority="2756" operator="equal">
      <formula>0</formula>
    </cfRule>
  </conditionalFormatting>
  <conditionalFormatting sqref="E1268">
    <cfRule type="cellIs" dxfId="1" priority="2760" operator="equal">
      <formula>0</formula>
    </cfRule>
  </conditionalFormatting>
  <conditionalFormatting sqref="E1269">
    <cfRule type="cellIs" dxfId="1" priority="2764" operator="equal">
      <formula>0</formula>
    </cfRule>
  </conditionalFormatting>
  <conditionalFormatting sqref="E1270">
    <cfRule type="cellIs" dxfId="1" priority="2767" operator="equal">
      <formula>0</formula>
    </cfRule>
  </conditionalFormatting>
  <conditionalFormatting sqref="E1271">
    <cfRule type="cellIs" dxfId="1" priority="2771" operator="equal">
      <formula>0</formula>
    </cfRule>
  </conditionalFormatting>
  <conditionalFormatting sqref="E1272">
    <cfRule type="cellIs" dxfId="1" priority="2775" operator="equal">
      <formula>0</formula>
    </cfRule>
  </conditionalFormatting>
  <conditionalFormatting sqref="E1274">
    <cfRule type="cellIs" dxfId="1" priority="2783" operator="equal">
      <formula>0</formula>
    </cfRule>
  </conditionalFormatting>
  <conditionalFormatting sqref="E1275">
    <cfRule type="cellIs" dxfId="1" priority="2788" operator="equal">
      <formula>0</formula>
    </cfRule>
  </conditionalFormatting>
  <conditionalFormatting sqref="E1279">
    <cfRule type="cellIs" dxfId="1" priority="2804" operator="equal">
      <formula>0</formula>
    </cfRule>
  </conditionalFormatting>
  <conditionalFormatting sqref="E1281">
    <cfRule type="expression" dxfId="0" priority="2809">
      <formula>E1282=0</formula>
    </cfRule>
  </conditionalFormatting>
  <conditionalFormatting sqref="E1282">
    <cfRule type="cellIs" dxfId="1" priority="2817" operator="equal">
      <formula>0</formula>
    </cfRule>
  </conditionalFormatting>
  <conditionalFormatting sqref="E1285">
    <cfRule type="cellIs" dxfId="1" priority="2828" operator="equal">
      <formula>0</formula>
    </cfRule>
  </conditionalFormatting>
  <conditionalFormatting sqref="E1286">
    <cfRule type="cellIs" dxfId="1" priority="2830" operator="equal">
      <formula>0</formula>
    </cfRule>
  </conditionalFormatting>
  <conditionalFormatting sqref="E129">
    <cfRule type="cellIs" dxfId="1" priority="234" operator="equal">
      <formula>0</formula>
    </cfRule>
  </conditionalFormatting>
  <conditionalFormatting sqref="E1292">
    <cfRule type="cellIs" dxfId="1" priority="2842" operator="equal">
      <formula>0</formula>
    </cfRule>
  </conditionalFormatting>
  <conditionalFormatting sqref="E1323">
    <cfRule type="expression" dxfId="0" priority="2876">
      <formula>E1324=0</formula>
    </cfRule>
  </conditionalFormatting>
  <conditionalFormatting sqref="E1324">
    <cfRule type="cellIs" dxfId="1" priority="2886" operator="equal">
      <formula>0</formula>
    </cfRule>
  </conditionalFormatting>
  <conditionalFormatting sqref="E1328">
    <cfRule type="cellIs" dxfId="1" priority="2910" operator="equal">
      <formula>0</formula>
    </cfRule>
  </conditionalFormatting>
  <conditionalFormatting sqref="E1330">
    <cfRule type="cellIs" dxfId="1" priority="2917" operator="equal">
      <formula>0</formula>
    </cfRule>
  </conditionalFormatting>
  <conditionalFormatting sqref="E1332">
    <cfRule type="cellIs" dxfId="1" priority="2926" operator="equal">
      <formula>0</formula>
    </cfRule>
  </conditionalFormatting>
  <conditionalFormatting sqref="E1333">
    <cfRule type="cellIs" dxfId="1" priority="2931" operator="equal">
      <formula>0</formula>
    </cfRule>
  </conditionalFormatting>
  <conditionalFormatting sqref="E1335">
    <cfRule type="cellIs" dxfId="1" priority="2941" operator="equal">
      <formula>0</formula>
    </cfRule>
  </conditionalFormatting>
  <conditionalFormatting sqref="E1337">
    <cfRule type="cellIs" dxfId="1" priority="2950" operator="equal">
      <formula>0</formula>
    </cfRule>
  </conditionalFormatting>
  <conditionalFormatting sqref="E1339">
    <cfRule type="cellIs" dxfId="1" priority="2961" operator="equal">
      <formula>0</formula>
    </cfRule>
  </conditionalFormatting>
  <conditionalFormatting sqref="E1341">
    <cfRule type="cellIs" dxfId="1" priority="2968" operator="equal">
      <formula>0</formula>
    </cfRule>
  </conditionalFormatting>
  <conditionalFormatting sqref="E1343">
    <cfRule type="expression" dxfId="0" priority="2975">
      <formula>E1344=0</formula>
    </cfRule>
  </conditionalFormatting>
  <conditionalFormatting sqref="E1344">
    <cfRule type="cellIs" dxfId="1" priority="2982" operator="equal">
      <formula>0</formula>
    </cfRule>
  </conditionalFormatting>
  <conditionalFormatting sqref="E1346">
    <cfRule type="cellIs" dxfId="1" priority="2990" operator="equal">
      <formula>0</formula>
    </cfRule>
  </conditionalFormatting>
  <conditionalFormatting sqref="E1348">
    <cfRule type="cellIs" dxfId="1" priority="2994" operator="equal">
      <formula>0</formula>
    </cfRule>
  </conditionalFormatting>
  <conditionalFormatting sqref="E1351">
    <cfRule type="cellIs" dxfId="1" priority="2997" operator="equal">
      <formula>0</formula>
    </cfRule>
  </conditionalFormatting>
  <conditionalFormatting sqref="E1352">
    <cfRule type="cellIs" dxfId="1" priority="2999" operator="equal">
      <formula>0</formula>
    </cfRule>
  </conditionalFormatting>
  <conditionalFormatting sqref="E1354">
    <cfRule type="cellIs" dxfId="1" priority="3003" operator="equal">
      <formula>0</formula>
    </cfRule>
  </conditionalFormatting>
  <conditionalFormatting sqref="E1356">
    <cfRule type="cellIs" dxfId="1" priority="3007" operator="equal">
      <formula>0</formula>
    </cfRule>
  </conditionalFormatting>
  <conditionalFormatting sqref="E1357">
    <cfRule type="cellIs" dxfId="1" priority="3009" operator="equal">
      <formula>0</formula>
    </cfRule>
  </conditionalFormatting>
  <conditionalFormatting sqref="E1359">
    <cfRule type="cellIs" dxfId="1" priority="3013" operator="equal">
      <formula>0</formula>
    </cfRule>
  </conditionalFormatting>
  <conditionalFormatting sqref="E1360">
    <cfRule type="cellIs" dxfId="1" priority="3015" operator="equal">
      <formula>0</formula>
    </cfRule>
  </conditionalFormatting>
  <conditionalFormatting sqref="E1361">
    <cfRule type="cellIs" dxfId="1" priority="3017" operator="equal">
      <formula>0</formula>
    </cfRule>
  </conditionalFormatting>
  <conditionalFormatting sqref="E1363">
    <cfRule type="expression" dxfId="0" priority="3021">
      <formula>E1364=0</formula>
    </cfRule>
  </conditionalFormatting>
  <conditionalFormatting sqref="E1364">
    <cfRule type="cellIs" dxfId="1" priority="3025" operator="equal">
      <formula>0</formula>
    </cfRule>
  </conditionalFormatting>
  <conditionalFormatting sqref="E1371">
    <cfRule type="cellIs" dxfId="1" priority="3034" operator="equal">
      <formula>0</formula>
    </cfRule>
  </conditionalFormatting>
  <conditionalFormatting sqref="E1389">
    <cfRule type="expression" dxfId="0" priority="3050">
      <formula>E1390=0</formula>
    </cfRule>
  </conditionalFormatting>
  <conditionalFormatting sqref="E1390">
    <cfRule type="cellIs" dxfId="1" priority="3059" operator="equal">
      <formula>0</formula>
    </cfRule>
  </conditionalFormatting>
  <conditionalFormatting sqref="E1392">
    <cfRule type="cellIs" dxfId="1" priority="3070" operator="equal">
      <formula>0</formula>
    </cfRule>
  </conditionalFormatting>
  <conditionalFormatting sqref="E1393">
    <cfRule type="cellIs" dxfId="1" priority="3073" operator="equal">
      <formula>0</formula>
    </cfRule>
  </conditionalFormatting>
  <conditionalFormatting sqref="E1394">
    <cfRule type="cellIs" dxfId="1" priority="3078" operator="equal">
      <formula>0</formula>
    </cfRule>
  </conditionalFormatting>
  <conditionalFormatting sqref="E1396">
    <cfRule type="cellIs" dxfId="1" priority="3086" operator="equal">
      <formula>0</formula>
    </cfRule>
  </conditionalFormatting>
  <conditionalFormatting sqref="E1398">
    <cfRule type="cellIs" dxfId="1" priority="3095" operator="equal">
      <formula>0</formula>
    </cfRule>
  </conditionalFormatting>
  <conditionalFormatting sqref="E1399">
    <cfRule type="cellIs" dxfId="1" priority="3100" operator="equal">
      <formula>0</formula>
    </cfRule>
  </conditionalFormatting>
  <conditionalFormatting sqref="E1401">
    <cfRule type="cellIs" dxfId="1" priority="3108" operator="equal">
      <formula>0</formula>
    </cfRule>
  </conditionalFormatting>
  <conditionalFormatting sqref="E1404">
    <cfRule type="expression" dxfId="0" priority="3116">
      <formula>E1405=0</formula>
    </cfRule>
  </conditionalFormatting>
  <conditionalFormatting sqref="E1405">
    <cfRule type="cellIs" dxfId="1" priority="3122" operator="equal">
      <formula>0</formula>
    </cfRule>
  </conditionalFormatting>
  <conditionalFormatting sqref="E1408">
    <cfRule type="cellIs" dxfId="1" priority="3128" operator="equal">
      <formula>0</formula>
    </cfRule>
  </conditionalFormatting>
  <conditionalFormatting sqref="E1413">
    <cfRule type="cellIs" dxfId="1" priority="3136" operator="equal">
      <formula>0</formula>
    </cfRule>
  </conditionalFormatting>
  <conditionalFormatting sqref="E1415">
    <cfRule type="cellIs" dxfId="1" priority="3140" operator="equal">
      <formula>0</formula>
    </cfRule>
  </conditionalFormatting>
  <conditionalFormatting sqref="E1416">
    <cfRule type="cellIs" dxfId="1" priority="3142" operator="equal">
      <formula>0</formula>
    </cfRule>
  </conditionalFormatting>
  <conditionalFormatting sqref="E1419">
    <cfRule type="expression" dxfId="0" priority="3147">
      <formula>E1420=0</formula>
    </cfRule>
  </conditionalFormatting>
  <conditionalFormatting sqref="E1420">
    <cfRule type="cellIs" dxfId="1" priority="3150" operator="equal">
      <formula>0</formula>
    </cfRule>
  </conditionalFormatting>
  <conditionalFormatting sqref="E1425">
    <cfRule type="cellIs" dxfId="1" priority="3157" operator="equal">
      <formula>0</formula>
    </cfRule>
  </conditionalFormatting>
  <conditionalFormatting sqref="E1426">
    <cfRule type="cellIs" dxfId="1" priority="3158" operator="equal">
      <formula>0</formula>
    </cfRule>
  </conditionalFormatting>
  <conditionalFormatting sqref="E1429">
    <cfRule type="cellIs" dxfId="1" priority="3164" operator="equal">
      <formula>0</formula>
    </cfRule>
  </conditionalFormatting>
  <conditionalFormatting sqref="E1440">
    <cfRule type="expression" dxfId="0" priority="3172">
      <formula>E1441=0</formula>
    </cfRule>
  </conditionalFormatting>
  <conditionalFormatting sqref="E1441">
    <cfRule type="cellIs" dxfId="1" priority="3176" operator="equal">
      <formula>0</formula>
    </cfRule>
  </conditionalFormatting>
  <conditionalFormatting sqref="E1442">
    <cfRule type="cellIs" dxfId="1" priority="3180" operator="equal">
      <formula>0</formula>
    </cfRule>
  </conditionalFormatting>
  <conditionalFormatting sqref="E1443">
    <cfRule type="cellIs" dxfId="1" priority="3184" operator="equal">
      <formula>0</formula>
    </cfRule>
  </conditionalFormatting>
  <conditionalFormatting sqref="E1444">
    <cfRule type="cellIs" dxfId="1" priority="3188" operator="equal">
      <formula>0</formula>
    </cfRule>
  </conditionalFormatting>
  <conditionalFormatting sqref="E1445">
    <cfRule type="cellIs" dxfId="1" priority="3192" operator="equal">
      <formula>0</formula>
    </cfRule>
  </conditionalFormatting>
  <conditionalFormatting sqref="E1446">
    <cfRule type="cellIs" dxfId="1" priority="3196" operator="equal">
      <formula>0</formula>
    </cfRule>
  </conditionalFormatting>
  <conditionalFormatting sqref="E1447">
    <cfRule type="cellIs" dxfId="1" priority="3200" operator="equal">
      <formula>0</formula>
    </cfRule>
  </conditionalFormatting>
  <conditionalFormatting sqref="E1448">
    <cfRule type="cellIs" dxfId="1" priority="3204" operator="equal">
      <formula>0</formula>
    </cfRule>
  </conditionalFormatting>
  <conditionalFormatting sqref="E1449">
    <cfRule type="cellIs" dxfId="1" priority="3208" operator="equal">
      <formula>0</formula>
    </cfRule>
  </conditionalFormatting>
  <conditionalFormatting sqref="E147">
    <cfRule type="expression" dxfId="0" priority="254">
      <formula>E148=0</formula>
    </cfRule>
  </conditionalFormatting>
  <conditionalFormatting sqref="E148">
    <cfRule type="cellIs" dxfId="1" priority="260" operator="equal">
      <formula>0</formula>
    </cfRule>
  </conditionalFormatting>
  <conditionalFormatting sqref="E1482">
    <cfRule type="expression" dxfId="0" priority="3255">
      <formula>E1483=0</formula>
    </cfRule>
  </conditionalFormatting>
  <conditionalFormatting sqref="E1483">
    <cfRule type="cellIs" dxfId="1" priority="3259" operator="equal">
      <formula>0</formula>
    </cfRule>
  </conditionalFormatting>
  <conditionalFormatting sqref="E1484">
    <cfRule type="cellIs" dxfId="1" priority="3263" operator="equal">
      <formula>0</formula>
    </cfRule>
  </conditionalFormatting>
  <conditionalFormatting sqref="E1485">
    <cfRule type="cellIs" dxfId="1" priority="3267" operator="equal">
      <formula>0</formula>
    </cfRule>
  </conditionalFormatting>
  <conditionalFormatting sqref="E1486">
    <cfRule type="cellIs" dxfId="1" priority="3270" operator="equal">
      <formula>0</formula>
    </cfRule>
  </conditionalFormatting>
  <conditionalFormatting sqref="E149">
    <cfRule type="cellIs" dxfId="1" priority="266" operator="equal">
      <formula>0</formula>
    </cfRule>
  </conditionalFormatting>
  <conditionalFormatting sqref="E150">
    <cfRule type="cellIs" dxfId="1" priority="270" operator="equal">
      <formula>0</formula>
    </cfRule>
  </conditionalFormatting>
  <conditionalFormatting sqref="E1506">
    <cfRule type="expression" dxfId="0" priority="3292">
      <formula>E1507=0</formula>
    </cfRule>
  </conditionalFormatting>
  <conditionalFormatting sqref="E1507">
    <cfRule type="cellIs" dxfId="1" priority="3296" operator="equal">
      <formula>0</formula>
    </cfRule>
  </conditionalFormatting>
  <conditionalFormatting sqref="E1508">
    <cfRule type="cellIs" dxfId="1" priority="3300" operator="equal">
      <formula>0</formula>
    </cfRule>
  </conditionalFormatting>
  <conditionalFormatting sqref="E1509">
    <cfRule type="cellIs" dxfId="1" priority="3304" operator="equal">
      <formula>0</formula>
    </cfRule>
  </conditionalFormatting>
  <conditionalFormatting sqref="E151">
    <cfRule type="cellIs" dxfId="1" priority="274" operator="equal">
      <formula>0</formula>
    </cfRule>
  </conditionalFormatting>
  <conditionalFormatting sqref="E1511">
    <cfRule type="expression" dxfId="0" priority="3308">
      <formula>E1512=0</formula>
    </cfRule>
  </conditionalFormatting>
  <conditionalFormatting sqref="E1512">
    <cfRule type="cellIs" dxfId="1" priority="3311" operator="equal">
      <formula>0</formula>
    </cfRule>
  </conditionalFormatting>
  <conditionalFormatting sqref="E1514">
    <cfRule type="cellIs" dxfId="1" priority="3315" operator="equal">
      <formula>0</formula>
    </cfRule>
  </conditionalFormatting>
  <conditionalFormatting sqref="E152">
    <cfRule type="cellIs" dxfId="1" priority="278" operator="equal">
      <formula>0</formula>
    </cfRule>
  </conditionalFormatting>
  <conditionalFormatting sqref="E1527">
    <cfRule type="expression" dxfId="0" priority="3322">
      <formula>E1528=0</formula>
    </cfRule>
  </conditionalFormatting>
  <conditionalFormatting sqref="E1528">
    <cfRule type="cellIs" dxfId="1" priority="3331" operator="equal">
      <formula>0</formula>
    </cfRule>
  </conditionalFormatting>
  <conditionalFormatting sqref="E1529">
    <cfRule type="cellIs" dxfId="1" priority="3340" operator="equal">
      <formula>0</formula>
    </cfRule>
  </conditionalFormatting>
  <conditionalFormatting sqref="E153">
    <cfRule type="cellIs" dxfId="1" priority="282" operator="equal">
      <formula>0</formula>
    </cfRule>
  </conditionalFormatting>
  <conditionalFormatting sqref="E1531">
    <cfRule type="cellIs" dxfId="1" priority="3348" operator="equal">
      <formula>0</formula>
    </cfRule>
  </conditionalFormatting>
  <conditionalFormatting sqref="E1532">
    <cfRule type="cellIs" dxfId="1" priority="3351" operator="equal">
      <formula>0</formula>
    </cfRule>
  </conditionalFormatting>
  <conditionalFormatting sqref="E1533">
    <cfRule type="cellIs" dxfId="1" priority="3354" operator="equal">
      <formula>0</formula>
    </cfRule>
  </conditionalFormatting>
  <conditionalFormatting sqref="E1534">
    <cfRule type="cellIs" dxfId="1" priority="3359" operator="equal">
      <formula>0</formula>
    </cfRule>
  </conditionalFormatting>
  <conditionalFormatting sqref="E1535">
    <cfRule type="cellIs" dxfId="1" priority="3362" operator="equal">
      <formula>0</formula>
    </cfRule>
  </conditionalFormatting>
  <conditionalFormatting sqref="E1538">
    <cfRule type="cellIs" dxfId="1" priority="3376" operator="equal">
      <formula>0</formula>
    </cfRule>
  </conditionalFormatting>
  <conditionalFormatting sqref="E154">
    <cfRule type="cellIs" dxfId="1" priority="286" operator="equal">
      <formula>0</formula>
    </cfRule>
  </conditionalFormatting>
  <conditionalFormatting sqref="E1542">
    <cfRule type="expression" dxfId="0" priority="3388">
      <formula>E1543=0</formula>
    </cfRule>
  </conditionalFormatting>
  <conditionalFormatting sqref="E1543">
    <cfRule type="cellIs" dxfId="1" priority="3395" operator="equal">
      <formula>0</formula>
    </cfRule>
  </conditionalFormatting>
  <conditionalFormatting sqref="E1548">
    <cfRule type="cellIs" dxfId="1" priority="3404" operator="equal">
      <formula>0</formula>
    </cfRule>
  </conditionalFormatting>
  <conditionalFormatting sqref="E155">
    <cfRule type="cellIs" dxfId="1" priority="291" operator="equal">
      <formula>0</formula>
    </cfRule>
  </conditionalFormatting>
  <conditionalFormatting sqref="E1553">
    <cfRule type="cellIs" dxfId="1" priority="3412" operator="equal">
      <formula>0</formula>
    </cfRule>
  </conditionalFormatting>
  <conditionalFormatting sqref="E156">
    <cfRule type="cellIs" dxfId="1" priority="295" operator="equal">
      <formula>0</formula>
    </cfRule>
  </conditionalFormatting>
  <conditionalFormatting sqref="E1578">
    <cfRule type="expression" dxfId="0" priority="3438">
      <formula>E1579=0</formula>
    </cfRule>
  </conditionalFormatting>
  <conditionalFormatting sqref="E1579">
    <cfRule type="cellIs" dxfId="1" priority="3443" operator="equal">
      <formula>0</formula>
    </cfRule>
  </conditionalFormatting>
  <conditionalFormatting sqref="E158">
    <cfRule type="cellIs" dxfId="1" priority="302" operator="equal">
      <formula>0</formula>
    </cfRule>
  </conditionalFormatting>
  <conditionalFormatting sqref="E1580">
    <cfRule type="cellIs" dxfId="1" priority="3448" operator="equal">
      <formula>0</formula>
    </cfRule>
  </conditionalFormatting>
  <conditionalFormatting sqref="E1581">
    <cfRule type="cellIs" dxfId="1" priority="3451" operator="equal">
      <formula>0</formula>
    </cfRule>
  </conditionalFormatting>
  <conditionalFormatting sqref="E1582">
    <cfRule type="cellIs" dxfId="1" priority="3455" operator="equal">
      <formula>0</formula>
    </cfRule>
  </conditionalFormatting>
  <conditionalFormatting sqref="E1583">
    <cfRule type="cellIs" dxfId="1" priority="3459" operator="equal">
      <formula>0</formula>
    </cfRule>
  </conditionalFormatting>
  <conditionalFormatting sqref="E1585">
    <cfRule type="expression" dxfId="0" priority="3464">
      <formula>E1586=0</formula>
    </cfRule>
  </conditionalFormatting>
  <conditionalFormatting sqref="E1586">
    <cfRule type="cellIs" dxfId="1" priority="3467" operator="equal">
      <formula>0</formula>
    </cfRule>
  </conditionalFormatting>
  <conditionalFormatting sqref="E1590">
    <cfRule type="cellIs" dxfId="1" priority="3475" operator="equal">
      <formula>0</formula>
    </cfRule>
  </conditionalFormatting>
  <conditionalFormatting sqref="E160">
    <cfRule type="expression" dxfId="0" priority="306">
      <formula>E161=0</formula>
    </cfRule>
  </conditionalFormatting>
  <conditionalFormatting sqref="E1605">
    <cfRule type="expression" dxfId="0" priority="3489">
      <formula>E1606=0</formula>
    </cfRule>
  </conditionalFormatting>
  <conditionalFormatting sqref="E1606">
    <cfRule type="cellIs" dxfId="1" priority="3496" operator="equal">
      <formula>0</formula>
    </cfRule>
  </conditionalFormatting>
  <conditionalFormatting sqref="E1607">
    <cfRule type="cellIs" dxfId="1" priority="3503" operator="equal">
      <formula>0</formula>
    </cfRule>
  </conditionalFormatting>
  <conditionalFormatting sqref="E1608">
    <cfRule type="cellIs" dxfId="1" priority="3508" operator="equal">
      <formula>0</formula>
    </cfRule>
  </conditionalFormatting>
  <conditionalFormatting sqref="E161">
    <cfRule type="cellIs" dxfId="1" priority="315" operator="equal">
      <formula>0</formula>
    </cfRule>
  </conditionalFormatting>
  <conditionalFormatting sqref="E163">
    <cfRule type="cellIs" dxfId="1" priority="324" operator="equal">
      <formula>0</formula>
    </cfRule>
  </conditionalFormatting>
  <conditionalFormatting sqref="E171">
    <cfRule type="cellIs" dxfId="1" priority="338" operator="equal">
      <formula>0</formula>
    </cfRule>
  </conditionalFormatting>
  <conditionalFormatting sqref="E173">
    <cfRule type="expression" dxfId="0" priority="342">
      <formula>E174=0</formula>
    </cfRule>
  </conditionalFormatting>
  <conditionalFormatting sqref="E174">
    <cfRule type="cellIs" dxfId="1" priority="346" operator="equal">
      <formula>0</formula>
    </cfRule>
  </conditionalFormatting>
  <conditionalFormatting sqref="E182">
    <cfRule type="cellIs" dxfId="1" priority="355" operator="equal">
      <formula>0</formula>
    </cfRule>
  </conditionalFormatting>
  <conditionalFormatting sqref="E192">
    <cfRule type="expression" dxfId="0" priority="361">
      <formula>E193=0</formula>
    </cfRule>
  </conditionalFormatting>
  <conditionalFormatting sqref="E193">
    <cfRule type="cellIs" dxfId="1" priority="372" operator="equal">
      <formula>0</formula>
    </cfRule>
  </conditionalFormatting>
  <conditionalFormatting sqref="E195">
    <cfRule type="cellIs" dxfId="1" priority="387" operator="equal">
      <formula>0</formula>
    </cfRule>
  </conditionalFormatting>
  <conditionalFormatting sqref="E201">
    <cfRule type="cellIs" dxfId="1" priority="414" operator="equal">
      <formula>0</formula>
    </cfRule>
  </conditionalFormatting>
  <conditionalFormatting sqref="E202">
    <cfRule type="cellIs" dxfId="1" priority="419" operator="equal">
      <formula>0</formula>
    </cfRule>
  </conditionalFormatting>
  <conditionalFormatting sqref="E205">
    <cfRule type="cellIs" dxfId="1" priority="431" operator="equal">
      <formula>0</formula>
    </cfRule>
  </conditionalFormatting>
  <conditionalFormatting sqref="E206">
    <cfRule type="cellIs" dxfId="1" priority="436" operator="equal">
      <formula>0</formula>
    </cfRule>
  </conditionalFormatting>
  <conditionalFormatting sqref="E208">
    <cfRule type="cellIs" dxfId="1" priority="445" operator="equal">
      <formula>0</formula>
    </cfRule>
  </conditionalFormatting>
  <conditionalFormatting sqref="E209">
    <cfRule type="cellIs" dxfId="1" priority="449" operator="equal">
      <formula>0</formula>
    </cfRule>
  </conditionalFormatting>
  <conditionalFormatting sqref="E210">
    <cfRule type="cellIs" dxfId="1" priority="451" operator="equal">
      <formula>0</formula>
    </cfRule>
  </conditionalFormatting>
  <conditionalFormatting sqref="E213">
    <cfRule type="expression" dxfId="0" priority="459">
      <formula>E214=0</formula>
    </cfRule>
  </conditionalFormatting>
  <conditionalFormatting sqref="E214">
    <cfRule type="cellIs" dxfId="1" priority="465" operator="equal">
      <formula>0</formula>
    </cfRule>
  </conditionalFormatting>
  <conditionalFormatting sqref="E216">
    <cfRule type="cellIs" dxfId="1" priority="471" operator="equal">
      <formula>0</formula>
    </cfRule>
  </conditionalFormatting>
  <conditionalFormatting sqref="E220">
    <cfRule type="cellIs" dxfId="1" priority="476" operator="equal">
      <formula>0</formula>
    </cfRule>
  </conditionalFormatting>
  <conditionalFormatting sqref="E222">
    <cfRule type="cellIs" dxfId="1" priority="479" operator="equal">
      <formula>0</formula>
    </cfRule>
  </conditionalFormatting>
  <conditionalFormatting sqref="E229">
    <cfRule type="cellIs" dxfId="1" priority="489" operator="equal">
      <formula>0</formula>
    </cfRule>
  </conditionalFormatting>
  <conditionalFormatting sqref="E231">
    <cfRule type="cellIs" dxfId="1" priority="492" operator="equal">
      <formula>0</formula>
    </cfRule>
  </conditionalFormatting>
  <conditionalFormatting sqref="E261">
    <cfRule type="expression" dxfId="0" priority="521">
      <formula>E262=0</formula>
    </cfRule>
  </conditionalFormatting>
  <conditionalFormatting sqref="E262">
    <cfRule type="cellIs" dxfId="1" priority="525" operator="equal">
      <formula>0</formula>
    </cfRule>
  </conditionalFormatting>
  <conditionalFormatting sqref="E263">
    <cfRule type="cellIs" dxfId="1" priority="529" operator="equal">
      <formula>0</formula>
    </cfRule>
  </conditionalFormatting>
  <conditionalFormatting sqref="E264">
    <cfRule type="cellIs" dxfId="1" priority="533" operator="equal">
      <formula>0</formula>
    </cfRule>
  </conditionalFormatting>
  <conditionalFormatting sqref="E27">
    <cfRule type="expression" dxfId="0" priority="3">
      <formula>E28=0</formula>
    </cfRule>
  </conditionalFormatting>
  <conditionalFormatting sqref="E28">
    <cfRule type="cellIs" dxfId="1" priority="9" operator="equal">
      <formula>0</formula>
    </cfRule>
  </conditionalFormatting>
  <conditionalFormatting sqref="E282">
    <cfRule type="expression" dxfId="0" priority="552">
      <formula>E283=0</formula>
    </cfRule>
  </conditionalFormatting>
  <conditionalFormatting sqref="E283">
    <cfRule type="cellIs" dxfId="1" priority="560" operator="equal">
      <formula>0</formula>
    </cfRule>
  </conditionalFormatting>
  <conditionalFormatting sqref="E285">
    <cfRule type="cellIs" dxfId="1" priority="574" operator="equal">
      <formula>0</formula>
    </cfRule>
  </conditionalFormatting>
  <conditionalFormatting sqref="E287">
    <cfRule type="cellIs" dxfId="1" priority="582" operator="equal">
      <formula>0</formula>
    </cfRule>
  </conditionalFormatting>
  <conditionalFormatting sqref="E289">
    <cfRule type="cellIs" dxfId="1" priority="590" operator="equal">
      <formula>0</formula>
    </cfRule>
  </conditionalFormatting>
  <conditionalFormatting sqref="E29">
    <cfRule type="cellIs" dxfId="1" priority="15" operator="equal">
      <formula>0</formula>
    </cfRule>
  </conditionalFormatting>
  <conditionalFormatting sqref="E290">
    <cfRule type="cellIs" dxfId="1" priority="594" operator="equal">
      <formula>0</formula>
    </cfRule>
  </conditionalFormatting>
  <conditionalFormatting sqref="E291">
    <cfRule type="cellIs" dxfId="1" priority="598" operator="equal">
      <formula>0</formula>
    </cfRule>
  </conditionalFormatting>
  <conditionalFormatting sqref="E293">
    <cfRule type="cellIs" dxfId="1" priority="606" operator="equal">
      <formula>0</formula>
    </cfRule>
  </conditionalFormatting>
  <conditionalFormatting sqref="E294">
    <cfRule type="cellIs" dxfId="1" priority="609" operator="equal">
      <formula>0</formula>
    </cfRule>
  </conditionalFormatting>
  <conditionalFormatting sqref="E295">
    <cfRule type="cellIs" dxfId="1" priority="613" operator="equal">
      <formula>0</formula>
    </cfRule>
  </conditionalFormatting>
  <conditionalFormatting sqref="E297">
    <cfRule type="cellIs" dxfId="1" priority="621" operator="equal">
      <formula>0</formula>
    </cfRule>
  </conditionalFormatting>
  <conditionalFormatting sqref="E298">
    <cfRule type="cellIs" dxfId="1" priority="624" operator="equal">
      <formula>0</formula>
    </cfRule>
  </conditionalFormatting>
  <conditionalFormatting sqref="E299">
    <cfRule type="cellIs" dxfId="1" priority="628" operator="equal">
      <formula>0</formula>
    </cfRule>
  </conditionalFormatting>
  <conditionalFormatting sqref="E30">
    <cfRule type="cellIs" dxfId="1" priority="19" operator="equal">
      <formula>0</formula>
    </cfRule>
  </conditionalFormatting>
  <conditionalFormatting sqref="E300">
    <cfRule type="cellIs" dxfId="1" priority="633" operator="equal">
      <formula>0</formula>
    </cfRule>
  </conditionalFormatting>
  <conditionalFormatting sqref="E301">
    <cfRule type="cellIs" dxfId="1" priority="638" operator="equal">
      <formula>0</formula>
    </cfRule>
  </conditionalFormatting>
  <conditionalFormatting sqref="E302">
    <cfRule type="cellIs" dxfId="1" priority="643" operator="equal">
      <formula>0</formula>
    </cfRule>
  </conditionalFormatting>
  <conditionalFormatting sqref="E303">
    <cfRule type="cellIs" dxfId="1" priority="647" operator="equal">
      <formula>0</formula>
    </cfRule>
  </conditionalFormatting>
  <conditionalFormatting sqref="E304">
    <cfRule type="cellIs" dxfId="1" priority="651" operator="equal">
      <formula>0</formula>
    </cfRule>
  </conditionalFormatting>
  <conditionalFormatting sqref="E305">
    <cfRule type="cellIs" dxfId="1" priority="655" operator="equal">
      <formula>0</formula>
    </cfRule>
  </conditionalFormatting>
  <conditionalFormatting sqref="E306">
    <cfRule type="cellIs" dxfId="1" priority="659" operator="equal">
      <formula>0</formula>
    </cfRule>
  </conditionalFormatting>
  <conditionalFormatting sqref="E307">
    <cfRule type="cellIs" dxfId="1" priority="663" operator="equal">
      <formula>0</formula>
    </cfRule>
  </conditionalFormatting>
  <conditionalFormatting sqref="E309">
    <cfRule type="expression" dxfId="0" priority="668">
      <formula>E310=0</formula>
    </cfRule>
  </conditionalFormatting>
  <conditionalFormatting sqref="E310">
    <cfRule type="cellIs" dxfId="1" priority="676" operator="equal">
      <formula>0</formula>
    </cfRule>
  </conditionalFormatting>
  <conditionalFormatting sqref="E312">
    <cfRule type="cellIs" dxfId="1" priority="685" operator="equal">
      <formula>0</formula>
    </cfRule>
  </conditionalFormatting>
  <conditionalFormatting sqref="E32">
    <cfRule type="cellIs" dxfId="1" priority="27" operator="equal">
      <formula>0</formula>
    </cfRule>
  </conditionalFormatting>
  <conditionalFormatting sqref="E322">
    <cfRule type="cellIs" dxfId="1" priority="705" operator="equal">
      <formula>0</formula>
    </cfRule>
  </conditionalFormatting>
  <conditionalFormatting sqref="E329">
    <cfRule type="cellIs" dxfId="1" priority="718" operator="equal">
      <formula>0</formula>
    </cfRule>
  </conditionalFormatting>
  <conditionalFormatting sqref="E33">
    <cfRule type="cellIs" dxfId="1" priority="31" operator="equal">
      <formula>0</formula>
    </cfRule>
  </conditionalFormatting>
  <conditionalFormatting sqref="E331">
    <cfRule type="cellIs" dxfId="1" priority="722" operator="equal">
      <formula>0</formula>
    </cfRule>
  </conditionalFormatting>
  <conditionalFormatting sqref="E336">
    <cfRule type="expression" dxfId="0" priority="731">
      <formula>E337=0</formula>
    </cfRule>
  </conditionalFormatting>
  <conditionalFormatting sqref="E337">
    <cfRule type="cellIs" dxfId="1" priority="734" operator="equal">
      <formula>0</formula>
    </cfRule>
  </conditionalFormatting>
  <conditionalFormatting sqref="E35">
    <cfRule type="expression" dxfId="0" priority="35">
      <formula>E36=0</formula>
    </cfRule>
  </conditionalFormatting>
  <conditionalFormatting sqref="E357">
    <cfRule type="cellIs" dxfId="1" priority="757" operator="equal">
      <formula>0</formula>
    </cfRule>
  </conditionalFormatting>
  <conditionalFormatting sqref="E36">
    <cfRule type="cellIs" dxfId="1" priority="38" operator="equal">
      <formula>0</formula>
    </cfRule>
  </conditionalFormatting>
  <conditionalFormatting sqref="E369">
    <cfRule type="expression" dxfId="0" priority="764">
      <formula>E370=0</formula>
    </cfRule>
  </conditionalFormatting>
  <conditionalFormatting sqref="E370">
    <cfRule type="cellIs" dxfId="1" priority="771" operator="equal">
      <formula>0</formula>
    </cfRule>
  </conditionalFormatting>
  <conditionalFormatting sqref="E371">
    <cfRule type="cellIs" dxfId="1" priority="778" operator="equal">
      <formula>0</formula>
    </cfRule>
  </conditionalFormatting>
  <conditionalFormatting sqref="E372">
    <cfRule type="cellIs" dxfId="1" priority="782" operator="equal">
      <formula>0</formula>
    </cfRule>
  </conditionalFormatting>
  <conditionalFormatting sqref="E373">
    <cfRule type="cellIs" dxfId="1" priority="788" operator="equal">
      <formula>0</formula>
    </cfRule>
  </conditionalFormatting>
  <conditionalFormatting sqref="E374">
    <cfRule type="cellIs" dxfId="1" priority="792" operator="equal">
      <formula>0</formula>
    </cfRule>
  </conditionalFormatting>
  <conditionalFormatting sqref="E375">
    <cfRule type="cellIs" dxfId="1" priority="796" operator="equal">
      <formula>0</formula>
    </cfRule>
  </conditionalFormatting>
  <conditionalFormatting sqref="E377">
    <cfRule type="expression" dxfId="0" priority="800">
      <formula>E378=0</formula>
    </cfRule>
  </conditionalFormatting>
  <conditionalFormatting sqref="E378">
    <cfRule type="cellIs" dxfId="1" priority="803" operator="equal">
      <formula>0</formula>
    </cfRule>
  </conditionalFormatting>
  <conditionalFormatting sqref="E380">
    <cfRule type="cellIs" dxfId="1" priority="806" operator="equal">
      <formula>0</formula>
    </cfRule>
  </conditionalFormatting>
  <conditionalFormatting sqref="E399">
    <cfRule type="expression" dxfId="0" priority="821">
      <formula>E400=0</formula>
    </cfRule>
  </conditionalFormatting>
  <conditionalFormatting sqref="E40">
    <cfRule type="cellIs" dxfId="1" priority="45" operator="equal">
      <formula>0</formula>
    </cfRule>
  </conditionalFormatting>
  <conditionalFormatting sqref="E400">
    <cfRule type="cellIs" dxfId="1" priority="830" operator="equal">
      <formula>0</formula>
    </cfRule>
  </conditionalFormatting>
  <conditionalFormatting sqref="E401">
    <cfRule type="cellIs" dxfId="1" priority="839" operator="equal">
      <formula>0</formula>
    </cfRule>
  </conditionalFormatting>
  <conditionalFormatting sqref="E403">
    <cfRule type="cellIs" dxfId="1" priority="847" operator="equal">
      <formula>0</formula>
    </cfRule>
  </conditionalFormatting>
  <conditionalFormatting sqref="E407">
    <cfRule type="cellIs" dxfId="1" priority="861" operator="equal">
      <formula>0</formula>
    </cfRule>
  </conditionalFormatting>
  <conditionalFormatting sqref="E408">
    <cfRule type="cellIs" dxfId="1" priority="866" operator="equal">
      <formula>0</formula>
    </cfRule>
  </conditionalFormatting>
  <conditionalFormatting sqref="E409">
    <cfRule type="cellIs" dxfId="1" priority="871" operator="equal">
      <formula>0</formula>
    </cfRule>
  </conditionalFormatting>
  <conditionalFormatting sqref="E411">
    <cfRule type="expression" dxfId="0" priority="874">
      <formula>E412=0</formula>
    </cfRule>
  </conditionalFormatting>
  <conditionalFormatting sqref="E412">
    <cfRule type="cellIs" dxfId="1" priority="879" operator="equal">
      <formula>0</formula>
    </cfRule>
  </conditionalFormatting>
  <conditionalFormatting sqref="E415">
    <cfRule type="cellIs" dxfId="1" priority="884" operator="equal">
      <formula>0</formula>
    </cfRule>
  </conditionalFormatting>
  <conditionalFormatting sqref="E420">
    <cfRule type="cellIs" dxfId="1" priority="892" operator="equal">
      <formula>0</formula>
    </cfRule>
  </conditionalFormatting>
  <conditionalFormatting sqref="E421">
    <cfRule type="cellIs" dxfId="1" priority="894" operator="equal">
      <formula>0</formula>
    </cfRule>
  </conditionalFormatting>
  <conditionalFormatting sqref="E423">
    <cfRule type="expression" dxfId="0" priority="897">
      <formula>E424=0</formula>
    </cfRule>
  </conditionalFormatting>
  <conditionalFormatting sqref="E424">
    <cfRule type="cellIs" dxfId="1" priority="900" operator="equal">
      <formula>0</formula>
    </cfRule>
  </conditionalFormatting>
  <conditionalFormatting sqref="E428">
    <cfRule type="cellIs" dxfId="1" priority="904" operator="equal">
      <formula>0</formula>
    </cfRule>
  </conditionalFormatting>
  <conditionalFormatting sqref="E430">
    <cfRule type="cellIs" dxfId="1" priority="907" operator="equal">
      <formula>0</formula>
    </cfRule>
  </conditionalFormatting>
  <conditionalFormatting sqref="E441">
    <cfRule type="expression" dxfId="0" priority="916">
      <formula>E442=0</formula>
    </cfRule>
  </conditionalFormatting>
  <conditionalFormatting sqref="E442">
    <cfRule type="cellIs" dxfId="1" priority="925" operator="equal">
      <formula>0</formula>
    </cfRule>
  </conditionalFormatting>
  <conditionalFormatting sqref="E443">
    <cfRule type="cellIs" dxfId="1" priority="933" operator="equal">
      <formula>0</formula>
    </cfRule>
  </conditionalFormatting>
  <conditionalFormatting sqref="E445">
    <cfRule type="cellIs" dxfId="1" priority="943" operator="equal">
      <formula>0</formula>
    </cfRule>
  </conditionalFormatting>
  <conditionalFormatting sqref="E446">
    <cfRule type="cellIs" dxfId="1" priority="948" operator="equal">
      <formula>0</formula>
    </cfRule>
  </conditionalFormatting>
  <conditionalFormatting sqref="E447">
    <cfRule type="cellIs" dxfId="1" priority="952" operator="equal">
      <formula>0</formula>
    </cfRule>
  </conditionalFormatting>
  <conditionalFormatting sqref="E448">
    <cfRule type="cellIs" dxfId="1" priority="956" operator="equal">
      <formula>0</formula>
    </cfRule>
  </conditionalFormatting>
  <conditionalFormatting sqref="E450">
    <cfRule type="expression" dxfId="0" priority="960">
      <formula>E451=0</formula>
    </cfRule>
  </conditionalFormatting>
  <conditionalFormatting sqref="E451">
    <cfRule type="cellIs" dxfId="1" priority="963" operator="equal">
      <formula>0</formula>
    </cfRule>
  </conditionalFormatting>
  <conditionalFormatting sqref="E456">
    <cfRule type="cellIs" dxfId="1" priority="971" operator="equal">
      <formula>0</formula>
    </cfRule>
  </conditionalFormatting>
  <conditionalFormatting sqref="E474">
    <cfRule type="expression" dxfId="0" priority="989">
      <formula>E475=0</formula>
    </cfRule>
  </conditionalFormatting>
  <conditionalFormatting sqref="E475">
    <cfRule type="cellIs" dxfId="1" priority="992" operator="equal">
      <formula>0</formula>
    </cfRule>
  </conditionalFormatting>
  <conditionalFormatting sqref="E476">
    <cfRule type="cellIs" dxfId="1" priority="995" operator="equal">
      <formula>0</formula>
    </cfRule>
  </conditionalFormatting>
  <conditionalFormatting sqref="E492">
    <cfRule type="expression" dxfId="0" priority="1004">
      <formula>E493=0</formula>
    </cfRule>
  </conditionalFormatting>
  <conditionalFormatting sqref="E493">
    <cfRule type="cellIs" dxfId="1" priority="1008" operator="equal">
      <formula>0</formula>
    </cfRule>
  </conditionalFormatting>
  <conditionalFormatting sqref="E494">
    <cfRule type="cellIs" dxfId="1" priority="1012" operator="equal">
      <formula>0</formula>
    </cfRule>
  </conditionalFormatting>
  <conditionalFormatting sqref="E495">
    <cfRule type="cellIs" dxfId="1" priority="1016" operator="equal">
      <formula>0</formula>
    </cfRule>
  </conditionalFormatting>
  <conditionalFormatting sqref="E496">
    <cfRule type="cellIs" dxfId="1" priority="1020" operator="equal">
      <formula>0</formula>
    </cfRule>
  </conditionalFormatting>
  <conditionalFormatting sqref="E497">
    <cfRule type="cellIs" dxfId="1" priority="1024" operator="equal">
      <formula>0</formula>
    </cfRule>
  </conditionalFormatting>
  <conditionalFormatting sqref="E498">
    <cfRule type="cellIs" dxfId="1" priority="1028" operator="equal">
      <formula>0</formula>
    </cfRule>
  </conditionalFormatting>
  <conditionalFormatting sqref="E522">
    <cfRule type="expression" dxfId="0" priority="1058">
      <formula>E523=0</formula>
    </cfRule>
  </conditionalFormatting>
  <conditionalFormatting sqref="E523">
    <cfRule type="cellIs" dxfId="1" priority="1069" operator="equal">
      <formula>0</formula>
    </cfRule>
  </conditionalFormatting>
  <conditionalFormatting sqref="E524">
    <cfRule type="cellIs" dxfId="1" priority="1080" operator="equal">
      <formula>0</formula>
    </cfRule>
  </conditionalFormatting>
  <conditionalFormatting sqref="E525">
    <cfRule type="cellIs" dxfId="1" priority="1084" operator="equal">
      <formula>0</formula>
    </cfRule>
  </conditionalFormatting>
  <conditionalFormatting sqref="E527">
    <cfRule type="cellIs" dxfId="1" priority="1092" operator="equal">
      <formula>0</formula>
    </cfRule>
  </conditionalFormatting>
  <conditionalFormatting sqref="E528">
    <cfRule type="cellIs" dxfId="1" priority="1096" operator="equal">
      <formula>0</formula>
    </cfRule>
  </conditionalFormatting>
  <conditionalFormatting sqref="E529">
    <cfRule type="cellIs" dxfId="1" priority="1100" operator="equal">
      <formula>0</formula>
    </cfRule>
  </conditionalFormatting>
  <conditionalFormatting sqref="E530">
    <cfRule type="cellIs" dxfId="1" priority="1104" operator="equal">
      <formula>0</formula>
    </cfRule>
  </conditionalFormatting>
  <conditionalFormatting sqref="E531">
    <cfRule type="cellIs" dxfId="1" priority="1108" operator="equal">
      <formula>0</formula>
    </cfRule>
  </conditionalFormatting>
  <conditionalFormatting sqref="E532">
    <cfRule type="cellIs" dxfId="1" priority="1112" operator="equal">
      <formula>0</formula>
    </cfRule>
  </conditionalFormatting>
  <conditionalFormatting sqref="E533">
    <cfRule type="cellIs" dxfId="1" priority="1116" operator="equal">
      <formula>0</formula>
    </cfRule>
  </conditionalFormatting>
  <conditionalFormatting sqref="E534">
    <cfRule type="cellIs" dxfId="1" priority="1120" operator="equal">
      <formula>0</formula>
    </cfRule>
  </conditionalFormatting>
  <conditionalFormatting sqref="E535">
    <cfRule type="cellIs" dxfId="1" priority="1124" operator="equal">
      <formula>0</formula>
    </cfRule>
  </conditionalFormatting>
  <conditionalFormatting sqref="E536">
    <cfRule type="cellIs" dxfId="1" priority="1128" operator="equal">
      <formula>0</formula>
    </cfRule>
  </conditionalFormatting>
  <conditionalFormatting sqref="E537">
    <cfRule type="cellIs" dxfId="1" priority="1132" operator="equal">
      <formula>0</formula>
    </cfRule>
  </conditionalFormatting>
  <conditionalFormatting sqref="E538">
    <cfRule type="cellIs" dxfId="1" priority="1135" operator="equal">
      <formula>0</formula>
    </cfRule>
  </conditionalFormatting>
  <conditionalFormatting sqref="E539">
    <cfRule type="cellIs" dxfId="1" priority="1139" operator="equal">
      <formula>0</formula>
    </cfRule>
  </conditionalFormatting>
  <conditionalFormatting sqref="E540">
    <cfRule type="cellIs" dxfId="1" priority="1144" operator="equal">
      <formula>0</formula>
    </cfRule>
  </conditionalFormatting>
  <conditionalFormatting sqref="E541">
    <cfRule type="cellIs" dxfId="1" priority="1149" operator="equal">
      <formula>0</formula>
    </cfRule>
  </conditionalFormatting>
  <conditionalFormatting sqref="E542">
    <cfRule type="cellIs" dxfId="1" priority="1153" operator="equal">
      <formula>0</formula>
    </cfRule>
  </conditionalFormatting>
  <conditionalFormatting sqref="E543">
    <cfRule type="cellIs" dxfId="1" priority="1157" operator="equal">
      <formula>0</formula>
    </cfRule>
  </conditionalFormatting>
  <conditionalFormatting sqref="E544">
    <cfRule type="cellIs" dxfId="1" priority="1161" operator="equal">
      <formula>0</formula>
    </cfRule>
  </conditionalFormatting>
  <conditionalFormatting sqref="E545">
    <cfRule type="cellIs" dxfId="1" priority="1165" operator="equal">
      <formula>0</formula>
    </cfRule>
  </conditionalFormatting>
  <conditionalFormatting sqref="E546">
    <cfRule type="cellIs" dxfId="1" priority="1169" operator="equal">
      <formula>0</formula>
    </cfRule>
  </conditionalFormatting>
  <conditionalFormatting sqref="E547">
    <cfRule type="cellIs" dxfId="1" priority="1173" operator="equal">
      <formula>0</formula>
    </cfRule>
  </conditionalFormatting>
  <conditionalFormatting sqref="E548">
    <cfRule type="cellIs" dxfId="1" priority="1177" operator="equal">
      <formula>0</formula>
    </cfRule>
  </conditionalFormatting>
  <conditionalFormatting sqref="E550">
    <cfRule type="expression" dxfId="0" priority="1182">
      <formula>E551=0</formula>
    </cfRule>
  </conditionalFormatting>
  <conditionalFormatting sqref="E551">
    <cfRule type="cellIs" dxfId="1" priority="1192" operator="equal">
      <formula>0</formula>
    </cfRule>
  </conditionalFormatting>
  <conditionalFormatting sqref="E553">
    <cfRule type="cellIs" dxfId="1" priority="1203" operator="equal">
      <formula>0</formula>
    </cfRule>
  </conditionalFormatting>
  <conditionalFormatting sqref="E557">
    <cfRule type="cellIs" dxfId="1" priority="1211" operator="equal">
      <formula>0</formula>
    </cfRule>
  </conditionalFormatting>
  <conditionalFormatting sqref="E57">
    <cfRule type="expression" dxfId="0" priority="63">
      <formula>E58=0</formula>
    </cfRule>
  </conditionalFormatting>
  <conditionalFormatting sqref="E572">
    <cfRule type="cellIs" dxfId="1" priority="1238" operator="equal">
      <formula>0</formula>
    </cfRule>
  </conditionalFormatting>
  <conditionalFormatting sqref="E576">
    <cfRule type="cellIs" dxfId="1" priority="1246" operator="equal">
      <formula>0</formula>
    </cfRule>
  </conditionalFormatting>
  <conditionalFormatting sqref="E578">
    <cfRule type="expression" dxfId="0" priority="1249">
      <formula>E579=0</formula>
    </cfRule>
  </conditionalFormatting>
  <conditionalFormatting sqref="E579">
    <cfRule type="cellIs" dxfId="1" priority="1255" operator="equal">
      <formula>0</formula>
    </cfRule>
  </conditionalFormatting>
  <conditionalFormatting sqref="E58">
    <cfRule type="cellIs" dxfId="1" priority="67" operator="equal">
      <formula>0</formula>
    </cfRule>
  </conditionalFormatting>
  <conditionalFormatting sqref="E584">
    <cfRule type="cellIs" dxfId="1" priority="1263" operator="equal">
      <formula>0</formula>
    </cfRule>
  </conditionalFormatting>
  <conditionalFormatting sqref="E59">
    <cfRule type="cellIs" dxfId="1" priority="71" operator="equal">
      <formula>0</formula>
    </cfRule>
  </conditionalFormatting>
  <conditionalFormatting sqref="E612">
    <cfRule type="expression" dxfId="0" priority="1288">
      <formula>E613=0</formula>
    </cfRule>
  </conditionalFormatting>
  <conditionalFormatting sqref="E613">
    <cfRule type="cellIs" dxfId="1" priority="1297" operator="equal">
      <formula>0</formula>
    </cfRule>
  </conditionalFormatting>
  <conditionalFormatting sqref="E615">
    <cfRule type="cellIs" dxfId="1" priority="1308" operator="equal">
      <formula>0</formula>
    </cfRule>
  </conditionalFormatting>
  <conditionalFormatting sqref="E617">
    <cfRule type="cellIs" dxfId="1" priority="1316" operator="equal">
      <formula>0</formula>
    </cfRule>
  </conditionalFormatting>
  <conditionalFormatting sqref="E618">
    <cfRule type="cellIs" dxfId="1" priority="1318" operator="equal">
      <formula>0</formula>
    </cfRule>
  </conditionalFormatting>
  <conditionalFormatting sqref="E619">
    <cfRule type="cellIs" dxfId="1" priority="1323" operator="equal">
      <formula>0</formula>
    </cfRule>
  </conditionalFormatting>
  <conditionalFormatting sqref="E621">
    <cfRule type="cellIs" dxfId="1" priority="1331" operator="equal">
      <formula>0</formula>
    </cfRule>
  </conditionalFormatting>
  <conditionalFormatting sqref="E623">
    <cfRule type="expression" dxfId="0" priority="1337">
      <formula>E624=0</formula>
    </cfRule>
  </conditionalFormatting>
  <conditionalFormatting sqref="E624">
    <cfRule type="cellIs" dxfId="1" priority="1342" operator="equal">
      <formula>0</formula>
    </cfRule>
  </conditionalFormatting>
  <conditionalFormatting sqref="E628">
    <cfRule type="cellIs" dxfId="1" priority="1348" operator="equal">
      <formula>0</formula>
    </cfRule>
  </conditionalFormatting>
  <conditionalFormatting sqref="E632">
    <cfRule type="cellIs" dxfId="1" priority="1353" operator="equal">
      <formula>0</formula>
    </cfRule>
  </conditionalFormatting>
  <conditionalFormatting sqref="E651">
    <cfRule type="expression" dxfId="0" priority="1369">
      <formula>E652=0</formula>
    </cfRule>
  </conditionalFormatting>
  <conditionalFormatting sqref="E652">
    <cfRule type="cellIs" dxfId="1" priority="1375" operator="equal">
      <formula>0</formula>
    </cfRule>
  </conditionalFormatting>
  <conditionalFormatting sqref="E653">
    <cfRule type="cellIs" dxfId="1" priority="1381" operator="equal">
      <formula>0</formula>
    </cfRule>
  </conditionalFormatting>
  <conditionalFormatting sqref="E654">
    <cfRule type="cellIs" dxfId="1" priority="1385" operator="equal">
      <formula>0</formula>
    </cfRule>
  </conditionalFormatting>
  <conditionalFormatting sqref="E655">
    <cfRule type="cellIs" dxfId="1" priority="1389" operator="equal">
      <formula>0</formula>
    </cfRule>
  </conditionalFormatting>
  <conditionalFormatting sqref="E656">
    <cfRule type="cellIs" dxfId="1" priority="1393" operator="equal">
      <formula>0</formula>
    </cfRule>
  </conditionalFormatting>
  <conditionalFormatting sqref="E657">
    <cfRule type="cellIs" dxfId="1" priority="1398" operator="equal">
      <formula>0</formula>
    </cfRule>
  </conditionalFormatting>
  <conditionalFormatting sqref="E658">
    <cfRule type="cellIs" dxfId="1" priority="1402" operator="equal">
      <formula>0</formula>
    </cfRule>
  </conditionalFormatting>
  <conditionalFormatting sqref="E659">
    <cfRule type="cellIs" dxfId="1" priority="1406" operator="equal">
      <formula>0</formula>
    </cfRule>
  </conditionalFormatting>
  <conditionalFormatting sqref="E660">
    <cfRule type="cellIs" dxfId="1" priority="1410" operator="equal">
      <formula>0</formula>
    </cfRule>
  </conditionalFormatting>
  <conditionalFormatting sqref="E661">
    <cfRule type="cellIs" dxfId="1" priority="1414" operator="equal">
      <formula>0</formula>
    </cfRule>
  </conditionalFormatting>
  <conditionalFormatting sqref="E662">
    <cfRule type="cellIs" dxfId="1" priority="1418" operator="equal">
      <formula>0</formula>
    </cfRule>
  </conditionalFormatting>
  <conditionalFormatting sqref="E664">
    <cfRule type="expression" dxfId="0" priority="1422">
      <formula>E665=0</formula>
    </cfRule>
  </conditionalFormatting>
  <conditionalFormatting sqref="E665">
    <cfRule type="cellIs" dxfId="1" priority="1430" operator="equal">
      <formula>0</formula>
    </cfRule>
  </conditionalFormatting>
  <conditionalFormatting sqref="E667">
    <cfRule type="cellIs" dxfId="1" priority="1438" operator="equal">
      <formula>0</formula>
    </cfRule>
  </conditionalFormatting>
  <conditionalFormatting sqref="E669">
    <cfRule type="cellIs" dxfId="1" priority="1443" operator="equal">
      <formula>0</formula>
    </cfRule>
  </conditionalFormatting>
  <conditionalFormatting sqref="E677">
    <cfRule type="expression" dxfId="0" priority="1456">
      <formula>E678=0</formula>
    </cfRule>
  </conditionalFormatting>
  <conditionalFormatting sqref="E678">
    <cfRule type="cellIs" dxfId="1" priority="1460" operator="equal">
      <formula>0</formula>
    </cfRule>
  </conditionalFormatting>
  <conditionalFormatting sqref="E685">
    <cfRule type="cellIs" dxfId="1" priority="1468" operator="equal">
      <formula>0</formula>
    </cfRule>
  </conditionalFormatting>
  <conditionalFormatting sqref="E696">
    <cfRule type="expression" dxfId="0" priority="1475">
      <formula>E697=0</formula>
    </cfRule>
  </conditionalFormatting>
  <conditionalFormatting sqref="E697">
    <cfRule type="cellIs" dxfId="1" priority="1482" operator="equal">
      <formula>0</formula>
    </cfRule>
  </conditionalFormatting>
  <conditionalFormatting sqref="E698">
    <cfRule type="cellIs" dxfId="1" priority="1489" operator="equal">
      <formula>0</formula>
    </cfRule>
  </conditionalFormatting>
  <conditionalFormatting sqref="E699">
    <cfRule type="cellIs" dxfId="1" priority="1494" operator="equal">
      <formula>0</formula>
    </cfRule>
  </conditionalFormatting>
  <conditionalFormatting sqref="E700">
    <cfRule type="cellIs" dxfId="1" priority="1498" operator="equal">
      <formula>0</formula>
    </cfRule>
  </conditionalFormatting>
  <conditionalFormatting sqref="E701">
    <cfRule type="cellIs" dxfId="1" priority="1503" operator="equal">
      <formula>0</formula>
    </cfRule>
  </conditionalFormatting>
  <conditionalFormatting sqref="E703">
    <cfRule type="expression" dxfId="0" priority="1508">
      <formula>E704=0</formula>
    </cfRule>
  </conditionalFormatting>
  <conditionalFormatting sqref="E704">
    <cfRule type="cellIs" dxfId="1" priority="1511" operator="equal">
      <formula>0</formula>
    </cfRule>
  </conditionalFormatting>
  <conditionalFormatting sqref="E707">
    <cfRule type="cellIs" dxfId="1" priority="1516" operator="equal">
      <formula>0</formula>
    </cfRule>
  </conditionalFormatting>
  <conditionalFormatting sqref="E723">
    <cfRule type="expression" dxfId="0" priority="1530">
      <formula>E724=0</formula>
    </cfRule>
  </conditionalFormatting>
  <conditionalFormatting sqref="E724">
    <cfRule type="cellIs" dxfId="1" priority="1537" operator="equal">
      <formula>0</formula>
    </cfRule>
  </conditionalFormatting>
  <conditionalFormatting sqref="E725">
    <cfRule type="cellIs" dxfId="1" priority="1544" operator="equal">
      <formula>0</formula>
    </cfRule>
  </conditionalFormatting>
  <conditionalFormatting sqref="E727">
    <cfRule type="cellIs" dxfId="1" priority="1552" operator="equal">
      <formula>0</formula>
    </cfRule>
  </conditionalFormatting>
  <conditionalFormatting sqref="E728">
    <cfRule type="cellIs" dxfId="1" priority="1556" operator="equal">
      <formula>0</formula>
    </cfRule>
  </conditionalFormatting>
  <conditionalFormatting sqref="E730">
    <cfRule type="expression" dxfId="0" priority="1560">
      <formula>E731=0</formula>
    </cfRule>
  </conditionalFormatting>
  <conditionalFormatting sqref="E731">
    <cfRule type="cellIs" dxfId="1" priority="1564" operator="equal">
      <formula>0</formula>
    </cfRule>
  </conditionalFormatting>
  <conditionalFormatting sqref="E735">
    <cfRule type="cellIs" dxfId="1" priority="1572" operator="equal">
      <formula>0</formula>
    </cfRule>
  </conditionalFormatting>
  <conditionalFormatting sqref="E737">
    <cfRule type="expression" dxfId="0" priority="1576">
      <formula>E738=0</formula>
    </cfRule>
  </conditionalFormatting>
  <conditionalFormatting sqref="E738">
    <cfRule type="cellIs" dxfId="1" priority="1579" operator="equal">
      <formula>0</formula>
    </cfRule>
  </conditionalFormatting>
  <conditionalFormatting sqref="E740">
    <cfRule type="cellIs" dxfId="1" priority="1583" operator="equal">
      <formula>0</formula>
    </cfRule>
  </conditionalFormatting>
  <conditionalFormatting sqref="E742">
    <cfRule type="cellIs" dxfId="1" priority="1586" operator="equal">
      <formula>0</formula>
    </cfRule>
  </conditionalFormatting>
  <conditionalFormatting sqref="E75">
    <cfRule type="expression" dxfId="0" priority="81">
      <formula>E76=0</formula>
    </cfRule>
  </conditionalFormatting>
  <conditionalFormatting sqref="E750">
    <cfRule type="expression" dxfId="0" priority="1589">
      <formula>E751=0</formula>
    </cfRule>
  </conditionalFormatting>
  <conditionalFormatting sqref="E751">
    <cfRule type="cellIs" dxfId="1" priority="1596" operator="equal">
      <formula>0</formula>
    </cfRule>
  </conditionalFormatting>
  <conditionalFormatting sqref="E752">
    <cfRule type="cellIs" dxfId="1" priority="1603" operator="equal">
      <formula>0</formula>
    </cfRule>
  </conditionalFormatting>
  <conditionalFormatting sqref="E753">
    <cfRule type="cellIs" dxfId="1" priority="1608" operator="equal">
      <formula>0</formula>
    </cfRule>
  </conditionalFormatting>
  <conditionalFormatting sqref="E76">
    <cfRule type="cellIs" dxfId="1" priority="91" operator="equal">
      <formula>0</formula>
    </cfRule>
  </conditionalFormatting>
  <conditionalFormatting sqref="E771">
    <cfRule type="expression" dxfId="0" priority="1628">
      <formula>E772=0</formula>
    </cfRule>
  </conditionalFormatting>
  <conditionalFormatting sqref="E772">
    <cfRule type="cellIs" dxfId="1" priority="1639" operator="equal">
      <formula>0</formula>
    </cfRule>
  </conditionalFormatting>
  <conditionalFormatting sqref="E774">
    <cfRule type="cellIs" dxfId="1" priority="1654" operator="equal">
      <formula>0</formula>
    </cfRule>
  </conditionalFormatting>
  <conditionalFormatting sqref="E775">
    <cfRule type="cellIs" dxfId="1" priority="1658" operator="equal">
      <formula>0</formula>
    </cfRule>
  </conditionalFormatting>
  <conditionalFormatting sqref="E776">
    <cfRule type="cellIs" dxfId="1" priority="1662" operator="equal">
      <formula>0</formula>
    </cfRule>
  </conditionalFormatting>
  <conditionalFormatting sqref="E778">
    <cfRule type="cellIs" dxfId="1" priority="1674" operator="equal">
      <formula>0</formula>
    </cfRule>
  </conditionalFormatting>
  <conditionalFormatting sqref="E779">
    <cfRule type="cellIs" dxfId="1" priority="1679" operator="equal">
      <formula>0</formula>
    </cfRule>
  </conditionalFormatting>
  <conditionalFormatting sqref="E78">
    <cfRule type="cellIs" dxfId="1" priority="106" operator="equal">
      <formula>0</formula>
    </cfRule>
  </conditionalFormatting>
  <conditionalFormatting sqref="E780">
    <cfRule type="cellIs" dxfId="1" priority="1683" operator="equal">
      <formula>0</formula>
    </cfRule>
  </conditionalFormatting>
  <conditionalFormatting sqref="E785">
    <cfRule type="cellIs" dxfId="1" priority="1705" operator="equal">
      <formula>0</formula>
    </cfRule>
  </conditionalFormatting>
  <conditionalFormatting sqref="E788">
    <cfRule type="cellIs" dxfId="1" priority="1717" operator="equal">
      <formula>0</formula>
    </cfRule>
  </conditionalFormatting>
  <conditionalFormatting sqref="E790">
    <cfRule type="cellIs" dxfId="1" priority="1727" operator="equal">
      <formula>0</formula>
    </cfRule>
  </conditionalFormatting>
  <conditionalFormatting sqref="E794">
    <cfRule type="expression" dxfId="0" priority="1741">
      <formula>E795=0</formula>
    </cfRule>
  </conditionalFormatting>
  <conditionalFormatting sqref="E795">
    <cfRule type="cellIs" dxfId="1" priority="1748" operator="equal">
      <formula>0</formula>
    </cfRule>
  </conditionalFormatting>
  <conditionalFormatting sqref="E797">
    <cfRule type="cellIs" dxfId="1" priority="1756" operator="equal">
      <formula>0</formula>
    </cfRule>
  </conditionalFormatting>
  <conditionalFormatting sqref="E799">
    <cfRule type="cellIs" dxfId="1" priority="1758" operator="equal">
      <formula>0</formula>
    </cfRule>
  </conditionalFormatting>
  <conditionalFormatting sqref="E80">
    <cfRule type="cellIs" dxfId="1" priority="115" operator="equal">
      <formula>0</formula>
    </cfRule>
  </conditionalFormatting>
  <conditionalFormatting sqref="E802">
    <cfRule type="cellIs" dxfId="1" priority="1764" operator="equal">
      <formula>0</formula>
    </cfRule>
  </conditionalFormatting>
  <conditionalFormatting sqref="E804">
    <cfRule type="cellIs" dxfId="1" priority="1766" operator="equal">
      <formula>0</formula>
    </cfRule>
  </conditionalFormatting>
  <conditionalFormatting sqref="E805">
    <cfRule type="cellIs" dxfId="1" priority="1768" operator="equal">
      <formula>0</formula>
    </cfRule>
  </conditionalFormatting>
  <conditionalFormatting sqref="E807">
    <cfRule type="cellIs" dxfId="1" priority="1772" operator="equal">
      <formula>0</formula>
    </cfRule>
  </conditionalFormatting>
  <conditionalFormatting sqref="E81">
    <cfRule type="cellIs" dxfId="1" priority="120" operator="equal">
      <formula>0</formula>
    </cfRule>
  </conditionalFormatting>
  <conditionalFormatting sqref="E82">
    <cfRule type="cellIs" dxfId="1" priority="125" operator="equal">
      <formula>0</formula>
    </cfRule>
  </conditionalFormatting>
  <conditionalFormatting sqref="E83">
    <cfRule type="cellIs" dxfId="1" priority="131" operator="equal">
      <formula>0</formula>
    </cfRule>
  </conditionalFormatting>
  <conditionalFormatting sqref="E846">
    <cfRule type="expression" dxfId="0" priority="1813">
      <formula>E847=0</formula>
    </cfRule>
  </conditionalFormatting>
  <conditionalFormatting sqref="E847">
    <cfRule type="cellIs" dxfId="1" priority="1824" operator="equal">
      <formula>0</formula>
    </cfRule>
  </conditionalFormatting>
  <conditionalFormatting sqref="E848">
    <cfRule type="cellIs" dxfId="1" priority="1835" operator="equal">
      <formula>0</formula>
    </cfRule>
  </conditionalFormatting>
  <conditionalFormatting sqref="E85">
    <cfRule type="cellIs" dxfId="1" priority="139" operator="equal">
      <formula>0</formula>
    </cfRule>
  </conditionalFormatting>
  <conditionalFormatting sqref="E852">
    <cfRule type="cellIs" dxfId="1" priority="1851" operator="equal">
      <formula>0</formula>
    </cfRule>
  </conditionalFormatting>
  <conditionalFormatting sqref="E853">
    <cfRule type="cellIs" dxfId="1" priority="1855" operator="equal">
      <formula>0</formula>
    </cfRule>
  </conditionalFormatting>
  <conditionalFormatting sqref="E856">
    <cfRule type="expression" dxfId="0" priority="1864">
      <formula>E857=0</formula>
    </cfRule>
  </conditionalFormatting>
  <conditionalFormatting sqref="E857">
    <cfRule type="cellIs" dxfId="1" priority="1870" operator="equal">
      <formula>0</formula>
    </cfRule>
  </conditionalFormatting>
  <conditionalFormatting sqref="E859">
    <cfRule type="cellIs" dxfId="1" priority="1876" operator="equal">
      <formula>0</formula>
    </cfRule>
  </conditionalFormatting>
  <conditionalFormatting sqref="E860">
    <cfRule type="cellIs" dxfId="1" priority="1878" operator="equal">
      <formula>0</formula>
    </cfRule>
  </conditionalFormatting>
  <conditionalFormatting sqref="E862">
    <cfRule type="cellIs" dxfId="1" priority="1881" operator="equal">
      <formula>0</formula>
    </cfRule>
  </conditionalFormatting>
  <conditionalFormatting sqref="E866">
    <cfRule type="expression" dxfId="0" priority="1888">
      <formula>E867=0</formula>
    </cfRule>
  </conditionalFormatting>
  <conditionalFormatting sqref="E867">
    <cfRule type="cellIs" dxfId="1" priority="1891" operator="equal">
      <formula>0</formula>
    </cfRule>
  </conditionalFormatting>
  <conditionalFormatting sqref="E87">
    <cfRule type="expression" dxfId="0" priority="143">
      <formula>E88=0</formula>
    </cfRule>
  </conditionalFormatting>
  <conditionalFormatting sqref="E870">
    <cfRule type="cellIs" dxfId="1" priority="1896" operator="equal">
      <formula>0</formula>
    </cfRule>
  </conditionalFormatting>
  <conditionalFormatting sqref="E872">
    <cfRule type="cellIs" dxfId="1" priority="1899" operator="equal">
      <formula>0</formula>
    </cfRule>
  </conditionalFormatting>
  <conditionalFormatting sqref="E873">
    <cfRule type="cellIs" dxfId="1" priority="1900" operator="equal">
      <formula>0</formula>
    </cfRule>
  </conditionalFormatting>
  <conditionalFormatting sqref="E88">
    <cfRule type="cellIs" dxfId="1" priority="149" operator="equal">
      <formula>0</formula>
    </cfRule>
  </conditionalFormatting>
  <conditionalFormatting sqref="E882">
    <cfRule type="expression" dxfId="0" priority="1904">
      <formula>E883=0</formula>
    </cfRule>
  </conditionalFormatting>
  <conditionalFormatting sqref="E883">
    <cfRule type="cellIs" dxfId="1" priority="1913" operator="equal">
      <formula>0</formula>
    </cfRule>
  </conditionalFormatting>
  <conditionalFormatting sqref="E884">
    <cfRule type="cellIs" dxfId="1" priority="1922" operator="equal">
      <formula>0</formula>
    </cfRule>
  </conditionalFormatting>
  <conditionalFormatting sqref="E885">
    <cfRule type="cellIs" dxfId="1" priority="1926" operator="equal">
      <formula>0</formula>
    </cfRule>
  </conditionalFormatting>
  <conditionalFormatting sqref="E887">
    <cfRule type="cellIs" dxfId="1" priority="1935" operator="equal">
      <formula>0</formula>
    </cfRule>
  </conditionalFormatting>
  <conditionalFormatting sqref="E888">
    <cfRule type="cellIs" dxfId="1" priority="1939" operator="equal">
      <formula>0</formula>
    </cfRule>
  </conditionalFormatting>
  <conditionalFormatting sqref="E889">
    <cfRule type="cellIs" dxfId="1" priority="1943" operator="equal">
      <formula>0</formula>
    </cfRule>
  </conditionalFormatting>
  <conditionalFormatting sqref="E891">
    <cfRule type="expression" dxfId="0" priority="1948">
      <formula>E892=0</formula>
    </cfRule>
  </conditionalFormatting>
  <conditionalFormatting sqref="E892">
    <cfRule type="cellIs" dxfId="1" priority="1955" operator="equal">
      <formula>0</formula>
    </cfRule>
  </conditionalFormatting>
  <conditionalFormatting sqref="E894">
    <cfRule type="cellIs" dxfId="1" priority="1962" operator="equal">
      <formula>0</formula>
    </cfRule>
  </conditionalFormatting>
  <conditionalFormatting sqref="E90">
    <cfRule type="cellIs" dxfId="1" priority="156" operator="equal">
      <formula>0</formula>
    </cfRule>
  </conditionalFormatting>
  <conditionalFormatting sqref="E900">
    <cfRule type="expression" dxfId="0" priority="1973">
      <formula>E901=0</formula>
    </cfRule>
  </conditionalFormatting>
  <conditionalFormatting sqref="E901">
    <cfRule type="cellIs" dxfId="1" priority="1976" operator="equal">
      <formula>0</formula>
    </cfRule>
  </conditionalFormatting>
  <conditionalFormatting sqref="E904">
    <cfRule type="cellIs" dxfId="1" priority="1980" operator="equal">
      <formula>0</formula>
    </cfRule>
  </conditionalFormatting>
  <conditionalFormatting sqref="E91">
    <cfRule type="cellIs" dxfId="1" priority="158" operator="equal">
      <formula>0</formula>
    </cfRule>
  </conditionalFormatting>
  <conditionalFormatting sqref="E915">
    <cfRule type="expression" dxfId="0" priority="1986">
      <formula>E916=0</formula>
    </cfRule>
  </conditionalFormatting>
  <conditionalFormatting sqref="E916">
    <cfRule type="cellIs" dxfId="1" priority="1992" operator="equal">
      <formula>0</formula>
    </cfRule>
  </conditionalFormatting>
  <conditionalFormatting sqref="E917">
    <cfRule type="cellIs" dxfId="1" priority="1998" operator="equal">
      <formula>0</formula>
    </cfRule>
  </conditionalFormatting>
  <conditionalFormatting sqref="E919">
    <cfRule type="cellIs" dxfId="1" priority="2005" operator="equal">
      <formula>0</formula>
    </cfRule>
  </conditionalFormatting>
  <conditionalFormatting sqref="E92">
    <cfRule type="cellIs" dxfId="1" priority="160" operator="equal">
      <formula>0</formula>
    </cfRule>
  </conditionalFormatting>
  <conditionalFormatting sqref="E920">
    <cfRule type="cellIs" dxfId="1" priority="2009" operator="equal">
      <formula>0</formula>
    </cfRule>
  </conditionalFormatting>
  <conditionalFormatting sqref="E921">
    <cfRule type="cellIs" dxfId="1" priority="2014" operator="equal">
      <formula>0</formula>
    </cfRule>
  </conditionalFormatting>
  <conditionalFormatting sqref="E922">
    <cfRule type="cellIs" dxfId="1" priority="2018" operator="equal">
      <formula>0</formula>
    </cfRule>
  </conditionalFormatting>
  <conditionalFormatting sqref="E93">
    <cfRule type="cellIs" dxfId="1" priority="162" operator="equal">
      <formula>0</formula>
    </cfRule>
  </conditionalFormatting>
  <conditionalFormatting sqref="E94">
    <cfRule type="cellIs" dxfId="1" priority="163" operator="equal">
      <formula>0</formula>
    </cfRule>
  </conditionalFormatting>
  <conditionalFormatting sqref="E948">
    <cfRule type="expression" dxfId="0" priority="2044">
      <formula>E949=0</formula>
    </cfRule>
  </conditionalFormatting>
  <conditionalFormatting sqref="E949">
    <cfRule type="cellIs" dxfId="1" priority="2052" operator="equal">
      <formula>0</formula>
    </cfRule>
  </conditionalFormatting>
  <conditionalFormatting sqref="E95">
    <cfRule type="cellIs" dxfId="1" priority="166" operator="equal">
      <formula>0</formula>
    </cfRule>
  </conditionalFormatting>
  <conditionalFormatting sqref="E950">
    <cfRule type="cellIs" dxfId="1" priority="2060" operator="equal">
      <formula>0</formula>
    </cfRule>
  </conditionalFormatting>
  <conditionalFormatting sqref="E951">
    <cfRule type="cellIs" dxfId="1" priority="2064" operator="equal">
      <formula>0</formula>
    </cfRule>
  </conditionalFormatting>
  <conditionalFormatting sqref="E952">
    <cfRule type="cellIs" dxfId="1" priority="2069" operator="equal">
      <formula>0</formula>
    </cfRule>
  </conditionalFormatting>
  <conditionalFormatting sqref="E953">
    <cfRule type="cellIs" dxfId="1" priority="2073" operator="equal">
      <formula>0</formula>
    </cfRule>
  </conditionalFormatting>
  <conditionalFormatting sqref="E954">
    <cfRule type="cellIs" dxfId="1" priority="2077" operator="equal">
      <formula>0</formula>
    </cfRule>
  </conditionalFormatting>
  <conditionalFormatting sqref="E955">
    <cfRule type="cellIs" dxfId="1" priority="2081" operator="equal">
      <formula>0</formula>
    </cfRule>
  </conditionalFormatting>
  <conditionalFormatting sqref="E956">
    <cfRule type="cellIs" dxfId="1" priority="2085" operator="equal">
      <formula>0</formula>
    </cfRule>
  </conditionalFormatting>
  <conditionalFormatting sqref="E957">
    <cfRule type="cellIs" dxfId="1" priority="2089" operator="equal">
      <formula>0</formula>
    </cfRule>
  </conditionalFormatting>
  <conditionalFormatting sqref="E959">
    <cfRule type="cellIs" dxfId="1" priority="2098" operator="equal">
      <formula>0</formula>
    </cfRule>
  </conditionalFormatting>
  <conditionalFormatting sqref="E96">
    <cfRule type="cellIs" dxfId="1" priority="168" operator="equal">
      <formula>0</formula>
    </cfRule>
  </conditionalFormatting>
  <conditionalFormatting sqref="E960">
    <cfRule type="cellIs" dxfId="1" priority="2102" operator="equal">
      <formula>0</formula>
    </cfRule>
  </conditionalFormatting>
  <conditionalFormatting sqref="E963">
    <cfRule type="expression" dxfId="0" priority="2111">
      <formula>E964=0</formula>
    </cfRule>
  </conditionalFormatting>
  <conditionalFormatting sqref="E964">
    <cfRule type="cellIs" dxfId="1" priority="2116" operator="equal">
      <formula>0</formula>
    </cfRule>
  </conditionalFormatting>
  <conditionalFormatting sqref="E966">
    <cfRule type="cellIs" dxfId="1" priority="2122" operator="equal">
      <formula>0</formula>
    </cfRule>
  </conditionalFormatting>
  <conditionalFormatting sqref="E978">
    <cfRule type="expression" dxfId="0" priority="2145">
      <formula>E979=0</formula>
    </cfRule>
  </conditionalFormatting>
  <conditionalFormatting sqref="E979">
    <cfRule type="cellIs" dxfId="1" priority="2148" operator="equal">
      <formula>0</formula>
    </cfRule>
  </conditionalFormatting>
  <conditionalFormatting sqref="E981">
    <cfRule type="cellIs" dxfId="1" priority="2152" operator="equal">
      <formula>0</formula>
    </cfRule>
  </conditionalFormatting>
  <conditionalFormatting sqref="E99">
    <cfRule type="expression" dxfId="0" priority="174">
      <formula>E100=0</formula>
    </cfRule>
  </conditionalFormatting>
  <conditionalFormatting sqref="E999">
    <cfRule type="expression" dxfId="0" priority="2171">
      <formula>E1000=0</formula>
    </cfRule>
  </conditionalFormatting>
  <conditionalFormatting sqref="F1000">
    <cfRule type="cellIs" dxfId="1" priority="2176" operator="equal">
      <formula>0</formula>
    </cfRule>
  </conditionalFormatting>
  <conditionalFormatting sqref="F1001">
    <cfRule type="cellIs" dxfId="1" priority="2180" operator="equal">
      <formula>0</formula>
    </cfRule>
  </conditionalFormatting>
  <conditionalFormatting sqref="F1003">
    <cfRule type="cellIs" dxfId="1" priority="2187" operator="equal">
      <formula>0</formula>
    </cfRule>
  </conditionalFormatting>
  <conditionalFormatting sqref="F1004">
    <cfRule type="cellIs" dxfId="1" priority="2191" operator="equal">
      <formula>0</formula>
    </cfRule>
  </conditionalFormatting>
  <conditionalFormatting sqref="F1005">
    <cfRule type="cellIs" dxfId="1" priority="2195" operator="equal">
      <formula>0</formula>
    </cfRule>
  </conditionalFormatting>
  <conditionalFormatting sqref="F1032">
    <cfRule type="expression" dxfId="0" priority="2231">
      <formula>F1033=0</formula>
    </cfRule>
  </conditionalFormatting>
  <conditionalFormatting sqref="F1033">
    <cfRule type="cellIs" dxfId="1" priority="2237" operator="equal">
      <formula>0</formula>
    </cfRule>
  </conditionalFormatting>
  <conditionalFormatting sqref="F1034">
    <cfRule type="cellIs" dxfId="1" priority="2243" operator="equal">
      <formula>0</formula>
    </cfRule>
  </conditionalFormatting>
  <conditionalFormatting sqref="F1035">
    <cfRule type="cellIs" dxfId="1" priority="2247" operator="equal">
      <formula>0</formula>
    </cfRule>
  </conditionalFormatting>
  <conditionalFormatting sqref="F1037">
    <cfRule type="cellIs" dxfId="1" priority="2256" operator="equal">
      <formula>0</formula>
    </cfRule>
  </conditionalFormatting>
  <conditionalFormatting sqref="F1038">
    <cfRule type="cellIs" dxfId="1" priority="2260" operator="equal">
      <formula>0</formula>
    </cfRule>
  </conditionalFormatting>
  <conditionalFormatting sqref="F1039">
    <cfRule type="cellIs" dxfId="1" priority="2264" operator="equal">
      <formula>0</formula>
    </cfRule>
  </conditionalFormatting>
  <conditionalFormatting sqref="F1065">
    <cfRule type="expression" dxfId="0" priority="2290">
      <formula>F1066=0</formula>
    </cfRule>
  </conditionalFormatting>
  <conditionalFormatting sqref="F1066">
    <cfRule type="cellIs" dxfId="1" priority="2297" operator="equal">
      <formula>0</formula>
    </cfRule>
  </conditionalFormatting>
  <conditionalFormatting sqref="F1067">
    <cfRule type="cellIs" dxfId="1" priority="2304" operator="equal">
      <formula>0</formula>
    </cfRule>
  </conditionalFormatting>
  <conditionalFormatting sqref="F1069">
    <cfRule type="cellIs" dxfId="1" priority="2312" operator="equal">
      <formula>0</formula>
    </cfRule>
  </conditionalFormatting>
  <conditionalFormatting sqref="F1070">
    <cfRule type="cellIs" dxfId="1" priority="2315" operator="equal">
      <formula>0</formula>
    </cfRule>
  </conditionalFormatting>
  <conditionalFormatting sqref="F1071">
    <cfRule type="cellIs" dxfId="1" priority="2319" operator="equal">
      <formula>0</formula>
    </cfRule>
  </conditionalFormatting>
  <conditionalFormatting sqref="F1072">
    <cfRule type="cellIs" dxfId="1" priority="2323" operator="equal">
      <formula>0</formula>
    </cfRule>
  </conditionalFormatting>
  <conditionalFormatting sqref="F1073">
    <cfRule type="cellIs" dxfId="1" priority="2327" operator="equal">
      <formula>0</formula>
    </cfRule>
  </conditionalFormatting>
  <conditionalFormatting sqref="F1074">
    <cfRule type="cellIs" dxfId="1" priority="2330" operator="equal">
      <formula>0</formula>
    </cfRule>
  </conditionalFormatting>
  <conditionalFormatting sqref="F1075">
    <cfRule type="cellIs" dxfId="1" priority="2334" operator="equal">
      <formula>0</formula>
    </cfRule>
  </conditionalFormatting>
  <conditionalFormatting sqref="F1076">
    <cfRule type="cellIs" dxfId="1" priority="2339" operator="equal">
      <formula>0</formula>
    </cfRule>
  </conditionalFormatting>
  <conditionalFormatting sqref="F1077">
    <cfRule type="cellIs" dxfId="1" priority="2343" operator="equal">
      <formula>0</formula>
    </cfRule>
  </conditionalFormatting>
  <conditionalFormatting sqref="F1078">
    <cfRule type="cellIs" dxfId="1" priority="2347" operator="equal">
      <formula>0</formula>
    </cfRule>
  </conditionalFormatting>
  <conditionalFormatting sqref="F1079">
    <cfRule type="cellIs" dxfId="1" priority="2351" operator="equal">
      <formula>0</formula>
    </cfRule>
  </conditionalFormatting>
  <conditionalFormatting sqref="F1080">
    <cfRule type="cellIs" dxfId="1" priority="2355" operator="equal">
      <formula>0</formula>
    </cfRule>
  </conditionalFormatting>
  <conditionalFormatting sqref="F1081">
    <cfRule type="cellIs" dxfId="1" priority="2359" operator="equal">
      <formula>0</formula>
    </cfRule>
  </conditionalFormatting>
  <conditionalFormatting sqref="F1082">
    <cfRule type="cellIs" dxfId="1" priority="2363" operator="equal">
      <formula>0</formula>
    </cfRule>
  </conditionalFormatting>
  <conditionalFormatting sqref="F1083">
    <cfRule type="cellIs" dxfId="1" priority="2368" operator="equal">
      <formula>0</formula>
    </cfRule>
  </conditionalFormatting>
  <conditionalFormatting sqref="F1085">
    <cfRule type="expression" dxfId="0" priority="2372">
      <formula>F1086=0</formula>
    </cfRule>
  </conditionalFormatting>
  <conditionalFormatting sqref="F1086">
    <cfRule type="cellIs" dxfId="1" priority="2381" operator="equal">
      <formula>0</formula>
    </cfRule>
  </conditionalFormatting>
  <conditionalFormatting sqref="F1088">
    <cfRule type="cellIs" dxfId="1" priority="2390" operator="equal">
      <formula>0</formula>
    </cfRule>
  </conditionalFormatting>
  <conditionalFormatting sqref="F1131">
    <cfRule type="expression" dxfId="0" priority="2447">
      <formula>F1132=0</formula>
    </cfRule>
  </conditionalFormatting>
  <conditionalFormatting sqref="F1132">
    <cfRule type="cellIs" dxfId="1" priority="2456" operator="equal">
      <formula>0</formula>
    </cfRule>
  </conditionalFormatting>
  <conditionalFormatting sqref="F1133">
    <cfRule type="cellIs" dxfId="1" priority="2465" operator="equal">
      <formula>0</formula>
    </cfRule>
  </conditionalFormatting>
  <conditionalFormatting sqref="F1135">
    <cfRule type="cellIs" dxfId="1" priority="2474" operator="equal">
      <formula>0</formula>
    </cfRule>
  </conditionalFormatting>
  <conditionalFormatting sqref="F1137">
    <cfRule type="cellIs" dxfId="1" priority="2483" operator="equal">
      <formula>0</formula>
    </cfRule>
  </conditionalFormatting>
  <conditionalFormatting sqref="F1139">
    <cfRule type="cellIs" dxfId="1" priority="2491" operator="equal">
      <formula>0</formula>
    </cfRule>
  </conditionalFormatting>
  <conditionalFormatting sqref="F1141">
    <cfRule type="expression" dxfId="0" priority="2497">
      <formula>F1142=0</formula>
    </cfRule>
  </conditionalFormatting>
  <conditionalFormatting sqref="F1142">
    <cfRule type="cellIs" dxfId="1" priority="2502" operator="equal">
      <formula>0</formula>
    </cfRule>
  </conditionalFormatting>
  <conditionalFormatting sqref="F1145">
    <cfRule type="cellIs" dxfId="1" priority="2508" operator="equal">
      <formula>0</formula>
    </cfRule>
  </conditionalFormatting>
  <conditionalFormatting sqref="F1167">
    <cfRule type="expression" dxfId="0" priority="2526">
      <formula>F1168=0</formula>
    </cfRule>
  </conditionalFormatting>
  <conditionalFormatting sqref="F1168">
    <cfRule type="cellIs" dxfId="1" priority="2532" operator="equal">
      <formula>0</formula>
    </cfRule>
  </conditionalFormatting>
  <conditionalFormatting sqref="F1169">
    <cfRule type="cellIs" dxfId="1" priority="2538" operator="equal">
      <formula>0</formula>
    </cfRule>
  </conditionalFormatting>
  <conditionalFormatting sqref="F117">
    <cfRule type="expression" dxfId="0" priority="191">
      <formula>F118=0</formula>
    </cfRule>
  </conditionalFormatting>
  <conditionalFormatting sqref="F1170">
    <cfRule type="cellIs" dxfId="1" priority="2542" operator="equal">
      <formula>0</formula>
    </cfRule>
  </conditionalFormatting>
  <conditionalFormatting sqref="F1171">
    <cfRule type="cellIs" dxfId="1" priority="2546" operator="equal">
      <formula>0</formula>
    </cfRule>
  </conditionalFormatting>
  <conditionalFormatting sqref="F1172">
    <cfRule type="cellIs" dxfId="1" priority="2550" operator="equal">
      <formula>0</formula>
    </cfRule>
  </conditionalFormatting>
  <conditionalFormatting sqref="F1173">
    <cfRule type="cellIs" dxfId="1" priority="2554" operator="equal">
      <formula>0</formula>
    </cfRule>
  </conditionalFormatting>
  <conditionalFormatting sqref="F1174">
    <cfRule type="cellIs" dxfId="1" priority="2558" operator="equal">
      <formula>0</formula>
    </cfRule>
  </conditionalFormatting>
  <conditionalFormatting sqref="F1175">
    <cfRule type="cellIs" dxfId="1" priority="2563" operator="equal">
      <formula>0</formula>
    </cfRule>
  </conditionalFormatting>
  <conditionalFormatting sqref="F1176">
    <cfRule type="cellIs" dxfId="1" priority="2567" operator="equal">
      <formula>0</formula>
    </cfRule>
  </conditionalFormatting>
  <conditionalFormatting sqref="F1178">
    <cfRule type="cellIs" dxfId="1" priority="2575" operator="equal">
      <formula>0</formula>
    </cfRule>
  </conditionalFormatting>
  <conditionalFormatting sqref="F1179">
    <cfRule type="cellIs" dxfId="1" priority="2579" operator="equal">
      <formula>0</formula>
    </cfRule>
  </conditionalFormatting>
  <conditionalFormatting sqref="F118">
    <cfRule type="cellIs" dxfId="1" priority="197" operator="equal">
      <formula>0</formula>
    </cfRule>
  </conditionalFormatting>
  <conditionalFormatting sqref="F1180">
    <cfRule type="cellIs" dxfId="1" priority="2583" operator="equal">
      <formula>0</formula>
    </cfRule>
  </conditionalFormatting>
  <conditionalFormatting sqref="F1181">
    <cfRule type="cellIs" dxfId="1" priority="2586" operator="equal">
      <formula>0</formula>
    </cfRule>
  </conditionalFormatting>
  <conditionalFormatting sqref="F1182">
    <cfRule type="cellIs" dxfId="1" priority="2590" operator="equal">
      <formula>0</formula>
    </cfRule>
  </conditionalFormatting>
  <conditionalFormatting sqref="F1183">
    <cfRule type="cellIs" dxfId="1" priority="2594" operator="equal">
      <formula>0</formula>
    </cfRule>
  </conditionalFormatting>
  <conditionalFormatting sqref="F1184">
    <cfRule type="cellIs" dxfId="1" priority="2597" operator="equal">
      <formula>0</formula>
    </cfRule>
  </conditionalFormatting>
  <conditionalFormatting sqref="F1185">
    <cfRule type="cellIs" dxfId="1" priority="2601" operator="equal">
      <formula>0</formula>
    </cfRule>
  </conditionalFormatting>
  <conditionalFormatting sqref="F119">
    <cfRule type="cellIs" dxfId="1" priority="203" operator="equal">
      <formula>0</formula>
    </cfRule>
  </conditionalFormatting>
  <conditionalFormatting sqref="F120">
    <cfRule type="cellIs" dxfId="1" priority="208" operator="equal">
      <formula>0</formula>
    </cfRule>
  </conditionalFormatting>
  <conditionalFormatting sqref="F121">
    <cfRule type="cellIs" dxfId="1" priority="212" operator="equal">
      <formula>0</formula>
    </cfRule>
  </conditionalFormatting>
  <conditionalFormatting sqref="F122">
    <cfRule type="cellIs" dxfId="1" priority="216" operator="equal">
      <formula>0</formula>
    </cfRule>
  </conditionalFormatting>
  <conditionalFormatting sqref="F1233">
    <cfRule type="expression" dxfId="0" priority="2679">
      <formula>F1234=0</formula>
    </cfRule>
  </conditionalFormatting>
  <conditionalFormatting sqref="F1234">
    <cfRule type="cellIs" dxfId="1" priority="2683" operator="equal">
      <formula>0</formula>
    </cfRule>
  </conditionalFormatting>
  <conditionalFormatting sqref="F1235">
    <cfRule type="cellIs" dxfId="1" priority="2687" operator="equal">
      <formula>0</formula>
    </cfRule>
  </conditionalFormatting>
  <conditionalFormatting sqref="F1236">
    <cfRule type="cellIs" dxfId="1" priority="2691" operator="equal">
      <formula>0</formula>
    </cfRule>
  </conditionalFormatting>
  <conditionalFormatting sqref="F1237">
    <cfRule type="cellIs" dxfId="1" priority="2695" operator="equal">
      <formula>0</formula>
    </cfRule>
  </conditionalFormatting>
  <conditionalFormatting sqref="F1238">
    <cfRule type="cellIs" dxfId="1" priority="2699" operator="equal">
      <formula>0</formula>
    </cfRule>
  </conditionalFormatting>
  <conditionalFormatting sqref="F1239">
    <cfRule type="cellIs" dxfId="1" priority="2703" operator="equal">
      <formula>0</formula>
    </cfRule>
  </conditionalFormatting>
  <conditionalFormatting sqref="F1241">
    <cfRule type="expression" dxfId="0" priority="2707">
      <formula>F1242=0</formula>
    </cfRule>
  </conditionalFormatting>
  <conditionalFormatting sqref="F1242">
    <cfRule type="cellIs" dxfId="1" priority="2712" operator="equal">
      <formula>0</formula>
    </cfRule>
  </conditionalFormatting>
  <conditionalFormatting sqref="F1245">
    <cfRule type="cellIs" dxfId="1" priority="2719" operator="equal">
      <formula>0</formula>
    </cfRule>
  </conditionalFormatting>
  <conditionalFormatting sqref="F125">
    <cfRule type="expression" dxfId="0" priority="225">
      <formula>F126=0</formula>
    </cfRule>
  </conditionalFormatting>
  <conditionalFormatting sqref="F126">
    <cfRule type="cellIs" dxfId="1" priority="229" operator="equal">
      <formula>0</formula>
    </cfRule>
  </conditionalFormatting>
  <conditionalFormatting sqref="F1263">
    <cfRule type="expression" dxfId="0" priority="2736">
      <formula>F1264=0</formula>
    </cfRule>
  </conditionalFormatting>
  <conditionalFormatting sqref="F1264">
    <cfRule type="cellIs" dxfId="1" priority="2742" operator="equal">
      <formula>0</formula>
    </cfRule>
  </conditionalFormatting>
  <conditionalFormatting sqref="F1265">
    <cfRule type="cellIs" dxfId="1" priority="2748" operator="equal">
      <formula>0</formula>
    </cfRule>
  </conditionalFormatting>
  <conditionalFormatting sqref="F1266">
    <cfRule type="cellIs" dxfId="1" priority="2752" operator="equal">
      <formula>0</formula>
    </cfRule>
  </conditionalFormatting>
  <conditionalFormatting sqref="F1267">
    <cfRule type="cellIs" dxfId="1" priority="2757" operator="equal">
      <formula>0</formula>
    </cfRule>
  </conditionalFormatting>
  <conditionalFormatting sqref="F1268">
    <cfRule type="cellIs" dxfId="1" priority="2761" operator="equal">
      <formula>0</formula>
    </cfRule>
  </conditionalFormatting>
  <conditionalFormatting sqref="F1269">
    <cfRule type="cellIs" dxfId="1" priority="2765" operator="equal">
      <formula>0</formula>
    </cfRule>
  </conditionalFormatting>
  <conditionalFormatting sqref="F1270">
    <cfRule type="cellIs" dxfId="1" priority="2768" operator="equal">
      <formula>0</formula>
    </cfRule>
  </conditionalFormatting>
  <conditionalFormatting sqref="F1271">
    <cfRule type="cellIs" dxfId="1" priority="2772" operator="equal">
      <formula>0</formula>
    </cfRule>
  </conditionalFormatting>
  <conditionalFormatting sqref="F1272">
    <cfRule type="cellIs" dxfId="1" priority="2776" operator="equal">
      <formula>0</formula>
    </cfRule>
  </conditionalFormatting>
  <conditionalFormatting sqref="F1274">
    <cfRule type="cellIs" dxfId="1" priority="2784" operator="equal">
      <formula>0</formula>
    </cfRule>
  </conditionalFormatting>
  <conditionalFormatting sqref="F1275">
    <cfRule type="cellIs" dxfId="1" priority="2789" operator="equal">
      <formula>0</formula>
    </cfRule>
  </conditionalFormatting>
  <conditionalFormatting sqref="F1279">
    <cfRule type="cellIs" dxfId="1" priority="2805" operator="equal">
      <formula>0</formula>
    </cfRule>
  </conditionalFormatting>
  <conditionalFormatting sqref="F1281">
    <cfRule type="expression" dxfId="0" priority="2810">
      <formula>F1282=0</formula>
    </cfRule>
  </conditionalFormatting>
  <conditionalFormatting sqref="F1282">
    <cfRule type="cellIs" dxfId="1" priority="2818" operator="equal">
      <formula>0</formula>
    </cfRule>
  </conditionalFormatting>
  <conditionalFormatting sqref="F1287">
    <cfRule type="cellIs" dxfId="1" priority="2832" operator="equal">
      <formula>0</formula>
    </cfRule>
  </conditionalFormatting>
  <conditionalFormatting sqref="F129">
    <cfRule type="cellIs" dxfId="1" priority="235" operator="equal">
      <formula>0</formula>
    </cfRule>
  </conditionalFormatting>
  <conditionalFormatting sqref="F1323">
    <cfRule type="expression" dxfId="0" priority="2877">
      <formula>F1324=0</formula>
    </cfRule>
  </conditionalFormatting>
  <conditionalFormatting sqref="F1324">
    <cfRule type="cellIs" dxfId="1" priority="2887" operator="equal">
      <formula>0</formula>
    </cfRule>
  </conditionalFormatting>
  <conditionalFormatting sqref="F1328">
    <cfRule type="cellIs" dxfId="1" priority="2911" operator="equal">
      <formula>0</formula>
    </cfRule>
  </conditionalFormatting>
  <conditionalFormatting sqref="F1330">
    <cfRule type="cellIs" dxfId="1" priority="2918" operator="equal">
      <formula>0</formula>
    </cfRule>
  </conditionalFormatting>
  <conditionalFormatting sqref="F1332">
    <cfRule type="cellIs" dxfId="1" priority="2927" operator="equal">
      <formula>0</formula>
    </cfRule>
  </conditionalFormatting>
  <conditionalFormatting sqref="F1333">
    <cfRule type="cellIs" dxfId="1" priority="2932" operator="equal">
      <formula>0</formula>
    </cfRule>
  </conditionalFormatting>
  <conditionalFormatting sqref="F1335">
    <cfRule type="cellIs" dxfId="1" priority="2942" operator="equal">
      <formula>0</formula>
    </cfRule>
  </conditionalFormatting>
  <conditionalFormatting sqref="F1337">
    <cfRule type="cellIs" dxfId="1" priority="2951" operator="equal">
      <formula>0</formula>
    </cfRule>
  </conditionalFormatting>
  <conditionalFormatting sqref="F1339">
    <cfRule type="cellIs" dxfId="1" priority="2962" operator="equal">
      <formula>0</formula>
    </cfRule>
  </conditionalFormatting>
  <conditionalFormatting sqref="F1341">
    <cfRule type="cellIs" dxfId="1" priority="2969" operator="equal">
      <formula>0</formula>
    </cfRule>
  </conditionalFormatting>
  <conditionalFormatting sqref="F1343">
    <cfRule type="expression" dxfId="0" priority="2976">
      <formula>F1344=0</formula>
    </cfRule>
  </conditionalFormatting>
  <conditionalFormatting sqref="F1344">
    <cfRule type="cellIs" dxfId="1" priority="2983" operator="equal">
      <formula>0</formula>
    </cfRule>
  </conditionalFormatting>
  <conditionalFormatting sqref="F1347">
    <cfRule type="cellIs" dxfId="1" priority="2992" operator="equal">
      <formula>0</formula>
    </cfRule>
  </conditionalFormatting>
  <conditionalFormatting sqref="F1353">
    <cfRule type="cellIs" dxfId="1" priority="3000" operator="equal">
      <formula>0</formula>
    </cfRule>
  </conditionalFormatting>
  <conditionalFormatting sqref="F1358">
    <cfRule type="cellIs" dxfId="1" priority="3011" operator="equal">
      <formula>0</formula>
    </cfRule>
  </conditionalFormatting>
  <conditionalFormatting sqref="F1363">
    <cfRule type="expression" dxfId="0" priority="3022">
      <formula>F1364=0</formula>
    </cfRule>
  </conditionalFormatting>
  <conditionalFormatting sqref="F1364">
    <cfRule type="cellIs" dxfId="1" priority="3026" operator="equal">
      <formula>0</formula>
    </cfRule>
  </conditionalFormatting>
  <conditionalFormatting sqref="F1374">
    <cfRule type="cellIs" dxfId="1" priority="3038" operator="equal">
      <formula>0</formula>
    </cfRule>
  </conditionalFormatting>
  <conditionalFormatting sqref="F1379">
    <cfRule type="cellIs" dxfId="1" priority="3044" operator="equal">
      <formula>0</formula>
    </cfRule>
  </conditionalFormatting>
  <conditionalFormatting sqref="F1380">
    <cfRule type="cellIs" dxfId="1" priority="3046" operator="equal">
      <formula>0</formula>
    </cfRule>
  </conditionalFormatting>
  <conditionalFormatting sqref="F1389">
    <cfRule type="expression" dxfId="0" priority="3051">
      <formula>F1390=0</formula>
    </cfRule>
  </conditionalFormatting>
  <conditionalFormatting sqref="F1390">
    <cfRule type="cellIs" dxfId="1" priority="3060" operator="equal">
      <formula>0</formula>
    </cfRule>
  </conditionalFormatting>
  <conditionalFormatting sqref="F1395">
    <cfRule type="cellIs" dxfId="1" priority="3081" operator="equal">
      <formula>0</formula>
    </cfRule>
  </conditionalFormatting>
  <conditionalFormatting sqref="F1397">
    <cfRule type="cellIs" dxfId="1" priority="3091" operator="equal">
      <formula>0</formula>
    </cfRule>
  </conditionalFormatting>
  <conditionalFormatting sqref="F1400">
    <cfRule type="cellIs" dxfId="1" priority="3103" operator="equal">
      <formula>0</formula>
    </cfRule>
  </conditionalFormatting>
  <conditionalFormatting sqref="F1402">
    <cfRule type="cellIs" dxfId="1" priority="3111" operator="equal">
      <formula>0</formula>
    </cfRule>
  </conditionalFormatting>
  <conditionalFormatting sqref="F1404">
    <cfRule type="expression" dxfId="0" priority="3117">
      <formula>F1405=0</formula>
    </cfRule>
  </conditionalFormatting>
  <conditionalFormatting sqref="F1405">
    <cfRule type="cellIs" dxfId="1" priority="3123" operator="equal">
      <formula>0</formula>
    </cfRule>
  </conditionalFormatting>
  <conditionalFormatting sqref="F1410">
    <cfRule type="cellIs" dxfId="1" priority="3131" operator="equal">
      <formula>0</formula>
    </cfRule>
  </conditionalFormatting>
  <conditionalFormatting sqref="F1414">
    <cfRule type="cellIs" dxfId="1" priority="3138" operator="equal">
      <formula>0</formula>
    </cfRule>
  </conditionalFormatting>
  <conditionalFormatting sqref="F1440">
    <cfRule type="expression" dxfId="0" priority="3173">
      <formula>F1441=0</formula>
    </cfRule>
  </conditionalFormatting>
  <conditionalFormatting sqref="F1441">
    <cfRule type="cellIs" dxfId="1" priority="3177" operator="equal">
      <formula>0</formula>
    </cfRule>
  </conditionalFormatting>
  <conditionalFormatting sqref="F1442">
    <cfRule type="cellIs" dxfId="1" priority="3181" operator="equal">
      <formula>0</formula>
    </cfRule>
  </conditionalFormatting>
  <conditionalFormatting sqref="F1443">
    <cfRule type="cellIs" dxfId="1" priority="3185" operator="equal">
      <formula>0</formula>
    </cfRule>
  </conditionalFormatting>
  <conditionalFormatting sqref="F1444">
    <cfRule type="cellIs" dxfId="1" priority="3189" operator="equal">
      <formula>0</formula>
    </cfRule>
  </conditionalFormatting>
  <conditionalFormatting sqref="F1445">
    <cfRule type="cellIs" dxfId="1" priority="3193" operator="equal">
      <formula>0</formula>
    </cfRule>
  </conditionalFormatting>
  <conditionalFormatting sqref="F1446">
    <cfRule type="cellIs" dxfId="1" priority="3197" operator="equal">
      <formula>0</formula>
    </cfRule>
  </conditionalFormatting>
  <conditionalFormatting sqref="F1447">
    <cfRule type="cellIs" dxfId="1" priority="3201" operator="equal">
      <formula>0</formula>
    </cfRule>
  </conditionalFormatting>
  <conditionalFormatting sqref="F1448">
    <cfRule type="cellIs" dxfId="1" priority="3205" operator="equal">
      <formula>0</formula>
    </cfRule>
  </conditionalFormatting>
  <conditionalFormatting sqref="F1449">
    <cfRule type="cellIs" dxfId="1" priority="3209" operator="equal">
      <formula>0</formula>
    </cfRule>
  </conditionalFormatting>
  <conditionalFormatting sqref="F1450">
    <cfRule type="cellIs" dxfId="1" priority="3212" operator="equal">
      <formula>0</formula>
    </cfRule>
  </conditionalFormatting>
  <conditionalFormatting sqref="F147">
    <cfRule type="expression" dxfId="0" priority="255">
      <formula>F148=0</formula>
    </cfRule>
  </conditionalFormatting>
  <conditionalFormatting sqref="F148">
    <cfRule type="cellIs" dxfId="1" priority="261" operator="equal">
      <formula>0</formula>
    </cfRule>
  </conditionalFormatting>
  <conditionalFormatting sqref="F1482">
    <cfRule type="expression" dxfId="0" priority="3256">
      <formula>F1483=0</formula>
    </cfRule>
  </conditionalFormatting>
  <conditionalFormatting sqref="F1483">
    <cfRule type="cellIs" dxfId="1" priority="3260" operator="equal">
      <formula>0</formula>
    </cfRule>
  </conditionalFormatting>
  <conditionalFormatting sqref="F1484">
    <cfRule type="cellIs" dxfId="1" priority="3264" operator="equal">
      <formula>0</formula>
    </cfRule>
  </conditionalFormatting>
  <conditionalFormatting sqref="F1486">
    <cfRule type="cellIs" dxfId="1" priority="3271" operator="equal">
      <formula>0</formula>
    </cfRule>
  </conditionalFormatting>
  <conditionalFormatting sqref="F149">
    <cfRule type="cellIs" dxfId="1" priority="267" operator="equal">
      <formula>0</formula>
    </cfRule>
  </conditionalFormatting>
  <conditionalFormatting sqref="F150">
    <cfRule type="cellIs" dxfId="1" priority="271" operator="equal">
      <formula>0</formula>
    </cfRule>
  </conditionalFormatting>
  <conditionalFormatting sqref="F1506">
    <cfRule type="expression" dxfId="0" priority="3293">
      <formula>F1507=0</formula>
    </cfRule>
  </conditionalFormatting>
  <conditionalFormatting sqref="F1507">
    <cfRule type="cellIs" dxfId="1" priority="3297" operator="equal">
      <formula>0</formula>
    </cfRule>
  </conditionalFormatting>
  <conditionalFormatting sqref="F1508">
    <cfRule type="cellIs" dxfId="1" priority="3301" operator="equal">
      <formula>0</formula>
    </cfRule>
  </conditionalFormatting>
  <conditionalFormatting sqref="F1509">
    <cfRule type="cellIs" dxfId="1" priority="3305" operator="equal">
      <formula>0</formula>
    </cfRule>
  </conditionalFormatting>
  <conditionalFormatting sqref="F151">
    <cfRule type="cellIs" dxfId="1" priority="275" operator="equal">
      <formula>0</formula>
    </cfRule>
  </conditionalFormatting>
  <conditionalFormatting sqref="F152">
    <cfRule type="cellIs" dxfId="1" priority="279" operator="equal">
      <formula>0</formula>
    </cfRule>
  </conditionalFormatting>
  <conditionalFormatting sqref="F1527">
    <cfRule type="expression" dxfId="0" priority="3323">
      <formula>F1528=0</formula>
    </cfRule>
  </conditionalFormatting>
  <conditionalFormatting sqref="F1528">
    <cfRule type="cellIs" dxfId="1" priority="3332" operator="equal">
      <formula>0</formula>
    </cfRule>
  </conditionalFormatting>
  <conditionalFormatting sqref="F153">
    <cfRule type="cellIs" dxfId="1" priority="283" operator="equal">
      <formula>0</formula>
    </cfRule>
  </conditionalFormatting>
  <conditionalFormatting sqref="F1530">
    <cfRule type="cellIs" dxfId="1" priority="3343" operator="equal">
      <formula>0</formula>
    </cfRule>
  </conditionalFormatting>
  <conditionalFormatting sqref="F1536">
    <cfRule type="cellIs" dxfId="1" priority="3367" operator="equal">
      <formula>0</formula>
    </cfRule>
  </conditionalFormatting>
  <conditionalFormatting sqref="F1537">
    <cfRule type="cellIs" dxfId="1" priority="3372" operator="equal">
      <formula>0</formula>
    </cfRule>
  </conditionalFormatting>
  <conditionalFormatting sqref="F1540">
    <cfRule type="cellIs" dxfId="1" priority="3383" operator="equal">
      <formula>0</formula>
    </cfRule>
  </conditionalFormatting>
  <conditionalFormatting sqref="F1542">
    <cfRule type="expression" dxfId="0" priority="3389">
      <formula>F1543=0</formula>
    </cfRule>
  </conditionalFormatting>
  <conditionalFormatting sqref="F1543">
    <cfRule type="cellIs" dxfId="1" priority="3396" operator="equal">
      <formula>0</formula>
    </cfRule>
  </conditionalFormatting>
  <conditionalFormatting sqref="F1549">
    <cfRule type="cellIs" dxfId="1" priority="3405" operator="equal">
      <formula>0</formula>
    </cfRule>
  </conditionalFormatting>
  <conditionalFormatting sqref="F155">
    <cfRule type="cellIs" dxfId="1" priority="292" operator="equal">
      <formula>0</formula>
    </cfRule>
  </conditionalFormatting>
  <conditionalFormatting sqref="F1552">
    <cfRule type="cellIs" dxfId="1" priority="3410" operator="equal">
      <formula>0</formula>
    </cfRule>
  </conditionalFormatting>
  <conditionalFormatting sqref="F1555">
    <cfRule type="cellIs" dxfId="1" priority="3415" operator="equal">
      <formula>0</formula>
    </cfRule>
  </conditionalFormatting>
  <conditionalFormatting sqref="F156">
    <cfRule type="cellIs" dxfId="1" priority="296" operator="equal">
      <formula>0</formula>
    </cfRule>
  </conditionalFormatting>
  <conditionalFormatting sqref="F157">
    <cfRule type="cellIs" dxfId="1" priority="299" operator="equal">
      <formula>0</formula>
    </cfRule>
  </conditionalFormatting>
  <conditionalFormatting sqref="F1578">
    <cfRule type="expression" dxfId="0" priority="3439">
      <formula>F1579=0</formula>
    </cfRule>
  </conditionalFormatting>
  <conditionalFormatting sqref="F1579">
    <cfRule type="cellIs" dxfId="1" priority="3444" operator="equal">
      <formula>0</formula>
    </cfRule>
  </conditionalFormatting>
  <conditionalFormatting sqref="F158">
    <cfRule type="cellIs" dxfId="1" priority="303" operator="equal">
      <formula>0</formula>
    </cfRule>
  </conditionalFormatting>
  <conditionalFormatting sqref="F1581">
    <cfRule type="cellIs" dxfId="1" priority="3452" operator="equal">
      <formula>0</formula>
    </cfRule>
  </conditionalFormatting>
  <conditionalFormatting sqref="F1582">
    <cfRule type="cellIs" dxfId="1" priority="3456" operator="equal">
      <formula>0</formula>
    </cfRule>
  </conditionalFormatting>
  <conditionalFormatting sqref="F1583">
    <cfRule type="cellIs" dxfId="1" priority="3460" operator="equal">
      <formula>0</formula>
    </cfRule>
  </conditionalFormatting>
  <conditionalFormatting sqref="F160">
    <cfRule type="expression" dxfId="0" priority="307">
      <formula>F161=0</formula>
    </cfRule>
  </conditionalFormatting>
  <conditionalFormatting sqref="F1605">
    <cfRule type="expression" dxfId="0" priority="3490">
      <formula>F1606=0</formula>
    </cfRule>
  </conditionalFormatting>
  <conditionalFormatting sqref="F1606">
    <cfRule type="cellIs" dxfId="1" priority="3497" operator="equal">
      <formula>0</formula>
    </cfRule>
  </conditionalFormatting>
  <conditionalFormatting sqref="F1607">
    <cfRule type="cellIs" dxfId="1" priority="3504" operator="equal">
      <formula>0</formula>
    </cfRule>
  </conditionalFormatting>
  <conditionalFormatting sqref="F1608">
    <cfRule type="cellIs" dxfId="1" priority="3509" operator="equal">
      <formula>0</formula>
    </cfRule>
  </conditionalFormatting>
  <conditionalFormatting sqref="F161">
    <cfRule type="cellIs" dxfId="1" priority="316" operator="equal">
      <formula>0</formula>
    </cfRule>
  </conditionalFormatting>
  <conditionalFormatting sqref="F163">
    <cfRule type="cellIs" dxfId="1" priority="325" operator="equal">
      <formula>0</formula>
    </cfRule>
  </conditionalFormatting>
  <conditionalFormatting sqref="F164">
    <cfRule type="cellIs" dxfId="1" priority="327" operator="equal">
      <formula>0</formula>
    </cfRule>
  </conditionalFormatting>
  <conditionalFormatting sqref="F165">
    <cfRule type="cellIs" dxfId="1" priority="328" operator="equal">
      <formula>0</formula>
    </cfRule>
  </conditionalFormatting>
  <conditionalFormatting sqref="F166">
    <cfRule type="cellIs" dxfId="1" priority="330" operator="equal">
      <formula>0</formula>
    </cfRule>
  </conditionalFormatting>
  <conditionalFormatting sqref="F167">
    <cfRule type="cellIs" dxfId="1" priority="332" operator="equal">
      <formula>0</formula>
    </cfRule>
  </conditionalFormatting>
  <conditionalFormatting sqref="F170">
    <cfRule type="cellIs" dxfId="1" priority="336" operator="equal">
      <formula>0</formula>
    </cfRule>
  </conditionalFormatting>
  <conditionalFormatting sqref="F171">
    <cfRule type="cellIs" dxfId="1" priority="339" operator="equal">
      <formula>0</formula>
    </cfRule>
  </conditionalFormatting>
  <conditionalFormatting sqref="F173">
    <cfRule type="expression" dxfId="0" priority="343">
      <formula>F174=0</formula>
    </cfRule>
  </conditionalFormatting>
  <conditionalFormatting sqref="F174">
    <cfRule type="cellIs" dxfId="1" priority="347" operator="equal">
      <formula>0</formula>
    </cfRule>
  </conditionalFormatting>
  <conditionalFormatting sqref="F184">
    <cfRule type="cellIs" dxfId="1" priority="358" operator="equal">
      <formula>0</formula>
    </cfRule>
  </conditionalFormatting>
  <conditionalFormatting sqref="F192">
    <cfRule type="expression" dxfId="0" priority="362">
      <formula>F193=0</formula>
    </cfRule>
  </conditionalFormatting>
  <conditionalFormatting sqref="F193">
    <cfRule type="cellIs" dxfId="1" priority="373" operator="equal">
      <formula>0</formula>
    </cfRule>
  </conditionalFormatting>
  <conditionalFormatting sqref="F194">
    <cfRule type="cellIs" dxfId="1" priority="383" operator="equal">
      <formula>0</formula>
    </cfRule>
  </conditionalFormatting>
  <conditionalFormatting sqref="F195">
    <cfRule type="cellIs" dxfId="1" priority="388" operator="equal">
      <formula>0</formula>
    </cfRule>
  </conditionalFormatting>
  <conditionalFormatting sqref="F197">
    <cfRule type="cellIs" dxfId="1" priority="395" operator="equal">
      <formula>0</formula>
    </cfRule>
  </conditionalFormatting>
  <conditionalFormatting sqref="F198">
    <cfRule type="cellIs" dxfId="1" priority="400" operator="equal">
      <formula>0</formula>
    </cfRule>
  </conditionalFormatting>
  <conditionalFormatting sqref="F200">
    <cfRule type="cellIs" dxfId="1" priority="410" operator="equal">
      <formula>0</formula>
    </cfRule>
  </conditionalFormatting>
  <conditionalFormatting sqref="F204">
    <cfRule type="cellIs" dxfId="1" priority="427" operator="equal">
      <formula>0</formula>
    </cfRule>
  </conditionalFormatting>
  <conditionalFormatting sqref="F206">
    <cfRule type="cellIs" dxfId="1" priority="437" operator="equal">
      <formula>0</formula>
    </cfRule>
  </conditionalFormatting>
  <conditionalFormatting sqref="F213">
    <cfRule type="expression" dxfId="0" priority="460">
      <formula>F214=0</formula>
    </cfRule>
  </conditionalFormatting>
  <conditionalFormatting sqref="F214">
    <cfRule type="cellIs" dxfId="1" priority="466" operator="equal">
      <formula>0</formula>
    </cfRule>
  </conditionalFormatting>
  <conditionalFormatting sqref="F216">
    <cfRule type="cellIs" dxfId="1" priority="472" operator="equal">
      <formula>0</formula>
    </cfRule>
  </conditionalFormatting>
  <conditionalFormatting sqref="F220">
    <cfRule type="cellIs" dxfId="1" priority="477" operator="equal">
      <formula>0</formula>
    </cfRule>
  </conditionalFormatting>
  <conditionalFormatting sqref="F231">
    <cfRule type="cellIs" dxfId="1" priority="493" operator="equal">
      <formula>0</formula>
    </cfRule>
  </conditionalFormatting>
  <conditionalFormatting sqref="F261">
    <cfRule type="expression" dxfId="0" priority="522">
      <formula>F262=0</formula>
    </cfRule>
  </conditionalFormatting>
  <conditionalFormatting sqref="F262">
    <cfRule type="cellIs" dxfId="1" priority="526" operator="equal">
      <formula>0</formula>
    </cfRule>
  </conditionalFormatting>
  <conditionalFormatting sqref="F263">
    <cfRule type="cellIs" dxfId="1" priority="530" operator="equal">
      <formula>0</formula>
    </cfRule>
  </conditionalFormatting>
  <conditionalFormatting sqref="F264">
    <cfRule type="cellIs" dxfId="1" priority="534" operator="equal">
      <formula>0</formula>
    </cfRule>
  </conditionalFormatting>
  <conditionalFormatting sqref="F27">
    <cfRule type="expression" dxfId="0" priority="4">
      <formula>F28=0</formula>
    </cfRule>
  </conditionalFormatting>
  <conditionalFormatting sqref="F28">
    <cfRule type="cellIs" dxfId="1" priority="10" operator="equal">
      <formula>0</formula>
    </cfRule>
  </conditionalFormatting>
  <conditionalFormatting sqref="F282">
    <cfRule type="expression" dxfId="0" priority="553">
      <formula>F283=0</formula>
    </cfRule>
  </conditionalFormatting>
  <conditionalFormatting sqref="F283">
    <cfRule type="cellIs" dxfId="1" priority="561" operator="equal">
      <formula>0</formula>
    </cfRule>
  </conditionalFormatting>
  <conditionalFormatting sqref="F285">
    <cfRule type="cellIs" dxfId="1" priority="575" operator="equal">
      <formula>0</formula>
    </cfRule>
  </conditionalFormatting>
  <conditionalFormatting sqref="F287">
    <cfRule type="cellIs" dxfId="1" priority="583" operator="equal">
      <formula>0</formula>
    </cfRule>
  </conditionalFormatting>
  <conditionalFormatting sqref="F289">
    <cfRule type="cellIs" dxfId="1" priority="591" operator="equal">
      <formula>0</formula>
    </cfRule>
  </conditionalFormatting>
  <conditionalFormatting sqref="F29">
    <cfRule type="cellIs" dxfId="1" priority="16" operator="equal">
      <formula>0</formula>
    </cfRule>
  </conditionalFormatting>
  <conditionalFormatting sqref="F290">
    <cfRule type="cellIs" dxfId="1" priority="595" operator="equal">
      <formula>0</formula>
    </cfRule>
  </conditionalFormatting>
  <conditionalFormatting sqref="F291">
    <cfRule type="cellIs" dxfId="1" priority="599" operator="equal">
      <formula>0</formula>
    </cfRule>
  </conditionalFormatting>
  <conditionalFormatting sqref="F293">
    <cfRule type="cellIs" dxfId="1" priority="607" operator="equal">
      <formula>0</formula>
    </cfRule>
  </conditionalFormatting>
  <conditionalFormatting sqref="F294">
    <cfRule type="cellIs" dxfId="1" priority="610" operator="equal">
      <formula>0</formula>
    </cfRule>
  </conditionalFormatting>
  <conditionalFormatting sqref="F295">
    <cfRule type="cellIs" dxfId="1" priority="614" operator="equal">
      <formula>0</formula>
    </cfRule>
  </conditionalFormatting>
  <conditionalFormatting sqref="F297">
    <cfRule type="cellIs" dxfId="1" priority="622" operator="equal">
      <formula>0</formula>
    </cfRule>
  </conditionalFormatting>
  <conditionalFormatting sqref="F298">
    <cfRule type="cellIs" dxfId="1" priority="625" operator="equal">
      <formula>0</formula>
    </cfRule>
  </conditionalFormatting>
  <conditionalFormatting sqref="F299">
    <cfRule type="cellIs" dxfId="1" priority="629" operator="equal">
      <formula>0</formula>
    </cfRule>
  </conditionalFormatting>
  <conditionalFormatting sqref="F30">
    <cfRule type="cellIs" dxfId="1" priority="20" operator="equal">
      <formula>0</formula>
    </cfRule>
  </conditionalFormatting>
  <conditionalFormatting sqref="F300">
    <cfRule type="cellIs" dxfId="1" priority="634" operator="equal">
      <formula>0</formula>
    </cfRule>
  </conditionalFormatting>
  <conditionalFormatting sqref="F301">
    <cfRule type="cellIs" dxfId="1" priority="639" operator="equal">
      <formula>0</formula>
    </cfRule>
  </conditionalFormatting>
  <conditionalFormatting sqref="F302">
    <cfRule type="cellIs" dxfId="1" priority="644" operator="equal">
      <formula>0</formula>
    </cfRule>
  </conditionalFormatting>
  <conditionalFormatting sqref="F303">
    <cfRule type="cellIs" dxfId="1" priority="648" operator="equal">
      <formula>0</formula>
    </cfRule>
  </conditionalFormatting>
  <conditionalFormatting sqref="F304">
    <cfRule type="cellIs" dxfId="1" priority="652" operator="equal">
      <formula>0</formula>
    </cfRule>
  </conditionalFormatting>
  <conditionalFormatting sqref="F305">
    <cfRule type="cellIs" dxfId="1" priority="656" operator="equal">
      <formula>0</formula>
    </cfRule>
  </conditionalFormatting>
  <conditionalFormatting sqref="F306">
    <cfRule type="cellIs" dxfId="1" priority="660" operator="equal">
      <formula>0</formula>
    </cfRule>
  </conditionalFormatting>
  <conditionalFormatting sqref="F307">
    <cfRule type="cellIs" dxfId="1" priority="664" operator="equal">
      <formula>0</formula>
    </cfRule>
  </conditionalFormatting>
  <conditionalFormatting sqref="F309">
    <cfRule type="expression" dxfId="0" priority="669">
      <formula>F310=0</formula>
    </cfRule>
  </conditionalFormatting>
  <conditionalFormatting sqref="F310">
    <cfRule type="cellIs" dxfId="1" priority="677" operator="equal">
      <formula>0</formula>
    </cfRule>
  </conditionalFormatting>
  <conditionalFormatting sqref="F314">
    <cfRule type="cellIs" dxfId="1" priority="689" operator="equal">
      <formula>0</formula>
    </cfRule>
  </conditionalFormatting>
  <conditionalFormatting sqref="F315">
    <cfRule type="cellIs" dxfId="1" priority="691" operator="equal">
      <formula>0</formula>
    </cfRule>
  </conditionalFormatting>
  <conditionalFormatting sqref="F32">
    <cfRule type="cellIs" dxfId="1" priority="28" operator="equal">
      <formula>0</formula>
    </cfRule>
  </conditionalFormatting>
  <conditionalFormatting sqref="F326">
    <cfRule type="cellIs" dxfId="1" priority="712" operator="equal">
      <formula>0</formula>
    </cfRule>
  </conditionalFormatting>
  <conditionalFormatting sqref="F33">
    <cfRule type="cellIs" dxfId="1" priority="32" operator="equal">
      <formula>0</formula>
    </cfRule>
  </conditionalFormatting>
  <conditionalFormatting sqref="F369">
    <cfRule type="expression" dxfId="0" priority="765">
      <formula>F370=0</formula>
    </cfRule>
  </conditionalFormatting>
  <conditionalFormatting sqref="F370">
    <cfRule type="cellIs" dxfId="1" priority="772" operator="equal">
      <formula>0</formula>
    </cfRule>
  </conditionalFormatting>
  <conditionalFormatting sqref="F371">
    <cfRule type="cellIs" dxfId="1" priority="779" operator="equal">
      <formula>0</formula>
    </cfRule>
  </conditionalFormatting>
  <conditionalFormatting sqref="F373">
    <cfRule type="cellIs" dxfId="1" priority="789" operator="equal">
      <formula>0</formula>
    </cfRule>
  </conditionalFormatting>
  <conditionalFormatting sqref="F374">
    <cfRule type="cellIs" dxfId="1" priority="793" operator="equal">
      <formula>0</formula>
    </cfRule>
  </conditionalFormatting>
  <conditionalFormatting sqref="F375">
    <cfRule type="cellIs" dxfId="1" priority="797" operator="equal">
      <formula>0</formula>
    </cfRule>
  </conditionalFormatting>
  <conditionalFormatting sqref="F399">
    <cfRule type="expression" dxfId="0" priority="822">
      <formula>F400=0</formula>
    </cfRule>
  </conditionalFormatting>
  <conditionalFormatting sqref="F400">
    <cfRule type="cellIs" dxfId="1" priority="831" operator="equal">
      <formula>0</formula>
    </cfRule>
  </conditionalFormatting>
  <conditionalFormatting sqref="F402">
    <cfRule type="cellIs" dxfId="1" priority="842" operator="equal">
      <formula>0</formula>
    </cfRule>
  </conditionalFormatting>
  <conditionalFormatting sqref="F404">
    <cfRule type="cellIs" dxfId="1" priority="850" operator="equal">
      <formula>0</formula>
    </cfRule>
  </conditionalFormatting>
  <conditionalFormatting sqref="F405">
    <cfRule type="cellIs" dxfId="1" priority="855" operator="equal">
      <formula>0</formula>
    </cfRule>
  </conditionalFormatting>
  <conditionalFormatting sqref="F407">
    <cfRule type="cellIs" dxfId="1" priority="862" operator="equal">
      <formula>0</formula>
    </cfRule>
  </conditionalFormatting>
  <conditionalFormatting sqref="F411">
    <cfRule type="expression" dxfId="0" priority="875">
      <formula>F412=0</formula>
    </cfRule>
  </conditionalFormatting>
  <conditionalFormatting sqref="F412">
    <cfRule type="cellIs" dxfId="1" priority="880" operator="equal">
      <formula>0</formula>
    </cfRule>
  </conditionalFormatting>
  <conditionalFormatting sqref="F416">
    <cfRule type="cellIs" dxfId="1" priority="886" operator="equal">
      <formula>0</formula>
    </cfRule>
  </conditionalFormatting>
  <conditionalFormatting sqref="F441">
    <cfRule type="expression" dxfId="0" priority="917">
      <formula>F442=0</formula>
    </cfRule>
  </conditionalFormatting>
  <conditionalFormatting sqref="F442">
    <cfRule type="cellIs" dxfId="1" priority="926" operator="equal">
      <formula>0</formula>
    </cfRule>
  </conditionalFormatting>
  <conditionalFormatting sqref="F443">
    <cfRule type="cellIs" dxfId="1" priority="934" operator="equal">
      <formula>0</formula>
    </cfRule>
  </conditionalFormatting>
  <conditionalFormatting sqref="F445">
    <cfRule type="cellIs" dxfId="1" priority="944" operator="equal">
      <formula>0</formula>
    </cfRule>
  </conditionalFormatting>
  <conditionalFormatting sqref="F446">
    <cfRule type="cellIs" dxfId="1" priority="949" operator="equal">
      <formula>0</formula>
    </cfRule>
  </conditionalFormatting>
  <conditionalFormatting sqref="F447">
    <cfRule type="cellIs" dxfId="1" priority="953" operator="equal">
      <formula>0</formula>
    </cfRule>
  </conditionalFormatting>
  <conditionalFormatting sqref="F448">
    <cfRule type="cellIs" dxfId="1" priority="957" operator="equal">
      <formula>0</formula>
    </cfRule>
  </conditionalFormatting>
  <conditionalFormatting sqref="F492">
    <cfRule type="expression" dxfId="0" priority="1005">
      <formula>F493=0</formula>
    </cfRule>
  </conditionalFormatting>
  <conditionalFormatting sqref="F493">
    <cfRule type="cellIs" dxfId="1" priority="1009" operator="equal">
      <formula>0</formula>
    </cfRule>
  </conditionalFormatting>
  <conditionalFormatting sqref="F494">
    <cfRule type="cellIs" dxfId="1" priority="1013" operator="equal">
      <formula>0</formula>
    </cfRule>
  </conditionalFormatting>
  <conditionalFormatting sqref="F495">
    <cfRule type="cellIs" dxfId="1" priority="1017" operator="equal">
      <formula>0</formula>
    </cfRule>
  </conditionalFormatting>
  <conditionalFormatting sqref="F496">
    <cfRule type="cellIs" dxfId="1" priority="1021" operator="equal">
      <formula>0</formula>
    </cfRule>
  </conditionalFormatting>
  <conditionalFormatting sqref="F497">
    <cfRule type="cellIs" dxfId="1" priority="1025" operator="equal">
      <formula>0</formula>
    </cfRule>
  </conditionalFormatting>
  <conditionalFormatting sqref="F498">
    <cfRule type="cellIs" dxfId="1" priority="1029" operator="equal">
      <formula>0</formula>
    </cfRule>
  </conditionalFormatting>
  <conditionalFormatting sqref="F522">
    <cfRule type="expression" dxfId="0" priority="1059">
      <formula>F523=0</formula>
    </cfRule>
  </conditionalFormatting>
  <conditionalFormatting sqref="F523">
    <cfRule type="cellIs" dxfId="1" priority="1070" operator="equal">
      <formula>0</formula>
    </cfRule>
  </conditionalFormatting>
  <conditionalFormatting sqref="F524">
    <cfRule type="cellIs" dxfId="1" priority="1081" operator="equal">
      <formula>0</formula>
    </cfRule>
  </conditionalFormatting>
  <conditionalFormatting sqref="F527">
    <cfRule type="cellIs" dxfId="1" priority="1093" operator="equal">
      <formula>0</formula>
    </cfRule>
  </conditionalFormatting>
  <conditionalFormatting sqref="F528">
    <cfRule type="cellIs" dxfId="1" priority="1097" operator="equal">
      <formula>0</formula>
    </cfRule>
  </conditionalFormatting>
  <conditionalFormatting sqref="F530">
    <cfRule type="cellIs" dxfId="1" priority="1105" operator="equal">
      <formula>0</formula>
    </cfRule>
  </conditionalFormatting>
  <conditionalFormatting sqref="F531">
    <cfRule type="cellIs" dxfId="1" priority="1109" operator="equal">
      <formula>0</formula>
    </cfRule>
  </conditionalFormatting>
  <conditionalFormatting sqref="F532">
    <cfRule type="cellIs" dxfId="1" priority="1113" operator="equal">
      <formula>0</formula>
    </cfRule>
  </conditionalFormatting>
  <conditionalFormatting sqref="F533">
    <cfRule type="cellIs" dxfId="1" priority="1117" operator="equal">
      <formula>0</formula>
    </cfRule>
  </conditionalFormatting>
  <conditionalFormatting sqref="F534">
    <cfRule type="cellIs" dxfId="1" priority="1121" operator="equal">
      <formula>0</formula>
    </cfRule>
  </conditionalFormatting>
  <conditionalFormatting sqref="F535">
    <cfRule type="cellIs" dxfId="1" priority="1125" operator="equal">
      <formula>0</formula>
    </cfRule>
  </conditionalFormatting>
  <conditionalFormatting sqref="F536">
    <cfRule type="cellIs" dxfId="1" priority="1129" operator="equal">
      <formula>0</formula>
    </cfRule>
  </conditionalFormatting>
  <conditionalFormatting sqref="F537">
    <cfRule type="cellIs" dxfId="1" priority="1133" operator="equal">
      <formula>0</formula>
    </cfRule>
  </conditionalFormatting>
  <conditionalFormatting sqref="F538">
    <cfRule type="cellIs" dxfId="1" priority="1136" operator="equal">
      <formula>0</formula>
    </cfRule>
  </conditionalFormatting>
  <conditionalFormatting sqref="F539">
    <cfRule type="cellIs" dxfId="1" priority="1140" operator="equal">
      <formula>0</formula>
    </cfRule>
  </conditionalFormatting>
  <conditionalFormatting sqref="F540">
    <cfRule type="cellIs" dxfId="1" priority="1145" operator="equal">
      <formula>0</formula>
    </cfRule>
  </conditionalFormatting>
  <conditionalFormatting sqref="F541">
    <cfRule type="cellIs" dxfId="1" priority="1150" operator="equal">
      <formula>0</formula>
    </cfRule>
  </conditionalFormatting>
  <conditionalFormatting sqref="F542">
    <cfRule type="cellIs" dxfId="1" priority="1154" operator="equal">
      <formula>0</formula>
    </cfRule>
  </conditionalFormatting>
  <conditionalFormatting sqref="F543">
    <cfRule type="cellIs" dxfId="1" priority="1158" operator="equal">
      <formula>0</formula>
    </cfRule>
  </conditionalFormatting>
  <conditionalFormatting sqref="F544">
    <cfRule type="cellIs" dxfId="1" priority="1162" operator="equal">
      <formula>0</formula>
    </cfRule>
  </conditionalFormatting>
  <conditionalFormatting sqref="F545">
    <cfRule type="cellIs" dxfId="1" priority="1166" operator="equal">
      <formula>0</formula>
    </cfRule>
  </conditionalFormatting>
  <conditionalFormatting sqref="F546">
    <cfRule type="cellIs" dxfId="1" priority="1170" operator="equal">
      <formula>0</formula>
    </cfRule>
  </conditionalFormatting>
  <conditionalFormatting sqref="F547">
    <cfRule type="cellIs" dxfId="1" priority="1174" operator="equal">
      <formula>0</formula>
    </cfRule>
  </conditionalFormatting>
  <conditionalFormatting sqref="F548">
    <cfRule type="cellIs" dxfId="1" priority="1178" operator="equal">
      <formula>0</formula>
    </cfRule>
  </conditionalFormatting>
  <conditionalFormatting sqref="F550">
    <cfRule type="expression" dxfId="0" priority="1183">
      <formula>F551=0</formula>
    </cfRule>
  </conditionalFormatting>
  <conditionalFormatting sqref="F551">
    <cfRule type="cellIs" dxfId="1" priority="1193" operator="equal">
      <formula>0</formula>
    </cfRule>
  </conditionalFormatting>
  <conditionalFormatting sqref="F555">
    <cfRule type="cellIs" dxfId="1" priority="1206" operator="equal">
      <formula>0</formula>
    </cfRule>
  </conditionalFormatting>
  <conditionalFormatting sqref="F57">
    <cfRule type="expression" dxfId="0" priority="64">
      <formula>F58=0</formula>
    </cfRule>
  </conditionalFormatting>
  <conditionalFormatting sqref="F578">
    <cfRule type="expression" dxfId="0" priority="1250">
      <formula>F579=0</formula>
    </cfRule>
  </conditionalFormatting>
  <conditionalFormatting sqref="F579">
    <cfRule type="cellIs" dxfId="1" priority="1256" operator="equal">
      <formula>0</formula>
    </cfRule>
  </conditionalFormatting>
  <conditionalFormatting sqref="F58">
    <cfRule type="cellIs" dxfId="1" priority="68" operator="equal">
      <formula>0</formula>
    </cfRule>
  </conditionalFormatting>
  <conditionalFormatting sqref="F59">
    <cfRule type="cellIs" dxfId="1" priority="72" operator="equal">
      <formula>0</formula>
    </cfRule>
  </conditionalFormatting>
  <conditionalFormatting sqref="F595">
    <cfRule type="cellIs" dxfId="1" priority="1274" operator="equal">
      <formula>0</formula>
    </cfRule>
  </conditionalFormatting>
  <conditionalFormatting sqref="F612">
    <cfRule type="expression" dxfId="0" priority="1289">
      <formula>F613=0</formula>
    </cfRule>
  </conditionalFormatting>
  <conditionalFormatting sqref="F613">
    <cfRule type="cellIs" dxfId="1" priority="1298" operator="equal">
      <formula>0</formula>
    </cfRule>
  </conditionalFormatting>
  <conditionalFormatting sqref="F616">
    <cfRule type="cellIs" dxfId="1" priority="1311" operator="equal">
      <formula>0</formula>
    </cfRule>
  </conditionalFormatting>
  <conditionalFormatting sqref="F620">
    <cfRule type="cellIs" dxfId="1" priority="1326" operator="equal">
      <formula>0</formula>
    </cfRule>
  </conditionalFormatting>
  <conditionalFormatting sqref="F621">
    <cfRule type="cellIs" dxfId="1" priority="1332" operator="equal">
      <formula>0</formula>
    </cfRule>
  </conditionalFormatting>
  <conditionalFormatting sqref="F623">
    <cfRule type="expression" dxfId="0" priority="1338">
      <formula>F624=0</formula>
    </cfRule>
  </conditionalFormatting>
  <conditionalFormatting sqref="F624">
    <cfRule type="cellIs" dxfId="1" priority="1343" operator="equal">
      <formula>0</formula>
    </cfRule>
  </conditionalFormatting>
  <conditionalFormatting sqref="F630">
    <cfRule type="cellIs" dxfId="1" priority="1350" operator="equal">
      <formula>0</formula>
    </cfRule>
  </conditionalFormatting>
  <conditionalFormatting sqref="F651">
    <cfRule type="expression" dxfId="0" priority="1370">
      <formula>F652=0</formula>
    </cfRule>
  </conditionalFormatting>
  <conditionalFormatting sqref="F652">
    <cfRule type="cellIs" dxfId="1" priority="1376" operator="equal">
      <formula>0</formula>
    </cfRule>
  </conditionalFormatting>
  <conditionalFormatting sqref="F653">
    <cfRule type="cellIs" dxfId="1" priority="1382" operator="equal">
      <formula>0</formula>
    </cfRule>
  </conditionalFormatting>
  <conditionalFormatting sqref="F654">
    <cfRule type="cellIs" dxfId="1" priority="1386" operator="equal">
      <formula>0</formula>
    </cfRule>
  </conditionalFormatting>
  <conditionalFormatting sqref="F655">
    <cfRule type="cellIs" dxfId="1" priority="1390" operator="equal">
      <formula>0</formula>
    </cfRule>
  </conditionalFormatting>
  <conditionalFormatting sqref="F656">
    <cfRule type="cellIs" dxfId="1" priority="1394" operator="equal">
      <formula>0</formula>
    </cfRule>
  </conditionalFormatting>
  <conditionalFormatting sqref="F657">
    <cfRule type="cellIs" dxfId="1" priority="1399" operator="equal">
      <formula>0</formula>
    </cfRule>
  </conditionalFormatting>
  <conditionalFormatting sqref="F658">
    <cfRule type="cellIs" dxfId="1" priority="1403" operator="equal">
      <formula>0</formula>
    </cfRule>
  </conditionalFormatting>
  <conditionalFormatting sqref="F659">
    <cfRule type="cellIs" dxfId="1" priority="1407" operator="equal">
      <formula>0</formula>
    </cfRule>
  </conditionalFormatting>
  <conditionalFormatting sqref="F660">
    <cfRule type="cellIs" dxfId="1" priority="1411" operator="equal">
      <formula>0</formula>
    </cfRule>
  </conditionalFormatting>
  <conditionalFormatting sqref="F662">
    <cfRule type="cellIs" dxfId="1" priority="1419" operator="equal">
      <formula>0</formula>
    </cfRule>
  </conditionalFormatting>
  <conditionalFormatting sqref="F664">
    <cfRule type="expression" dxfId="0" priority="1423">
      <formula>F665=0</formula>
    </cfRule>
  </conditionalFormatting>
  <conditionalFormatting sqref="F665">
    <cfRule type="cellIs" dxfId="1" priority="1431" operator="equal">
      <formula>0</formula>
    </cfRule>
  </conditionalFormatting>
  <conditionalFormatting sqref="F667">
    <cfRule type="cellIs" dxfId="1" priority="1439" operator="equal">
      <formula>0</formula>
    </cfRule>
  </conditionalFormatting>
  <conditionalFormatting sqref="F677">
    <cfRule type="expression" dxfId="0" priority="1457">
      <formula>F678=0</formula>
    </cfRule>
  </conditionalFormatting>
  <conditionalFormatting sqref="F678">
    <cfRule type="cellIs" dxfId="1" priority="1461" operator="equal">
      <formula>0</formula>
    </cfRule>
  </conditionalFormatting>
  <conditionalFormatting sqref="F686">
    <cfRule type="cellIs" dxfId="1" priority="1470" operator="equal">
      <formula>0</formula>
    </cfRule>
  </conditionalFormatting>
  <conditionalFormatting sqref="F696">
    <cfRule type="expression" dxfId="0" priority="1476">
      <formula>F697=0</formula>
    </cfRule>
  </conditionalFormatting>
  <conditionalFormatting sqref="F697">
    <cfRule type="cellIs" dxfId="1" priority="1483" operator="equal">
      <formula>0</formula>
    </cfRule>
  </conditionalFormatting>
  <conditionalFormatting sqref="F699">
    <cfRule type="cellIs" dxfId="1" priority="1495" operator="equal">
      <formula>0</formula>
    </cfRule>
  </conditionalFormatting>
  <conditionalFormatting sqref="F700">
    <cfRule type="cellIs" dxfId="1" priority="1499" operator="equal">
      <formula>0</formula>
    </cfRule>
  </conditionalFormatting>
  <conditionalFormatting sqref="F701">
    <cfRule type="cellIs" dxfId="1" priority="1504" operator="equal">
      <formula>0</formula>
    </cfRule>
  </conditionalFormatting>
  <conditionalFormatting sqref="F723">
    <cfRule type="expression" dxfId="0" priority="1531">
      <formula>F724=0</formula>
    </cfRule>
  </conditionalFormatting>
  <conditionalFormatting sqref="F724">
    <cfRule type="cellIs" dxfId="1" priority="1538" operator="equal">
      <formula>0</formula>
    </cfRule>
  </conditionalFormatting>
  <conditionalFormatting sqref="F725">
    <cfRule type="cellIs" dxfId="1" priority="1545" operator="equal">
      <formula>0</formula>
    </cfRule>
  </conditionalFormatting>
  <conditionalFormatting sqref="F726">
    <cfRule type="cellIs" dxfId="1" priority="1547" operator="equal">
      <formula>0</formula>
    </cfRule>
  </conditionalFormatting>
  <conditionalFormatting sqref="F730">
    <cfRule type="expression" dxfId="0" priority="1561">
      <formula>F731=0</formula>
    </cfRule>
  </conditionalFormatting>
  <conditionalFormatting sqref="F731">
    <cfRule type="cellIs" dxfId="1" priority="1565" operator="equal">
      <formula>0</formula>
    </cfRule>
  </conditionalFormatting>
  <conditionalFormatting sqref="F735">
    <cfRule type="cellIs" dxfId="1" priority="1573" operator="equal">
      <formula>0</formula>
    </cfRule>
  </conditionalFormatting>
  <conditionalFormatting sqref="F75">
    <cfRule type="expression" dxfId="0" priority="82">
      <formula>F76=0</formula>
    </cfRule>
  </conditionalFormatting>
  <conditionalFormatting sqref="F750">
    <cfRule type="expression" dxfId="0" priority="1590">
      <formula>F751=0</formula>
    </cfRule>
  </conditionalFormatting>
  <conditionalFormatting sqref="F751">
    <cfRule type="cellIs" dxfId="1" priority="1597" operator="equal">
      <formula>0</formula>
    </cfRule>
  </conditionalFormatting>
  <conditionalFormatting sqref="F753">
    <cfRule type="cellIs" dxfId="1" priority="1609" operator="equal">
      <formula>0</formula>
    </cfRule>
  </conditionalFormatting>
  <conditionalFormatting sqref="F76">
    <cfRule type="cellIs" dxfId="1" priority="92" operator="equal">
      <formula>0</formula>
    </cfRule>
  </conditionalFormatting>
  <conditionalFormatting sqref="F771">
    <cfRule type="expression" dxfId="0" priority="1629">
      <formula>F772=0</formula>
    </cfRule>
  </conditionalFormatting>
  <conditionalFormatting sqref="F772">
    <cfRule type="cellIs" dxfId="1" priority="1640" operator="equal">
      <formula>0</formula>
    </cfRule>
  </conditionalFormatting>
  <conditionalFormatting sqref="F773">
    <cfRule type="cellIs" dxfId="1" priority="1650" operator="equal">
      <formula>0</formula>
    </cfRule>
  </conditionalFormatting>
  <conditionalFormatting sqref="F777">
    <cfRule type="cellIs" dxfId="1" priority="1669" operator="equal">
      <formula>0</formula>
    </cfRule>
  </conditionalFormatting>
  <conditionalFormatting sqref="F78">
    <cfRule type="cellIs" dxfId="1" priority="107" operator="equal">
      <formula>0</formula>
    </cfRule>
  </conditionalFormatting>
  <conditionalFormatting sqref="F781">
    <cfRule type="cellIs" dxfId="1" priority="1687" operator="equal">
      <formula>0</formula>
    </cfRule>
  </conditionalFormatting>
  <conditionalFormatting sqref="F783">
    <cfRule type="cellIs" dxfId="1" priority="1696" operator="equal">
      <formula>0</formula>
    </cfRule>
  </conditionalFormatting>
  <conditionalFormatting sqref="F784">
    <cfRule type="cellIs" dxfId="1" priority="1700" operator="equal">
      <formula>0</formula>
    </cfRule>
  </conditionalFormatting>
  <conditionalFormatting sqref="F787">
    <cfRule type="cellIs" dxfId="1" priority="1712" operator="equal">
      <formula>0</formula>
    </cfRule>
  </conditionalFormatting>
  <conditionalFormatting sqref="F789">
    <cfRule type="cellIs" dxfId="1" priority="1722" operator="equal">
      <formula>0</formula>
    </cfRule>
  </conditionalFormatting>
  <conditionalFormatting sqref="F791">
    <cfRule type="cellIs" dxfId="1" priority="1732" operator="equal">
      <formula>0</formula>
    </cfRule>
  </conditionalFormatting>
  <conditionalFormatting sqref="F794">
    <cfRule type="expression" dxfId="0" priority="1742">
      <formula>F795=0</formula>
    </cfRule>
  </conditionalFormatting>
  <conditionalFormatting sqref="F795">
    <cfRule type="cellIs" dxfId="1" priority="1749" operator="equal">
      <formula>0</formula>
    </cfRule>
  </conditionalFormatting>
  <conditionalFormatting sqref="F798">
    <cfRule type="cellIs" dxfId="1" priority="1757" operator="equal">
      <formula>0</formula>
    </cfRule>
  </conditionalFormatting>
  <conditionalFormatting sqref="F80">
    <cfRule type="cellIs" dxfId="1" priority="116" operator="equal">
      <formula>0</formula>
    </cfRule>
  </conditionalFormatting>
  <conditionalFormatting sqref="F806">
    <cfRule type="cellIs" dxfId="1" priority="1769" operator="equal">
      <formula>0</formula>
    </cfRule>
  </conditionalFormatting>
  <conditionalFormatting sqref="F81">
    <cfRule type="cellIs" dxfId="1" priority="121" operator="equal">
      <formula>0</formula>
    </cfRule>
  </conditionalFormatting>
  <conditionalFormatting sqref="F811">
    <cfRule type="cellIs" dxfId="1" priority="1778" operator="equal">
      <formula>0</formula>
    </cfRule>
  </conditionalFormatting>
  <conditionalFormatting sqref="F812">
    <cfRule type="cellIs" dxfId="1" priority="1779" operator="equal">
      <formula>0</formula>
    </cfRule>
  </conditionalFormatting>
  <conditionalFormatting sqref="F814">
    <cfRule type="cellIs" dxfId="1" priority="1782" operator="equal">
      <formula>0</formula>
    </cfRule>
  </conditionalFormatting>
  <conditionalFormatting sqref="F815">
    <cfRule type="cellIs" dxfId="1" priority="1783" operator="equal">
      <formula>0</formula>
    </cfRule>
  </conditionalFormatting>
  <conditionalFormatting sqref="F82">
    <cfRule type="cellIs" dxfId="1" priority="126" operator="equal">
      <formula>0</formula>
    </cfRule>
  </conditionalFormatting>
  <conditionalFormatting sqref="F83">
    <cfRule type="cellIs" dxfId="1" priority="132" operator="equal">
      <formula>0</formula>
    </cfRule>
  </conditionalFormatting>
  <conditionalFormatting sqref="F846">
    <cfRule type="expression" dxfId="0" priority="1814">
      <formula>F847=0</formula>
    </cfRule>
  </conditionalFormatting>
  <conditionalFormatting sqref="F847">
    <cfRule type="cellIs" dxfId="1" priority="1825" operator="equal">
      <formula>0</formula>
    </cfRule>
  </conditionalFormatting>
  <conditionalFormatting sqref="F848">
    <cfRule type="cellIs" dxfId="1" priority="1836" operator="equal">
      <formula>0</formula>
    </cfRule>
  </conditionalFormatting>
  <conditionalFormatting sqref="F85">
    <cfRule type="cellIs" dxfId="1" priority="140" operator="equal">
      <formula>0</formula>
    </cfRule>
  </conditionalFormatting>
  <conditionalFormatting sqref="F852">
    <cfRule type="cellIs" dxfId="1" priority="1852" operator="equal">
      <formula>0</formula>
    </cfRule>
  </conditionalFormatting>
  <conditionalFormatting sqref="F853">
    <cfRule type="cellIs" dxfId="1" priority="1856" operator="equal">
      <formula>0</formula>
    </cfRule>
  </conditionalFormatting>
  <conditionalFormatting sqref="F856">
    <cfRule type="expression" dxfId="0" priority="1865">
      <formula>F857=0</formula>
    </cfRule>
  </conditionalFormatting>
  <conditionalFormatting sqref="F857">
    <cfRule type="cellIs" dxfId="1" priority="1871" operator="equal">
      <formula>0</formula>
    </cfRule>
  </conditionalFormatting>
  <conditionalFormatting sqref="F859">
    <cfRule type="cellIs" dxfId="1" priority="1877" operator="equal">
      <formula>0</formula>
    </cfRule>
  </conditionalFormatting>
  <conditionalFormatting sqref="F860">
    <cfRule type="cellIs" dxfId="1" priority="1879" operator="equal">
      <formula>0</formula>
    </cfRule>
  </conditionalFormatting>
  <conditionalFormatting sqref="F862">
    <cfRule type="cellIs" dxfId="1" priority="1882" operator="equal">
      <formula>0</formula>
    </cfRule>
  </conditionalFormatting>
  <conditionalFormatting sqref="F87">
    <cfRule type="expression" dxfId="0" priority="144">
      <formula>F88=0</formula>
    </cfRule>
  </conditionalFormatting>
  <conditionalFormatting sqref="F88">
    <cfRule type="cellIs" dxfId="1" priority="150" operator="equal">
      <formula>0</formula>
    </cfRule>
  </conditionalFormatting>
  <conditionalFormatting sqref="F882">
    <cfRule type="expression" dxfId="0" priority="1905">
      <formula>F883=0</formula>
    </cfRule>
  </conditionalFormatting>
  <conditionalFormatting sqref="F883">
    <cfRule type="cellIs" dxfId="1" priority="1914" operator="equal">
      <formula>0</formula>
    </cfRule>
  </conditionalFormatting>
  <conditionalFormatting sqref="F884">
    <cfRule type="cellIs" dxfId="1" priority="1923" operator="equal">
      <formula>0</formula>
    </cfRule>
  </conditionalFormatting>
  <conditionalFormatting sqref="F886">
    <cfRule type="cellIs" dxfId="1" priority="1929" operator="equal">
      <formula>0</formula>
    </cfRule>
  </conditionalFormatting>
  <conditionalFormatting sqref="F887">
    <cfRule type="cellIs" dxfId="1" priority="1936" operator="equal">
      <formula>0</formula>
    </cfRule>
  </conditionalFormatting>
  <conditionalFormatting sqref="F888">
    <cfRule type="cellIs" dxfId="1" priority="1940" operator="equal">
      <formula>0</formula>
    </cfRule>
  </conditionalFormatting>
  <conditionalFormatting sqref="F891">
    <cfRule type="expression" dxfId="0" priority="1949">
      <formula>F892=0</formula>
    </cfRule>
  </conditionalFormatting>
  <conditionalFormatting sqref="F892">
    <cfRule type="cellIs" dxfId="1" priority="1956" operator="equal">
      <formula>0</formula>
    </cfRule>
  </conditionalFormatting>
  <conditionalFormatting sqref="F895">
    <cfRule type="cellIs" dxfId="1" priority="1964" operator="equal">
      <formula>0</formula>
    </cfRule>
  </conditionalFormatting>
  <conditionalFormatting sqref="F915">
    <cfRule type="expression" dxfId="0" priority="1987">
      <formula>F916=0</formula>
    </cfRule>
  </conditionalFormatting>
  <conditionalFormatting sqref="F916">
    <cfRule type="cellIs" dxfId="1" priority="1993" operator="equal">
      <formula>0</formula>
    </cfRule>
  </conditionalFormatting>
  <conditionalFormatting sqref="F917">
    <cfRule type="cellIs" dxfId="1" priority="1999" operator="equal">
      <formula>0</formula>
    </cfRule>
  </conditionalFormatting>
  <conditionalFormatting sqref="F919">
    <cfRule type="cellIs" dxfId="1" priority="2006" operator="equal">
      <formula>0</formula>
    </cfRule>
  </conditionalFormatting>
  <conditionalFormatting sqref="F920">
    <cfRule type="cellIs" dxfId="1" priority="2010" operator="equal">
      <formula>0</formula>
    </cfRule>
  </conditionalFormatting>
  <conditionalFormatting sqref="F921">
    <cfRule type="cellIs" dxfId="1" priority="2015" operator="equal">
      <formula>0</formula>
    </cfRule>
  </conditionalFormatting>
  <conditionalFormatting sqref="F922">
    <cfRule type="cellIs" dxfId="1" priority="2019" operator="equal">
      <formula>0</formula>
    </cfRule>
  </conditionalFormatting>
  <conditionalFormatting sqref="F94">
    <cfRule type="cellIs" dxfId="1" priority="164" operator="equal">
      <formula>0</formula>
    </cfRule>
  </conditionalFormatting>
  <conditionalFormatting sqref="F948">
    <cfRule type="expression" dxfId="0" priority="2045">
      <formula>F949=0</formula>
    </cfRule>
  </conditionalFormatting>
  <conditionalFormatting sqref="F949">
    <cfRule type="cellIs" dxfId="1" priority="2053" operator="equal">
      <formula>0</formula>
    </cfRule>
  </conditionalFormatting>
  <conditionalFormatting sqref="F950">
    <cfRule type="cellIs" dxfId="1" priority="2061" operator="equal">
      <formula>0</formula>
    </cfRule>
  </conditionalFormatting>
  <conditionalFormatting sqref="F952">
    <cfRule type="cellIs" dxfId="1" priority="2070" operator="equal">
      <formula>0</formula>
    </cfRule>
  </conditionalFormatting>
  <conditionalFormatting sqref="F953">
    <cfRule type="cellIs" dxfId="1" priority="2074" operator="equal">
      <formula>0</formula>
    </cfRule>
  </conditionalFormatting>
  <conditionalFormatting sqref="F954">
    <cfRule type="cellIs" dxfId="1" priority="2078" operator="equal">
      <formula>0</formula>
    </cfRule>
  </conditionalFormatting>
  <conditionalFormatting sqref="F955">
    <cfRule type="cellIs" dxfId="1" priority="2082" operator="equal">
      <formula>0</formula>
    </cfRule>
  </conditionalFormatting>
  <conditionalFormatting sqref="F956">
    <cfRule type="cellIs" dxfId="1" priority="2086" operator="equal">
      <formula>0</formula>
    </cfRule>
  </conditionalFormatting>
  <conditionalFormatting sqref="F957">
    <cfRule type="cellIs" dxfId="1" priority="2090" operator="equal">
      <formula>0</formula>
    </cfRule>
  </conditionalFormatting>
  <conditionalFormatting sqref="F958">
    <cfRule type="cellIs" dxfId="1" priority="2093" operator="equal">
      <formula>0</formula>
    </cfRule>
  </conditionalFormatting>
  <conditionalFormatting sqref="F959">
    <cfRule type="cellIs" dxfId="1" priority="2099" operator="equal">
      <formula>0</formula>
    </cfRule>
  </conditionalFormatting>
  <conditionalFormatting sqref="F960">
    <cfRule type="cellIs" dxfId="1" priority="2103" operator="equal">
      <formula>0</formula>
    </cfRule>
  </conditionalFormatting>
  <conditionalFormatting sqref="F961">
    <cfRule type="cellIs" dxfId="1" priority="2106" operator="equal">
      <formula>0</formula>
    </cfRule>
  </conditionalFormatting>
  <conditionalFormatting sqref="F963">
    <cfRule type="expression" dxfId="0" priority="2112">
      <formula>F964=0</formula>
    </cfRule>
  </conditionalFormatting>
  <conditionalFormatting sqref="F964">
    <cfRule type="cellIs" dxfId="1" priority="2117" operator="equal">
      <formula>0</formula>
    </cfRule>
  </conditionalFormatting>
  <conditionalFormatting sqref="F967">
    <cfRule type="cellIs" dxfId="1" priority="2123" operator="equal">
      <formula>0</formula>
    </cfRule>
  </conditionalFormatting>
  <conditionalFormatting sqref="F971">
    <cfRule type="cellIs" dxfId="1" priority="2131" operator="equal">
      <formula>0</formula>
    </cfRule>
  </conditionalFormatting>
  <conditionalFormatting sqref="F976">
    <cfRule type="cellIs" dxfId="1" priority="2142" operator="equal">
      <formula>0</formula>
    </cfRule>
  </conditionalFormatting>
  <conditionalFormatting sqref="F999">
    <cfRule type="expression" dxfId="0" priority="2172">
      <formula>F1000=0</formula>
    </cfRule>
  </conditionalFormatting>
  <conditionalFormatting sqref="G1032">
    <cfRule type="expression" dxfId="0" priority="2232">
      <formula>G1033=0</formula>
    </cfRule>
  </conditionalFormatting>
  <conditionalFormatting sqref="G1033">
    <cfRule type="cellIs" dxfId="1" priority="2238" operator="equal">
      <formula>0</formula>
    </cfRule>
  </conditionalFormatting>
  <conditionalFormatting sqref="G1035">
    <cfRule type="cellIs" dxfId="1" priority="2248" operator="equal">
      <formula>0</formula>
    </cfRule>
  </conditionalFormatting>
  <conditionalFormatting sqref="G1065">
    <cfRule type="expression" dxfId="0" priority="2291">
      <formula>G1066=0</formula>
    </cfRule>
  </conditionalFormatting>
  <conditionalFormatting sqref="G1066">
    <cfRule type="cellIs" dxfId="1" priority="2298" operator="equal">
      <formula>0</formula>
    </cfRule>
  </conditionalFormatting>
  <conditionalFormatting sqref="G1082">
    <cfRule type="cellIs" dxfId="1" priority="2364" operator="equal">
      <formula>0</formula>
    </cfRule>
  </conditionalFormatting>
  <conditionalFormatting sqref="G1085">
    <cfRule type="expression" dxfId="0" priority="2373">
      <formula>G1086=0</formula>
    </cfRule>
  </conditionalFormatting>
  <conditionalFormatting sqref="G1086">
    <cfRule type="cellIs" dxfId="1" priority="2382" operator="equal">
      <formula>0</formula>
    </cfRule>
  </conditionalFormatting>
  <conditionalFormatting sqref="G1089">
    <cfRule type="cellIs" dxfId="1" priority="2392" operator="equal">
      <formula>0</formula>
    </cfRule>
  </conditionalFormatting>
  <conditionalFormatting sqref="G1101">
    <cfRule type="cellIs" dxfId="1" priority="2415" operator="equal">
      <formula>0</formula>
    </cfRule>
  </conditionalFormatting>
  <conditionalFormatting sqref="G1131">
    <cfRule type="expression" dxfId="0" priority="2448">
      <formula>G1132=0</formula>
    </cfRule>
  </conditionalFormatting>
  <conditionalFormatting sqref="G1132">
    <cfRule type="cellIs" dxfId="1" priority="2457" operator="equal">
      <formula>0</formula>
    </cfRule>
  </conditionalFormatting>
  <conditionalFormatting sqref="G1133">
    <cfRule type="cellIs" dxfId="1" priority="2466" operator="equal">
      <formula>0</formula>
    </cfRule>
  </conditionalFormatting>
  <conditionalFormatting sqref="G1135">
    <cfRule type="cellIs" dxfId="1" priority="2475" operator="equal">
      <formula>0</formula>
    </cfRule>
  </conditionalFormatting>
  <conditionalFormatting sqref="G1137">
    <cfRule type="cellIs" dxfId="1" priority="2484" operator="equal">
      <formula>0</formula>
    </cfRule>
  </conditionalFormatting>
  <conditionalFormatting sqref="G1139">
    <cfRule type="cellIs" dxfId="1" priority="2492" operator="equal">
      <formula>0</formula>
    </cfRule>
  </conditionalFormatting>
  <conditionalFormatting sqref="G1141">
    <cfRule type="expression" dxfId="0" priority="2498">
      <formula>G1142=0</formula>
    </cfRule>
  </conditionalFormatting>
  <conditionalFormatting sqref="G1142">
    <cfRule type="cellIs" dxfId="1" priority="2503" operator="equal">
      <formula>0</formula>
    </cfRule>
  </conditionalFormatting>
  <conditionalFormatting sqref="G1148">
    <cfRule type="cellIs" dxfId="1" priority="2512" operator="equal">
      <formula>0</formula>
    </cfRule>
  </conditionalFormatting>
  <conditionalFormatting sqref="G1167">
    <cfRule type="expression" dxfId="0" priority="2527">
      <formula>G1168=0</formula>
    </cfRule>
  </conditionalFormatting>
  <conditionalFormatting sqref="G1168">
    <cfRule type="cellIs" dxfId="1" priority="2533" operator="equal">
      <formula>0</formula>
    </cfRule>
  </conditionalFormatting>
  <conditionalFormatting sqref="G117">
    <cfRule type="expression" dxfId="0" priority="192">
      <formula>G118=0</formula>
    </cfRule>
  </conditionalFormatting>
  <conditionalFormatting sqref="G1174">
    <cfRule type="cellIs" dxfId="1" priority="2559" operator="equal">
      <formula>0</formula>
    </cfRule>
  </conditionalFormatting>
  <conditionalFormatting sqref="G118">
    <cfRule type="cellIs" dxfId="1" priority="198" operator="equal">
      <formula>0</formula>
    </cfRule>
  </conditionalFormatting>
  <conditionalFormatting sqref="G119">
    <cfRule type="cellIs" dxfId="1" priority="204" operator="equal">
      <formula>0</formula>
    </cfRule>
  </conditionalFormatting>
  <conditionalFormatting sqref="G122">
    <cfRule type="cellIs" dxfId="1" priority="217" operator="equal">
      <formula>0</formula>
    </cfRule>
  </conditionalFormatting>
  <conditionalFormatting sqref="G123">
    <cfRule type="cellIs" dxfId="1" priority="220" operator="equal">
      <formula>0</formula>
    </cfRule>
  </conditionalFormatting>
  <conditionalFormatting sqref="G1241">
    <cfRule type="expression" dxfId="0" priority="2708">
      <formula>G1242=0</formula>
    </cfRule>
  </conditionalFormatting>
  <conditionalFormatting sqref="G1242">
    <cfRule type="cellIs" dxfId="1" priority="2713" operator="equal">
      <formula>0</formula>
    </cfRule>
  </conditionalFormatting>
  <conditionalFormatting sqref="G1246">
    <cfRule type="cellIs" dxfId="1" priority="2720" operator="equal">
      <formula>0</formula>
    </cfRule>
  </conditionalFormatting>
  <conditionalFormatting sqref="G1263">
    <cfRule type="expression" dxfId="0" priority="2737">
      <formula>G1264=0</formula>
    </cfRule>
  </conditionalFormatting>
  <conditionalFormatting sqref="G1264">
    <cfRule type="cellIs" dxfId="1" priority="2743" operator="equal">
      <formula>0</formula>
    </cfRule>
  </conditionalFormatting>
  <conditionalFormatting sqref="G1266">
    <cfRule type="cellIs" dxfId="1" priority="2753" operator="equal">
      <formula>0</formula>
    </cfRule>
  </conditionalFormatting>
  <conditionalFormatting sqref="G1273">
    <cfRule type="cellIs" dxfId="1" priority="2779" operator="equal">
      <formula>0</formula>
    </cfRule>
  </conditionalFormatting>
  <conditionalFormatting sqref="G1274">
    <cfRule type="cellIs" dxfId="1" priority="2785" operator="equal">
      <formula>0</formula>
    </cfRule>
  </conditionalFormatting>
  <conditionalFormatting sqref="G1276">
    <cfRule type="cellIs" dxfId="1" priority="2792" operator="equal">
      <formula>0</formula>
    </cfRule>
  </conditionalFormatting>
  <conditionalFormatting sqref="G1277">
    <cfRule type="cellIs" dxfId="1" priority="2796" operator="equal">
      <formula>0</formula>
    </cfRule>
  </conditionalFormatting>
  <conditionalFormatting sqref="G1278">
    <cfRule type="cellIs" dxfId="1" priority="2800" operator="equal">
      <formula>0</formula>
    </cfRule>
  </conditionalFormatting>
  <conditionalFormatting sqref="G1279">
    <cfRule type="cellIs" dxfId="1" priority="2806" operator="equal">
      <formula>0</formula>
    </cfRule>
  </conditionalFormatting>
  <conditionalFormatting sqref="G1281">
    <cfRule type="expression" dxfId="0" priority="2811">
      <formula>G1282=0</formula>
    </cfRule>
  </conditionalFormatting>
  <conditionalFormatting sqref="G1282">
    <cfRule type="cellIs" dxfId="1" priority="2819" operator="equal">
      <formula>0</formula>
    </cfRule>
  </conditionalFormatting>
  <conditionalFormatting sqref="G1288">
    <cfRule type="cellIs" dxfId="1" priority="2834" operator="equal">
      <formula>0</formula>
    </cfRule>
  </conditionalFormatting>
  <conditionalFormatting sqref="G1323">
    <cfRule type="expression" dxfId="0" priority="2878">
      <formula>G1324=0</formula>
    </cfRule>
  </conditionalFormatting>
  <conditionalFormatting sqref="G1324">
    <cfRule type="cellIs" dxfId="1" priority="2888" operator="equal">
      <formula>0</formula>
    </cfRule>
  </conditionalFormatting>
  <conditionalFormatting sqref="G1325">
    <cfRule type="cellIs" dxfId="1" priority="2896" operator="equal">
      <formula>0</formula>
    </cfRule>
  </conditionalFormatting>
  <conditionalFormatting sqref="G1326">
    <cfRule type="cellIs" dxfId="1" priority="2900" operator="equal">
      <formula>0</formula>
    </cfRule>
  </conditionalFormatting>
  <conditionalFormatting sqref="G1327">
    <cfRule type="cellIs" dxfId="1" priority="2905" operator="equal">
      <formula>0</formula>
    </cfRule>
  </conditionalFormatting>
  <conditionalFormatting sqref="G1331">
    <cfRule type="cellIs" dxfId="1" priority="2922" operator="equal">
      <formula>0</formula>
    </cfRule>
  </conditionalFormatting>
  <conditionalFormatting sqref="G1334">
    <cfRule type="cellIs" dxfId="1" priority="2936" operator="equal">
      <formula>0</formula>
    </cfRule>
  </conditionalFormatting>
  <conditionalFormatting sqref="G1336">
    <cfRule type="cellIs" dxfId="1" priority="2946" operator="equal">
      <formula>0</formula>
    </cfRule>
  </conditionalFormatting>
  <conditionalFormatting sqref="G1338">
    <cfRule type="cellIs" dxfId="1" priority="2956" operator="equal">
      <formula>0</formula>
    </cfRule>
  </conditionalFormatting>
  <conditionalFormatting sqref="G1343">
    <cfRule type="expression" dxfId="0" priority="2977">
      <formula>G1344=0</formula>
    </cfRule>
  </conditionalFormatting>
  <conditionalFormatting sqref="G1344">
    <cfRule type="cellIs" dxfId="1" priority="2984" operator="equal">
      <formula>0</formula>
    </cfRule>
  </conditionalFormatting>
  <conditionalFormatting sqref="G1353">
    <cfRule type="cellIs" dxfId="1" priority="3001" operator="equal">
      <formula>0</formula>
    </cfRule>
  </conditionalFormatting>
  <conditionalFormatting sqref="G1389">
    <cfRule type="expression" dxfId="0" priority="3052">
      <formula>G1390=0</formula>
    </cfRule>
  </conditionalFormatting>
  <conditionalFormatting sqref="G1390">
    <cfRule type="cellIs" dxfId="1" priority="3061" operator="equal">
      <formula>0</formula>
    </cfRule>
  </conditionalFormatting>
  <conditionalFormatting sqref="G1395">
    <cfRule type="cellIs" dxfId="1" priority="3082" operator="equal">
      <formula>0</formula>
    </cfRule>
  </conditionalFormatting>
  <conditionalFormatting sqref="G1397">
    <cfRule type="cellIs" dxfId="1" priority="3092" operator="equal">
      <formula>0</formula>
    </cfRule>
  </conditionalFormatting>
  <conditionalFormatting sqref="G1400">
    <cfRule type="cellIs" dxfId="1" priority="3104" operator="equal">
      <formula>0</formula>
    </cfRule>
  </conditionalFormatting>
  <conditionalFormatting sqref="G1402">
    <cfRule type="cellIs" dxfId="1" priority="3112" operator="equal">
      <formula>0</formula>
    </cfRule>
  </conditionalFormatting>
  <conditionalFormatting sqref="G1404">
    <cfRule type="expression" dxfId="0" priority="3118">
      <formula>G1405=0</formula>
    </cfRule>
  </conditionalFormatting>
  <conditionalFormatting sqref="G1405">
    <cfRule type="cellIs" dxfId="1" priority="3124" operator="equal">
      <formula>0</formula>
    </cfRule>
  </conditionalFormatting>
  <conditionalFormatting sqref="G1411">
    <cfRule type="cellIs" dxfId="1" priority="3133" operator="equal">
      <formula>0</formula>
    </cfRule>
  </conditionalFormatting>
  <conditionalFormatting sqref="G147">
    <cfRule type="expression" dxfId="0" priority="256">
      <formula>G148=0</formula>
    </cfRule>
  </conditionalFormatting>
  <conditionalFormatting sqref="G148">
    <cfRule type="cellIs" dxfId="1" priority="262" operator="equal">
      <formula>0</formula>
    </cfRule>
  </conditionalFormatting>
  <conditionalFormatting sqref="G1527">
    <cfRule type="expression" dxfId="0" priority="3324">
      <formula>G1528=0</formula>
    </cfRule>
  </conditionalFormatting>
  <conditionalFormatting sqref="G1528">
    <cfRule type="cellIs" dxfId="1" priority="3333" operator="equal">
      <formula>0</formula>
    </cfRule>
  </conditionalFormatting>
  <conditionalFormatting sqref="G1530">
    <cfRule type="cellIs" dxfId="1" priority="3344" operator="equal">
      <formula>0</formula>
    </cfRule>
  </conditionalFormatting>
  <conditionalFormatting sqref="G1536">
    <cfRule type="cellIs" dxfId="1" priority="3368" operator="equal">
      <formula>0</formula>
    </cfRule>
  </conditionalFormatting>
  <conditionalFormatting sqref="G1537">
    <cfRule type="cellIs" dxfId="1" priority="3373" operator="equal">
      <formula>0</formula>
    </cfRule>
  </conditionalFormatting>
  <conditionalFormatting sqref="G154">
    <cfRule type="cellIs" dxfId="1" priority="287" operator="equal">
      <formula>0</formula>
    </cfRule>
  </conditionalFormatting>
  <conditionalFormatting sqref="G1540">
    <cfRule type="cellIs" dxfId="1" priority="3384" operator="equal">
      <formula>0</formula>
    </cfRule>
  </conditionalFormatting>
  <conditionalFormatting sqref="G1542">
    <cfRule type="expression" dxfId="0" priority="3390">
      <formula>G1543=0</formula>
    </cfRule>
  </conditionalFormatting>
  <conditionalFormatting sqref="G1543">
    <cfRule type="cellIs" dxfId="1" priority="3397" operator="equal">
      <formula>0</formula>
    </cfRule>
  </conditionalFormatting>
  <conditionalFormatting sqref="G1549">
    <cfRule type="cellIs" dxfId="1" priority="3406" operator="equal">
      <formula>0</formula>
    </cfRule>
  </conditionalFormatting>
  <conditionalFormatting sqref="G1552">
    <cfRule type="cellIs" dxfId="1" priority="3411" operator="equal">
      <formula>0</formula>
    </cfRule>
  </conditionalFormatting>
  <conditionalFormatting sqref="G1555">
    <cfRule type="cellIs" dxfId="1" priority="3416" operator="equal">
      <formula>0</formula>
    </cfRule>
  </conditionalFormatting>
  <conditionalFormatting sqref="G1578">
    <cfRule type="expression" dxfId="0" priority="3440">
      <formula>G1579=0</formula>
    </cfRule>
  </conditionalFormatting>
  <conditionalFormatting sqref="G1579">
    <cfRule type="cellIs" dxfId="1" priority="3445" operator="equal">
      <formula>0</formula>
    </cfRule>
  </conditionalFormatting>
  <conditionalFormatting sqref="G1583">
    <cfRule type="cellIs" dxfId="1" priority="3461" operator="equal">
      <formula>0</formula>
    </cfRule>
  </conditionalFormatting>
  <conditionalFormatting sqref="G160">
    <cfRule type="expression" dxfId="0" priority="308">
      <formula>G161=0</formula>
    </cfRule>
  </conditionalFormatting>
  <conditionalFormatting sqref="G1605">
    <cfRule type="expression" dxfId="0" priority="3491">
      <formula>G1606=0</formula>
    </cfRule>
  </conditionalFormatting>
  <conditionalFormatting sqref="G1606">
    <cfRule type="cellIs" dxfId="1" priority="3498" operator="equal">
      <formula>0</formula>
    </cfRule>
  </conditionalFormatting>
  <conditionalFormatting sqref="G1607">
    <cfRule type="cellIs" dxfId="1" priority="3505" operator="equal">
      <formula>0</formula>
    </cfRule>
  </conditionalFormatting>
  <conditionalFormatting sqref="G1609">
    <cfRule type="cellIs" dxfId="1" priority="3511" operator="equal">
      <formula>0</formula>
    </cfRule>
  </conditionalFormatting>
  <conditionalFormatting sqref="G161">
    <cfRule type="cellIs" dxfId="1" priority="317" operator="equal">
      <formula>0</formula>
    </cfRule>
  </conditionalFormatting>
  <conditionalFormatting sqref="G165">
    <cfRule type="cellIs" dxfId="1" priority="329" operator="equal">
      <formula>0</formula>
    </cfRule>
  </conditionalFormatting>
  <conditionalFormatting sqref="G192">
    <cfRule type="expression" dxfId="0" priority="363">
      <formula>G193=0</formula>
    </cfRule>
  </conditionalFormatting>
  <conditionalFormatting sqref="G193">
    <cfRule type="cellIs" dxfId="1" priority="374" operator="equal">
      <formula>0</formula>
    </cfRule>
  </conditionalFormatting>
  <conditionalFormatting sqref="G194">
    <cfRule type="cellIs" dxfId="1" priority="384" operator="equal">
      <formula>0</formula>
    </cfRule>
  </conditionalFormatting>
  <conditionalFormatting sqref="G195">
    <cfRule type="cellIs" dxfId="1" priority="389" operator="equal">
      <formula>0</formula>
    </cfRule>
  </conditionalFormatting>
  <conditionalFormatting sqref="G197">
    <cfRule type="cellIs" dxfId="1" priority="396" operator="equal">
      <formula>0</formula>
    </cfRule>
  </conditionalFormatting>
  <conditionalFormatting sqref="G198">
    <cfRule type="cellIs" dxfId="1" priority="401" operator="equal">
      <formula>0</formula>
    </cfRule>
  </conditionalFormatting>
  <conditionalFormatting sqref="G200">
    <cfRule type="cellIs" dxfId="1" priority="411" operator="equal">
      <formula>0</formula>
    </cfRule>
  </conditionalFormatting>
  <conditionalFormatting sqref="G204">
    <cfRule type="cellIs" dxfId="1" priority="428" operator="equal">
      <formula>0</formula>
    </cfRule>
  </conditionalFormatting>
  <conditionalFormatting sqref="G206">
    <cfRule type="cellIs" dxfId="1" priority="438" operator="equal">
      <formula>0</formula>
    </cfRule>
  </conditionalFormatting>
  <conditionalFormatting sqref="G213">
    <cfRule type="expression" dxfId="0" priority="461">
      <formula>G214=0</formula>
    </cfRule>
  </conditionalFormatting>
  <conditionalFormatting sqref="G214">
    <cfRule type="cellIs" dxfId="1" priority="467" operator="equal">
      <formula>0</formula>
    </cfRule>
  </conditionalFormatting>
  <conditionalFormatting sqref="G217">
    <cfRule type="cellIs" dxfId="1" priority="473" operator="equal">
      <formula>0</formula>
    </cfRule>
  </conditionalFormatting>
  <conditionalFormatting sqref="G221">
    <cfRule type="cellIs" dxfId="1" priority="478" operator="equal">
      <formula>0</formula>
    </cfRule>
  </conditionalFormatting>
  <conditionalFormatting sqref="G222">
    <cfRule type="cellIs" dxfId="1" priority="480" operator="equal">
      <formula>0</formula>
    </cfRule>
  </conditionalFormatting>
  <conditionalFormatting sqref="G224">
    <cfRule type="cellIs" dxfId="1" priority="482" operator="equal">
      <formula>0</formula>
    </cfRule>
  </conditionalFormatting>
  <conditionalFormatting sqref="G226">
    <cfRule type="cellIs" dxfId="1" priority="486" operator="equal">
      <formula>0</formula>
    </cfRule>
  </conditionalFormatting>
  <conditionalFormatting sqref="G230">
    <cfRule type="cellIs" dxfId="1" priority="491" operator="equal">
      <formula>0</formula>
    </cfRule>
  </conditionalFormatting>
  <conditionalFormatting sqref="G27">
    <cfRule type="expression" dxfId="0" priority="5">
      <formula>G28=0</formula>
    </cfRule>
  </conditionalFormatting>
  <conditionalFormatting sqref="G28">
    <cfRule type="cellIs" dxfId="1" priority="11" operator="equal">
      <formula>0</formula>
    </cfRule>
  </conditionalFormatting>
  <conditionalFormatting sqref="G282">
    <cfRule type="expression" dxfId="0" priority="554">
      <formula>G283=0</formula>
    </cfRule>
  </conditionalFormatting>
  <conditionalFormatting sqref="G283">
    <cfRule type="cellIs" dxfId="1" priority="562" operator="equal">
      <formula>0</formula>
    </cfRule>
  </conditionalFormatting>
  <conditionalFormatting sqref="G284">
    <cfRule type="cellIs" dxfId="1" priority="568" operator="equal">
      <formula>0</formula>
    </cfRule>
  </conditionalFormatting>
  <conditionalFormatting sqref="G286">
    <cfRule type="cellIs" dxfId="1" priority="578" operator="equal">
      <formula>0</formula>
    </cfRule>
  </conditionalFormatting>
  <conditionalFormatting sqref="G288">
    <cfRule type="cellIs" dxfId="1" priority="586" operator="equal">
      <formula>0</formula>
    </cfRule>
  </conditionalFormatting>
  <conditionalFormatting sqref="G292">
    <cfRule type="cellIs" dxfId="1" priority="602" operator="equal">
      <formula>0</formula>
    </cfRule>
  </conditionalFormatting>
  <conditionalFormatting sqref="G296">
    <cfRule type="cellIs" dxfId="1" priority="617" operator="equal">
      <formula>0</formula>
    </cfRule>
  </conditionalFormatting>
  <conditionalFormatting sqref="G299">
    <cfRule type="cellIs" dxfId="1" priority="630" operator="equal">
      <formula>0</formula>
    </cfRule>
  </conditionalFormatting>
  <conditionalFormatting sqref="G300">
    <cfRule type="cellIs" dxfId="1" priority="635" operator="equal">
      <formula>0</formula>
    </cfRule>
  </conditionalFormatting>
  <conditionalFormatting sqref="G307">
    <cfRule type="cellIs" dxfId="1" priority="665" operator="equal">
      <formula>0</formula>
    </cfRule>
  </conditionalFormatting>
  <conditionalFormatting sqref="G309">
    <cfRule type="expression" dxfId="0" priority="670">
      <formula>G310=0</formula>
    </cfRule>
  </conditionalFormatting>
  <conditionalFormatting sqref="G31">
    <cfRule type="cellIs" dxfId="1" priority="23" operator="equal">
      <formula>0</formula>
    </cfRule>
  </conditionalFormatting>
  <conditionalFormatting sqref="G310">
    <cfRule type="cellIs" dxfId="1" priority="678" operator="equal">
      <formula>0</formula>
    </cfRule>
  </conditionalFormatting>
  <conditionalFormatting sqref="G316">
    <cfRule type="cellIs" dxfId="1" priority="693" operator="equal">
      <formula>0</formula>
    </cfRule>
  </conditionalFormatting>
  <conditionalFormatting sqref="G317">
    <cfRule type="cellIs" dxfId="1" priority="695" operator="equal">
      <formula>0</formula>
    </cfRule>
  </conditionalFormatting>
  <conditionalFormatting sqref="G323">
    <cfRule type="cellIs" dxfId="1" priority="707" operator="equal">
      <formula>0</formula>
    </cfRule>
  </conditionalFormatting>
  <conditionalFormatting sqref="G332">
    <cfRule type="cellIs" dxfId="1" priority="724" operator="equal">
      <formula>0</formula>
    </cfRule>
  </conditionalFormatting>
  <conditionalFormatting sqref="G369">
    <cfRule type="expression" dxfId="0" priority="766">
      <formula>G370=0</formula>
    </cfRule>
  </conditionalFormatting>
  <conditionalFormatting sqref="G370">
    <cfRule type="cellIs" dxfId="1" priority="773" operator="equal">
      <formula>0</formula>
    </cfRule>
  </conditionalFormatting>
  <conditionalFormatting sqref="G372">
    <cfRule type="cellIs" dxfId="1" priority="783" operator="equal">
      <formula>0</formula>
    </cfRule>
  </conditionalFormatting>
  <conditionalFormatting sqref="G399">
    <cfRule type="expression" dxfId="0" priority="823">
      <formula>G400=0</formula>
    </cfRule>
  </conditionalFormatting>
  <conditionalFormatting sqref="G400">
    <cfRule type="cellIs" dxfId="1" priority="832" operator="equal">
      <formula>0</formula>
    </cfRule>
  </conditionalFormatting>
  <conditionalFormatting sqref="G402">
    <cfRule type="cellIs" dxfId="1" priority="843" operator="equal">
      <formula>0</formula>
    </cfRule>
  </conditionalFormatting>
  <conditionalFormatting sqref="G404">
    <cfRule type="cellIs" dxfId="1" priority="851" operator="equal">
      <formula>0</formula>
    </cfRule>
  </conditionalFormatting>
  <conditionalFormatting sqref="G405">
    <cfRule type="cellIs" dxfId="1" priority="856" operator="equal">
      <formula>0</formula>
    </cfRule>
  </conditionalFormatting>
  <conditionalFormatting sqref="G407">
    <cfRule type="cellIs" dxfId="1" priority="863" operator="equal">
      <formula>0</formula>
    </cfRule>
  </conditionalFormatting>
  <conditionalFormatting sqref="G411">
    <cfRule type="expression" dxfId="0" priority="876">
      <formula>G412=0</formula>
    </cfRule>
  </conditionalFormatting>
  <conditionalFormatting sqref="G412">
    <cfRule type="cellIs" dxfId="1" priority="881" operator="equal">
      <formula>0</formula>
    </cfRule>
  </conditionalFormatting>
  <conditionalFormatting sqref="G418">
    <cfRule type="cellIs" dxfId="1" priority="889" operator="equal">
      <formula>0</formula>
    </cfRule>
  </conditionalFormatting>
  <conditionalFormatting sqref="G441">
    <cfRule type="expression" dxfId="0" priority="918">
      <formula>G442=0</formula>
    </cfRule>
  </conditionalFormatting>
  <conditionalFormatting sqref="G442">
    <cfRule type="cellIs" dxfId="1" priority="927" operator="equal">
      <formula>0</formula>
    </cfRule>
  </conditionalFormatting>
  <conditionalFormatting sqref="G444">
    <cfRule type="cellIs" dxfId="1" priority="936" operator="equal">
      <formula>0</formula>
    </cfRule>
  </conditionalFormatting>
  <conditionalFormatting sqref="G445">
    <cfRule type="cellIs" dxfId="1" priority="945" operator="equal">
      <formula>0</formula>
    </cfRule>
  </conditionalFormatting>
  <conditionalFormatting sqref="G522">
    <cfRule type="expression" dxfId="0" priority="1060">
      <formula>G523=0</formula>
    </cfRule>
  </conditionalFormatting>
  <conditionalFormatting sqref="G523">
    <cfRule type="cellIs" dxfId="1" priority="1071" operator="equal">
      <formula>0</formula>
    </cfRule>
  </conditionalFormatting>
  <conditionalFormatting sqref="G539">
    <cfRule type="cellIs" dxfId="1" priority="1141" operator="equal">
      <formula>0</formula>
    </cfRule>
  </conditionalFormatting>
  <conditionalFormatting sqref="G540">
    <cfRule type="cellIs" dxfId="1" priority="1146" operator="equal">
      <formula>0</formula>
    </cfRule>
  </conditionalFormatting>
  <conditionalFormatting sqref="G550">
    <cfRule type="expression" dxfId="0" priority="1184">
      <formula>G551=0</formula>
    </cfRule>
  </conditionalFormatting>
  <conditionalFormatting sqref="G551">
    <cfRule type="cellIs" dxfId="1" priority="1194" operator="equal">
      <formula>0</formula>
    </cfRule>
  </conditionalFormatting>
  <conditionalFormatting sqref="G555">
    <cfRule type="cellIs" dxfId="1" priority="1207" operator="equal">
      <formula>0</formula>
    </cfRule>
  </conditionalFormatting>
  <conditionalFormatting sqref="G559">
    <cfRule type="cellIs" dxfId="1" priority="1215" operator="equal">
      <formula>0</formula>
    </cfRule>
  </conditionalFormatting>
  <conditionalFormatting sqref="G573">
    <cfRule type="cellIs" dxfId="1" priority="1240" operator="equal">
      <formula>0</formula>
    </cfRule>
  </conditionalFormatting>
  <conditionalFormatting sqref="G575">
    <cfRule type="cellIs" dxfId="1" priority="1244" operator="equal">
      <formula>0</formula>
    </cfRule>
  </conditionalFormatting>
  <conditionalFormatting sqref="G578">
    <cfRule type="expression" dxfId="0" priority="1251">
      <formula>G579=0</formula>
    </cfRule>
  </conditionalFormatting>
  <conditionalFormatting sqref="G579">
    <cfRule type="cellIs" dxfId="1" priority="1257" operator="equal">
      <formula>0</formula>
    </cfRule>
  </conditionalFormatting>
  <conditionalFormatting sqref="G602">
    <cfRule type="cellIs" dxfId="1" priority="1281" operator="equal">
      <formula>0</formula>
    </cfRule>
  </conditionalFormatting>
  <conditionalFormatting sqref="G612">
    <cfRule type="expression" dxfId="0" priority="1290">
      <formula>G613=0</formula>
    </cfRule>
  </conditionalFormatting>
  <conditionalFormatting sqref="G613">
    <cfRule type="cellIs" dxfId="1" priority="1299" operator="equal">
      <formula>0</formula>
    </cfRule>
  </conditionalFormatting>
  <conditionalFormatting sqref="G616">
    <cfRule type="cellIs" dxfId="1" priority="1312" operator="equal">
      <formula>0</formula>
    </cfRule>
  </conditionalFormatting>
  <conditionalFormatting sqref="G620">
    <cfRule type="cellIs" dxfId="1" priority="1327" operator="equal">
      <formula>0</formula>
    </cfRule>
  </conditionalFormatting>
  <conditionalFormatting sqref="G621">
    <cfRule type="cellIs" dxfId="1" priority="1333" operator="equal">
      <formula>0</formula>
    </cfRule>
  </conditionalFormatting>
  <conditionalFormatting sqref="G623">
    <cfRule type="expression" dxfId="0" priority="1339">
      <formula>G624=0</formula>
    </cfRule>
  </conditionalFormatting>
  <conditionalFormatting sqref="G624">
    <cfRule type="cellIs" dxfId="1" priority="1344" operator="equal">
      <formula>0</formula>
    </cfRule>
  </conditionalFormatting>
  <conditionalFormatting sqref="G630">
    <cfRule type="cellIs" dxfId="1" priority="1351" operator="equal">
      <formula>0</formula>
    </cfRule>
  </conditionalFormatting>
  <conditionalFormatting sqref="G651">
    <cfRule type="expression" dxfId="0" priority="1371">
      <formula>G652=0</formula>
    </cfRule>
  </conditionalFormatting>
  <conditionalFormatting sqref="G652">
    <cfRule type="cellIs" dxfId="1" priority="1377" operator="equal">
      <formula>0</formula>
    </cfRule>
  </conditionalFormatting>
  <conditionalFormatting sqref="G656">
    <cfRule type="cellIs" dxfId="1" priority="1395" operator="equal">
      <formula>0</formula>
    </cfRule>
  </conditionalFormatting>
  <conditionalFormatting sqref="G664">
    <cfRule type="expression" dxfId="0" priority="1424">
      <formula>G665=0</formula>
    </cfRule>
  </conditionalFormatting>
  <conditionalFormatting sqref="G665">
    <cfRule type="cellIs" dxfId="1" priority="1432" operator="equal">
      <formula>0</formula>
    </cfRule>
  </conditionalFormatting>
  <conditionalFormatting sqref="G668">
    <cfRule type="cellIs" dxfId="1" priority="1441" operator="equal">
      <formula>0</formula>
    </cfRule>
  </conditionalFormatting>
  <conditionalFormatting sqref="G671">
    <cfRule type="cellIs" dxfId="1" priority="1446" operator="equal">
      <formula>0</formula>
    </cfRule>
  </conditionalFormatting>
  <conditionalFormatting sqref="G675">
    <cfRule type="cellIs" dxfId="1" priority="1453" operator="equal">
      <formula>0</formula>
    </cfRule>
  </conditionalFormatting>
  <conditionalFormatting sqref="G696">
    <cfRule type="expression" dxfId="0" priority="1477">
      <formula>G697=0</formula>
    </cfRule>
  </conditionalFormatting>
  <conditionalFormatting sqref="G697">
    <cfRule type="cellIs" dxfId="1" priority="1484" operator="equal">
      <formula>0</formula>
    </cfRule>
  </conditionalFormatting>
  <conditionalFormatting sqref="G700">
    <cfRule type="cellIs" dxfId="1" priority="1500" operator="equal">
      <formula>0</formula>
    </cfRule>
  </conditionalFormatting>
  <conditionalFormatting sqref="G701">
    <cfRule type="cellIs" dxfId="1" priority="1505" operator="equal">
      <formula>0</formula>
    </cfRule>
  </conditionalFormatting>
  <conditionalFormatting sqref="G723">
    <cfRule type="expression" dxfId="0" priority="1532">
      <formula>G724=0</formula>
    </cfRule>
  </conditionalFormatting>
  <conditionalFormatting sqref="G724">
    <cfRule type="cellIs" dxfId="1" priority="1539" operator="equal">
      <formula>0</formula>
    </cfRule>
  </conditionalFormatting>
  <conditionalFormatting sqref="G727">
    <cfRule type="cellIs" dxfId="1" priority="1553" operator="equal">
      <formula>0</formula>
    </cfRule>
  </conditionalFormatting>
  <conditionalFormatting sqref="G728">
    <cfRule type="cellIs" dxfId="1" priority="1557" operator="equal">
      <formula>0</formula>
    </cfRule>
  </conditionalFormatting>
  <conditionalFormatting sqref="G75">
    <cfRule type="expression" dxfId="0" priority="83">
      <formula>G76=0</formula>
    </cfRule>
  </conditionalFormatting>
  <conditionalFormatting sqref="G750">
    <cfRule type="expression" dxfId="0" priority="1591">
      <formula>G751=0</formula>
    </cfRule>
  </conditionalFormatting>
  <conditionalFormatting sqref="G751">
    <cfRule type="cellIs" dxfId="1" priority="1598" operator="equal">
      <formula>0</formula>
    </cfRule>
  </conditionalFormatting>
  <conditionalFormatting sqref="G752">
    <cfRule type="cellIs" dxfId="1" priority="1604" operator="equal">
      <formula>0</formula>
    </cfRule>
  </conditionalFormatting>
  <conditionalFormatting sqref="G76">
    <cfRule type="cellIs" dxfId="1" priority="93" operator="equal">
      <formula>0</formula>
    </cfRule>
  </conditionalFormatting>
  <conditionalFormatting sqref="G77">
    <cfRule type="cellIs" dxfId="1" priority="101" operator="equal">
      <formula>0</formula>
    </cfRule>
  </conditionalFormatting>
  <conditionalFormatting sqref="G771">
    <cfRule type="expression" dxfId="0" priority="1630">
      <formula>G772=0</formula>
    </cfRule>
  </conditionalFormatting>
  <conditionalFormatting sqref="G772">
    <cfRule type="cellIs" dxfId="1" priority="1641" operator="equal">
      <formula>0</formula>
    </cfRule>
  </conditionalFormatting>
  <conditionalFormatting sqref="G773">
    <cfRule type="cellIs" dxfId="1" priority="1651" operator="equal">
      <formula>0</formula>
    </cfRule>
  </conditionalFormatting>
  <conditionalFormatting sqref="G777">
    <cfRule type="cellIs" dxfId="1" priority="1670" operator="equal">
      <formula>0</formula>
    </cfRule>
  </conditionalFormatting>
  <conditionalFormatting sqref="G78">
    <cfRule type="cellIs" dxfId="1" priority="108" operator="equal">
      <formula>0</formula>
    </cfRule>
  </conditionalFormatting>
  <conditionalFormatting sqref="G781">
    <cfRule type="cellIs" dxfId="1" priority="1688" operator="equal">
      <formula>0</formula>
    </cfRule>
  </conditionalFormatting>
  <conditionalFormatting sqref="G783">
    <cfRule type="cellIs" dxfId="1" priority="1697" operator="equal">
      <formula>0</formula>
    </cfRule>
  </conditionalFormatting>
  <conditionalFormatting sqref="G784">
    <cfRule type="cellIs" dxfId="1" priority="1701" operator="equal">
      <formula>0</formula>
    </cfRule>
  </conditionalFormatting>
  <conditionalFormatting sqref="G787">
    <cfRule type="cellIs" dxfId="1" priority="1713" operator="equal">
      <formula>0</formula>
    </cfRule>
  </conditionalFormatting>
  <conditionalFormatting sqref="G789">
    <cfRule type="cellIs" dxfId="1" priority="1723" operator="equal">
      <formula>0</formula>
    </cfRule>
  </conditionalFormatting>
  <conditionalFormatting sqref="G791">
    <cfRule type="cellIs" dxfId="1" priority="1733" operator="equal">
      <formula>0</formula>
    </cfRule>
  </conditionalFormatting>
  <conditionalFormatting sqref="G794">
    <cfRule type="expression" dxfId="0" priority="1743">
      <formula>G795=0</formula>
    </cfRule>
  </conditionalFormatting>
  <conditionalFormatting sqref="G795">
    <cfRule type="cellIs" dxfId="1" priority="1750" operator="equal">
      <formula>0</formula>
    </cfRule>
  </conditionalFormatting>
  <conditionalFormatting sqref="G800">
    <cfRule type="cellIs" dxfId="1" priority="1759" operator="equal">
      <formula>0</formula>
    </cfRule>
  </conditionalFormatting>
  <conditionalFormatting sqref="G813">
    <cfRule type="cellIs" dxfId="1" priority="1781" operator="equal">
      <formula>0</formula>
    </cfRule>
  </conditionalFormatting>
  <conditionalFormatting sqref="G83">
    <cfRule type="cellIs" dxfId="1" priority="133" operator="equal">
      <formula>0</formula>
    </cfRule>
  </conditionalFormatting>
  <conditionalFormatting sqref="G84">
    <cfRule type="cellIs" dxfId="1" priority="136" operator="equal">
      <formula>0</formula>
    </cfRule>
  </conditionalFormatting>
  <conditionalFormatting sqref="G846">
    <cfRule type="expression" dxfId="0" priority="1815">
      <formula>G847=0</formula>
    </cfRule>
  </conditionalFormatting>
  <conditionalFormatting sqref="G847">
    <cfRule type="cellIs" dxfId="1" priority="1826" operator="equal">
      <formula>0</formula>
    </cfRule>
  </conditionalFormatting>
  <conditionalFormatting sqref="G849">
    <cfRule type="cellIs" dxfId="1" priority="1839" operator="equal">
      <formula>0</formula>
    </cfRule>
  </conditionalFormatting>
  <conditionalFormatting sqref="G851">
    <cfRule type="cellIs" dxfId="1" priority="1847" operator="equal">
      <formula>0</formula>
    </cfRule>
  </conditionalFormatting>
  <conditionalFormatting sqref="G852">
    <cfRule type="cellIs" dxfId="1" priority="1853" operator="equal">
      <formula>0</formula>
    </cfRule>
  </conditionalFormatting>
  <conditionalFormatting sqref="G856">
    <cfRule type="expression" dxfId="0" priority="1866">
      <formula>G857=0</formula>
    </cfRule>
  </conditionalFormatting>
  <conditionalFormatting sqref="G857">
    <cfRule type="cellIs" dxfId="1" priority="1872" operator="equal">
      <formula>0</formula>
    </cfRule>
  </conditionalFormatting>
  <conditionalFormatting sqref="G861">
    <cfRule type="cellIs" dxfId="1" priority="1880" operator="equal">
      <formula>0</formula>
    </cfRule>
  </conditionalFormatting>
  <conditionalFormatting sqref="G87">
    <cfRule type="expression" dxfId="0" priority="145">
      <formula>G88=0</formula>
    </cfRule>
  </conditionalFormatting>
  <conditionalFormatting sqref="G88">
    <cfRule type="cellIs" dxfId="1" priority="151" operator="equal">
      <formula>0</formula>
    </cfRule>
  </conditionalFormatting>
  <conditionalFormatting sqref="G882">
    <cfRule type="expression" dxfId="0" priority="1906">
      <formula>G883=0</formula>
    </cfRule>
  </conditionalFormatting>
  <conditionalFormatting sqref="G883">
    <cfRule type="cellIs" dxfId="1" priority="1915" operator="equal">
      <formula>0</formula>
    </cfRule>
  </conditionalFormatting>
  <conditionalFormatting sqref="G886">
    <cfRule type="cellIs" dxfId="1" priority="1930" operator="equal">
      <formula>0</formula>
    </cfRule>
  </conditionalFormatting>
  <conditionalFormatting sqref="G891">
    <cfRule type="expression" dxfId="0" priority="1950">
      <formula>G892=0</formula>
    </cfRule>
  </conditionalFormatting>
  <conditionalFormatting sqref="G892">
    <cfRule type="cellIs" dxfId="1" priority="1957" operator="equal">
      <formula>0</formula>
    </cfRule>
  </conditionalFormatting>
  <conditionalFormatting sqref="G897">
    <cfRule type="cellIs" dxfId="1" priority="1967" operator="equal">
      <formula>0</formula>
    </cfRule>
  </conditionalFormatting>
  <conditionalFormatting sqref="G915">
    <cfRule type="expression" dxfId="0" priority="1988">
      <formula>G916=0</formula>
    </cfRule>
  </conditionalFormatting>
  <conditionalFormatting sqref="G916">
    <cfRule type="cellIs" dxfId="1" priority="1994" operator="equal">
      <formula>0</formula>
    </cfRule>
  </conditionalFormatting>
  <conditionalFormatting sqref="G918">
    <cfRule type="cellIs" dxfId="1" priority="2001" operator="equal">
      <formula>0</formula>
    </cfRule>
  </conditionalFormatting>
  <conditionalFormatting sqref="G920">
    <cfRule type="cellIs" dxfId="1" priority="2011" operator="equal">
      <formula>0</formula>
    </cfRule>
  </conditionalFormatting>
  <conditionalFormatting sqref="G948">
    <cfRule type="expression" dxfId="0" priority="2046">
      <formula>G949=0</formula>
    </cfRule>
  </conditionalFormatting>
  <conditionalFormatting sqref="G949">
    <cfRule type="cellIs" dxfId="1" priority="2054" operator="equal">
      <formula>0</formula>
    </cfRule>
  </conditionalFormatting>
  <conditionalFormatting sqref="G957">
    <cfRule type="cellIs" dxfId="1" priority="2091" operator="equal">
      <formula>0</formula>
    </cfRule>
  </conditionalFormatting>
  <conditionalFormatting sqref="G958">
    <cfRule type="cellIs" dxfId="1" priority="2094" operator="equal">
      <formula>0</formula>
    </cfRule>
  </conditionalFormatting>
  <conditionalFormatting sqref="G96">
    <cfRule type="cellIs" dxfId="1" priority="169" operator="equal">
      <formula>0</formula>
    </cfRule>
  </conditionalFormatting>
  <conditionalFormatting sqref="G961">
    <cfRule type="cellIs" dxfId="1" priority="2107" operator="equal">
      <formula>0</formula>
    </cfRule>
  </conditionalFormatting>
  <conditionalFormatting sqref="G963">
    <cfRule type="expression" dxfId="0" priority="2113">
      <formula>G964=0</formula>
    </cfRule>
  </conditionalFormatting>
  <conditionalFormatting sqref="G964">
    <cfRule type="cellIs" dxfId="1" priority="2118" operator="equal">
      <formula>0</formula>
    </cfRule>
  </conditionalFormatting>
  <conditionalFormatting sqref="G967">
    <cfRule type="cellIs" dxfId="1" priority="2124" operator="equal">
      <formula>0</formula>
    </cfRule>
  </conditionalFormatting>
  <conditionalFormatting sqref="G971">
    <cfRule type="cellIs" dxfId="1" priority="2132" operator="equal">
      <formula>0</formula>
    </cfRule>
  </conditionalFormatting>
  <conditionalFormatting sqref="H1032">
    <cfRule type="expression" dxfId="0" priority="2233">
      <formula>H1033=0</formula>
    </cfRule>
  </conditionalFormatting>
  <conditionalFormatting sqref="H1033">
    <cfRule type="cellIs" dxfId="1" priority="2239" operator="equal">
      <formula>0</formula>
    </cfRule>
  </conditionalFormatting>
  <conditionalFormatting sqref="H1035">
    <cfRule type="cellIs" dxfId="1" priority="2249" operator="equal">
      <formula>0</formula>
    </cfRule>
  </conditionalFormatting>
  <conditionalFormatting sqref="H1065">
    <cfRule type="expression" dxfId="0" priority="2292">
      <formula>H1066=0</formula>
    </cfRule>
  </conditionalFormatting>
  <conditionalFormatting sqref="H1066">
    <cfRule type="cellIs" dxfId="1" priority="2299" operator="equal">
      <formula>0</formula>
    </cfRule>
  </conditionalFormatting>
  <conditionalFormatting sqref="H1075">
    <cfRule type="cellIs" dxfId="1" priority="2335" operator="equal">
      <formula>0</formula>
    </cfRule>
  </conditionalFormatting>
  <conditionalFormatting sqref="H1085">
    <cfRule type="expression" dxfId="0" priority="2374">
      <formula>H1086=0</formula>
    </cfRule>
  </conditionalFormatting>
  <conditionalFormatting sqref="H1086">
    <cfRule type="cellIs" dxfId="1" priority="2383" operator="equal">
      <formula>0</formula>
    </cfRule>
  </conditionalFormatting>
  <conditionalFormatting sqref="H1091">
    <cfRule type="cellIs" dxfId="1" priority="2396" operator="equal">
      <formula>0</formula>
    </cfRule>
  </conditionalFormatting>
  <conditionalFormatting sqref="H1095">
    <cfRule type="cellIs" dxfId="1" priority="2404" operator="equal">
      <formula>0</formula>
    </cfRule>
  </conditionalFormatting>
  <conditionalFormatting sqref="H1102">
    <cfRule type="cellIs" dxfId="1" priority="2417" operator="equal">
      <formula>0</formula>
    </cfRule>
  </conditionalFormatting>
  <conditionalFormatting sqref="H1131">
    <cfRule type="expression" dxfId="0" priority="2449">
      <formula>H1132=0</formula>
    </cfRule>
  </conditionalFormatting>
  <conditionalFormatting sqref="H1132">
    <cfRule type="cellIs" dxfId="1" priority="2458" operator="equal">
      <formula>0</formula>
    </cfRule>
  </conditionalFormatting>
  <conditionalFormatting sqref="H1134">
    <cfRule type="cellIs" dxfId="1" priority="2469" operator="equal">
      <formula>0</formula>
    </cfRule>
  </conditionalFormatting>
  <conditionalFormatting sqref="H1136">
    <cfRule type="cellIs" dxfId="1" priority="2479" operator="equal">
      <formula>0</formula>
    </cfRule>
  </conditionalFormatting>
  <conditionalFormatting sqref="H1167">
    <cfRule type="expression" dxfId="0" priority="2528">
      <formula>H1168=0</formula>
    </cfRule>
  </conditionalFormatting>
  <conditionalFormatting sqref="H1168">
    <cfRule type="cellIs" dxfId="1" priority="2534" operator="equal">
      <formula>0</formula>
    </cfRule>
  </conditionalFormatting>
  <conditionalFormatting sqref="H117">
    <cfRule type="expression" dxfId="0" priority="193">
      <formula>H118=0</formula>
    </cfRule>
  </conditionalFormatting>
  <conditionalFormatting sqref="H1177">
    <cfRule type="cellIs" dxfId="1" priority="2571" operator="equal">
      <formula>0</formula>
    </cfRule>
  </conditionalFormatting>
  <conditionalFormatting sqref="H118">
    <cfRule type="cellIs" dxfId="1" priority="199" operator="equal">
      <formula>0</formula>
    </cfRule>
  </conditionalFormatting>
  <conditionalFormatting sqref="H123">
    <cfRule type="cellIs" dxfId="1" priority="221" operator="equal">
      <formula>0</formula>
    </cfRule>
  </conditionalFormatting>
  <conditionalFormatting sqref="H1263">
    <cfRule type="expression" dxfId="0" priority="2738">
      <formula>H1264=0</formula>
    </cfRule>
  </conditionalFormatting>
  <conditionalFormatting sqref="H1264">
    <cfRule type="cellIs" dxfId="1" priority="2744" operator="equal">
      <formula>0</formula>
    </cfRule>
  </conditionalFormatting>
  <conditionalFormatting sqref="H1273">
    <cfRule type="cellIs" dxfId="1" priority="2780" operator="equal">
      <formula>0</formula>
    </cfRule>
  </conditionalFormatting>
  <conditionalFormatting sqref="H1276">
    <cfRule type="cellIs" dxfId="1" priority="2793" operator="equal">
      <formula>0</formula>
    </cfRule>
  </conditionalFormatting>
  <conditionalFormatting sqref="H1277">
    <cfRule type="cellIs" dxfId="1" priority="2797" operator="equal">
      <formula>0</formula>
    </cfRule>
  </conditionalFormatting>
  <conditionalFormatting sqref="H1278">
    <cfRule type="cellIs" dxfId="1" priority="2801" operator="equal">
      <formula>0</formula>
    </cfRule>
  </conditionalFormatting>
  <conditionalFormatting sqref="H1281">
    <cfRule type="expression" dxfId="0" priority="2812">
      <formula>H1282=0</formula>
    </cfRule>
  </conditionalFormatting>
  <conditionalFormatting sqref="H1282">
    <cfRule type="cellIs" dxfId="1" priority="2820" operator="equal">
      <formula>0</formula>
    </cfRule>
  </conditionalFormatting>
  <conditionalFormatting sqref="H1289">
    <cfRule type="cellIs" dxfId="1" priority="2836" operator="equal">
      <formula>0</formula>
    </cfRule>
  </conditionalFormatting>
  <conditionalFormatting sqref="H1297">
    <cfRule type="cellIs" dxfId="1" priority="2852" operator="equal">
      <formula>0</formula>
    </cfRule>
  </conditionalFormatting>
  <conditionalFormatting sqref="H1323">
    <cfRule type="expression" dxfId="0" priority="2879">
      <formula>H1324=0</formula>
    </cfRule>
  </conditionalFormatting>
  <conditionalFormatting sqref="H1324">
    <cfRule type="cellIs" dxfId="1" priority="2889" operator="equal">
      <formula>0</formula>
    </cfRule>
  </conditionalFormatting>
  <conditionalFormatting sqref="H1325">
    <cfRule type="cellIs" dxfId="1" priority="2897" operator="equal">
      <formula>0</formula>
    </cfRule>
  </conditionalFormatting>
  <conditionalFormatting sqref="H1326">
    <cfRule type="cellIs" dxfId="1" priority="2901" operator="equal">
      <formula>0</formula>
    </cfRule>
  </conditionalFormatting>
  <conditionalFormatting sqref="H1327">
    <cfRule type="cellIs" dxfId="1" priority="2906" operator="equal">
      <formula>0</formula>
    </cfRule>
  </conditionalFormatting>
  <conditionalFormatting sqref="H1331">
    <cfRule type="cellIs" dxfId="1" priority="2923" operator="equal">
      <formula>0</formula>
    </cfRule>
  </conditionalFormatting>
  <conditionalFormatting sqref="H1334">
    <cfRule type="cellIs" dxfId="1" priority="2937" operator="equal">
      <formula>0</formula>
    </cfRule>
  </conditionalFormatting>
  <conditionalFormatting sqref="H1336">
    <cfRule type="cellIs" dxfId="1" priority="2947" operator="equal">
      <formula>0</formula>
    </cfRule>
  </conditionalFormatting>
  <conditionalFormatting sqref="H1338">
    <cfRule type="cellIs" dxfId="1" priority="2957" operator="equal">
      <formula>0</formula>
    </cfRule>
  </conditionalFormatting>
  <conditionalFormatting sqref="H1343">
    <cfRule type="expression" dxfId="0" priority="2978">
      <formula>H1344=0</formula>
    </cfRule>
  </conditionalFormatting>
  <conditionalFormatting sqref="H1344">
    <cfRule type="cellIs" dxfId="1" priority="2985" operator="equal">
      <formula>0</formula>
    </cfRule>
  </conditionalFormatting>
  <conditionalFormatting sqref="H1355">
    <cfRule type="cellIs" dxfId="1" priority="3005" operator="equal">
      <formula>0</formula>
    </cfRule>
  </conditionalFormatting>
  <conditionalFormatting sqref="H1389">
    <cfRule type="expression" dxfId="0" priority="3053">
      <formula>H1390=0</formula>
    </cfRule>
  </conditionalFormatting>
  <conditionalFormatting sqref="H1390">
    <cfRule type="cellIs" dxfId="1" priority="3062" operator="equal">
      <formula>0</formula>
    </cfRule>
  </conditionalFormatting>
  <conditionalFormatting sqref="H1393">
    <cfRule type="cellIs" dxfId="1" priority="3074" operator="equal">
      <formula>0</formula>
    </cfRule>
  </conditionalFormatting>
  <conditionalFormatting sqref="H1396">
    <cfRule type="cellIs" dxfId="1" priority="3087" operator="equal">
      <formula>0</formula>
    </cfRule>
  </conditionalFormatting>
  <conditionalFormatting sqref="H1398">
    <cfRule type="cellIs" dxfId="1" priority="3096" operator="equal">
      <formula>0</formula>
    </cfRule>
  </conditionalFormatting>
  <conditionalFormatting sqref="H1404">
    <cfRule type="expression" dxfId="0" priority="3119">
      <formula>H1405=0</formula>
    </cfRule>
  </conditionalFormatting>
  <conditionalFormatting sqref="H1405">
    <cfRule type="cellIs" dxfId="1" priority="3125" operator="equal">
      <formula>0</formula>
    </cfRule>
  </conditionalFormatting>
  <conditionalFormatting sqref="H1417">
    <cfRule type="cellIs" dxfId="1" priority="3144" operator="equal">
      <formula>0</formula>
    </cfRule>
  </conditionalFormatting>
  <conditionalFormatting sqref="H147">
    <cfRule type="expression" dxfId="0" priority="257">
      <formula>H148=0</formula>
    </cfRule>
  </conditionalFormatting>
  <conditionalFormatting sqref="H148">
    <cfRule type="cellIs" dxfId="1" priority="263" operator="equal">
      <formula>0</formula>
    </cfRule>
  </conditionalFormatting>
  <conditionalFormatting sqref="H1527">
    <cfRule type="expression" dxfId="0" priority="3325">
      <formula>H1528=0</formula>
    </cfRule>
  </conditionalFormatting>
  <conditionalFormatting sqref="H1528">
    <cfRule type="cellIs" dxfId="1" priority="3334" operator="equal">
      <formula>0</formula>
    </cfRule>
  </conditionalFormatting>
  <conditionalFormatting sqref="H1533">
    <cfRule type="cellIs" dxfId="1" priority="3355" operator="equal">
      <formula>0</formula>
    </cfRule>
  </conditionalFormatting>
  <conditionalFormatting sqref="H1535">
    <cfRule type="cellIs" dxfId="1" priority="3363" operator="equal">
      <formula>0</formula>
    </cfRule>
  </conditionalFormatting>
  <conditionalFormatting sqref="H1538">
    <cfRule type="cellIs" dxfId="1" priority="3377" operator="equal">
      <formula>0</formula>
    </cfRule>
  </conditionalFormatting>
  <conditionalFormatting sqref="H154">
    <cfRule type="cellIs" dxfId="1" priority="288" operator="equal">
      <formula>0</formula>
    </cfRule>
  </conditionalFormatting>
  <conditionalFormatting sqref="H1542">
    <cfRule type="expression" dxfId="0" priority="3391">
      <formula>H1543=0</formula>
    </cfRule>
  </conditionalFormatting>
  <conditionalFormatting sqref="H1543">
    <cfRule type="cellIs" dxfId="1" priority="3398" operator="equal">
      <formula>0</formula>
    </cfRule>
  </conditionalFormatting>
  <conditionalFormatting sqref="H1551">
    <cfRule type="cellIs" dxfId="1" priority="3408" operator="equal">
      <formula>0</formula>
    </cfRule>
  </conditionalFormatting>
  <conditionalFormatting sqref="H1554">
    <cfRule type="cellIs" dxfId="1" priority="3413" operator="equal">
      <formula>0</formula>
    </cfRule>
  </conditionalFormatting>
  <conditionalFormatting sqref="H160">
    <cfRule type="expression" dxfId="0" priority="309">
      <formula>H161=0</formula>
    </cfRule>
  </conditionalFormatting>
  <conditionalFormatting sqref="H1605">
    <cfRule type="expression" dxfId="0" priority="3492">
      <formula>H1606=0</formula>
    </cfRule>
  </conditionalFormatting>
  <conditionalFormatting sqref="H1606">
    <cfRule type="cellIs" dxfId="1" priority="3499" operator="equal">
      <formula>0</formula>
    </cfRule>
  </conditionalFormatting>
  <conditionalFormatting sqref="H1609">
    <cfRule type="cellIs" dxfId="1" priority="3512" operator="equal">
      <formula>0</formula>
    </cfRule>
  </conditionalFormatting>
  <conditionalFormatting sqref="H161">
    <cfRule type="cellIs" dxfId="1" priority="318" operator="equal">
      <formula>0</formula>
    </cfRule>
  </conditionalFormatting>
  <conditionalFormatting sqref="H166">
    <cfRule type="cellIs" dxfId="1" priority="331" operator="equal">
      <formula>0</formula>
    </cfRule>
  </conditionalFormatting>
  <conditionalFormatting sqref="H192">
    <cfRule type="expression" dxfId="0" priority="364">
      <formula>H193=0</formula>
    </cfRule>
  </conditionalFormatting>
  <conditionalFormatting sqref="H193">
    <cfRule type="cellIs" dxfId="1" priority="375" operator="equal">
      <formula>0</formula>
    </cfRule>
  </conditionalFormatting>
  <conditionalFormatting sqref="H196">
    <cfRule type="cellIs" dxfId="1" priority="391" operator="equal">
      <formula>0</formula>
    </cfRule>
  </conditionalFormatting>
  <conditionalFormatting sqref="H197">
    <cfRule type="cellIs" dxfId="1" priority="397" operator="equal">
      <formula>0</formula>
    </cfRule>
  </conditionalFormatting>
  <conditionalFormatting sqref="H201">
    <cfRule type="cellIs" dxfId="1" priority="415" operator="equal">
      <formula>0</formula>
    </cfRule>
  </conditionalFormatting>
  <conditionalFormatting sqref="H205">
    <cfRule type="cellIs" dxfId="1" priority="432" operator="equal">
      <formula>0</formula>
    </cfRule>
  </conditionalFormatting>
  <conditionalFormatting sqref="H206">
    <cfRule type="cellIs" dxfId="1" priority="439" operator="equal">
      <formula>0</formula>
    </cfRule>
  </conditionalFormatting>
  <conditionalFormatting sqref="H208">
    <cfRule type="cellIs" dxfId="1" priority="446" operator="equal">
      <formula>0</formula>
    </cfRule>
  </conditionalFormatting>
  <conditionalFormatting sqref="H213">
    <cfRule type="expression" dxfId="0" priority="462">
      <formula>H214=0</formula>
    </cfRule>
  </conditionalFormatting>
  <conditionalFormatting sqref="H214">
    <cfRule type="cellIs" dxfId="1" priority="468" operator="equal">
      <formula>0</formula>
    </cfRule>
  </conditionalFormatting>
  <conditionalFormatting sqref="H217">
    <cfRule type="cellIs" dxfId="1" priority="474" operator="equal">
      <formula>0</formula>
    </cfRule>
  </conditionalFormatting>
  <conditionalFormatting sqref="H223">
    <cfRule type="cellIs" dxfId="1" priority="481" operator="equal">
      <formula>0</formula>
    </cfRule>
  </conditionalFormatting>
  <conditionalFormatting sqref="H224">
    <cfRule type="cellIs" dxfId="1" priority="483" operator="equal">
      <formula>0</formula>
    </cfRule>
  </conditionalFormatting>
  <conditionalFormatting sqref="H229">
    <cfRule type="cellIs" dxfId="1" priority="490" operator="equal">
      <formula>0</formula>
    </cfRule>
  </conditionalFormatting>
  <conditionalFormatting sqref="H27">
    <cfRule type="expression" dxfId="0" priority="6">
      <formula>H28=0</formula>
    </cfRule>
  </conditionalFormatting>
  <conditionalFormatting sqref="H28">
    <cfRule type="cellIs" dxfId="1" priority="12" operator="equal">
      <formula>0</formula>
    </cfRule>
  </conditionalFormatting>
  <conditionalFormatting sqref="H282">
    <cfRule type="expression" dxfId="0" priority="555">
      <formula>H283=0</formula>
    </cfRule>
  </conditionalFormatting>
  <conditionalFormatting sqref="H283">
    <cfRule type="cellIs" dxfId="1" priority="563" operator="equal">
      <formula>0</formula>
    </cfRule>
  </conditionalFormatting>
  <conditionalFormatting sqref="H284">
    <cfRule type="cellIs" dxfId="1" priority="569" operator="equal">
      <formula>0</formula>
    </cfRule>
  </conditionalFormatting>
  <conditionalFormatting sqref="H286">
    <cfRule type="cellIs" dxfId="1" priority="579" operator="equal">
      <formula>0</formula>
    </cfRule>
  </conditionalFormatting>
  <conditionalFormatting sqref="H288">
    <cfRule type="cellIs" dxfId="1" priority="587" operator="equal">
      <formula>0</formula>
    </cfRule>
  </conditionalFormatting>
  <conditionalFormatting sqref="H292">
    <cfRule type="cellIs" dxfId="1" priority="603" operator="equal">
      <formula>0</formula>
    </cfRule>
  </conditionalFormatting>
  <conditionalFormatting sqref="H296">
    <cfRule type="cellIs" dxfId="1" priority="618" operator="equal">
      <formula>0</formula>
    </cfRule>
  </conditionalFormatting>
  <conditionalFormatting sqref="H301">
    <cfRule type="cellIs" dxfId="1" priority="640" operator="equal">
      <formula>0</formula>
    </cfRule>
  </conditionalFormatting>
  <conditionalFormatting sqref="H309">
    <cfRule type="expression" dxfId="0" priority="671">
      <formula>H310=0</formula>
    </cfRule>
  </conditionalFormatting>
  <conditionalFormatting sqref="H31">
    <cfRule type="cellIs" dxfId="1" priority="24" operator="equal">
      <formula>0</formula>
    </cfRule>
  </conditionalFormatting>
  <conditionalFormatting sqref="H310">
    <cfRule type="cellIs" dxfId="1" priority="679" operator="equal">
      <formula>0</formula>
    </cfRule>
  </conditionalFormatting>
  <conditionalFormatting sqref="H318">
    <cfRule type="cellIs" dxfId="1" priority="697" operator="equal">
      <formula>0</formula>
    </cfRule>
  </conditionalFormatting>
  <conditionalFormatting sqref="H319">
    <cfRule type="cellIs" dxfId="1" priority="699" operator="equal">
      <formula>0</formula>
    </cfRule>
  </conditionalFormatting>
  <conditionalFormatting sqref="H369">
    <cfRule type="expression" dxfId="0" priority="767">
      <formula>H370=0</formula>
    </cfRule>
  </conditionalFormatting>
  <conditionalFormatting sqref="H370">
    <cfRule type="cellIs" dxfId="1" priority="774" operator="equal">
      <formula>0</formula>
    </cfRule>
  </conditionalFormatting>
  <conditionalFormatting sqref="H372">
    <cfRule type="cellIs" dxfId="1" priority="784" operator="equal">
      <formula>0</formula>
    </cfRule>
  </conditionalFormatting>
  <conditionalFormatting sqref="H399">
    <cfRule type="expression" dxfId="0" priority="824">
      <formula>H400=0</formula>
    </cfRule>
  </conditionalFormatting>
  <conditionalFormatting sqref="H400">
    <cfRule type="cellIs" dxfId="1" priority="833" operator="equal">
      <formula>0</formula>
    </cfRule>
  </conditionalFormatting>
  <conditionalFormatting sqref="H404">
    <cfRule type="cellIs" dxfId="1" priority="852" operator="equal">
      <formula>0</formula>
    </cfRule>
  </conditionalFormatting>
  <conditionalFormatting sqref="H407">
    <cfRule type="cellIs" dxfId="1" priority="864" operator="equal">
      <formula>0</formula>
    </cfRule>
  </conditionalFormatting>
  <conditionalFormatting sqref="H441">
    <cfRule type="expression" dxfId="0" priority="919">
      <formula>H442=0</formula>
    </cfRule>
  </conditionalFormatting>
  <conditionalFormatting sqref="H442">
    <cfRule type="cellIs" dxfId="1" priority="928" operator="equal">
      <formula>0</formula>
    </cfRule>
  </conditionalFormatting>
  <conditionalFormatting sqref="H444">
    <cfRule type="cellIs" dxfId="1" priority="937" operator="equal">
      <formula>0</formula>
    </cfRule>
  </conditionalFormatting>
  <conditionalFormatting sqref="H522">
    <cfRule type="expression" dxfId="0" priority="1061">
      <formula>H523=0</formula>
    </cfRule>
  </conditionalFormatting>
  <conditionalFormatting sqref="H523">
    <cfRule type="cellIs" dxfId="1" priority="1072" operator="equal">
      <formula>0</formula>
    </cfRule>
  </conditionalFormatting>
  <conditionalFormatting sqref="H525">
    <cfRule type="cellIs" dxfId="1" priority="1085" operator="equal">
      <formula>0</formula>
    </cfRule>
  </conditionalFormatting>
  <conditionalFormatting sqref="H526">
    <cfRule type="cellIs" dxfId="1" priority="1088" operator="equal">
      <formula>0</formula>
    </cfRule>
  </conditionalFormatting>
  <conditionalFormatting sqref="H550">
    <cfRule type="expression" dxfId="0" priority="1185">
      <formula>H551=0</formula>
    </cfRule>
  </conditionalFormatting>
  <conditionalFormatting sqref="H551">
    <cfRule type="cellIs" dxfId="1" priority="1195" operator="equal">
      <formula>0</formula>
    </cfRule>
  </conditionalFormatting>
  <conditionalFormatting sqref="H556">
    <cfRule type="cellIs" dxfId="1" priority="1208" operator="equal">
      <formula>0</formula>
    </cfRule>
  </conditionalFormatting>
  <conditionalFormatting sqref="H558">
    <cfRule type="cellIs" dxfId="1" priority="1213" operator="equal">
      <formula>0</formula>
    </cfRule>
  </conditionalFormatting>
  <conditionalFormatting sqref="H560">
    <cfRule type="cellIs" dxfId="1" priority="1217" operator="equal">
      <formula>0</formula>
    </cfRule>
  </conditionalFormatting>
  <conditionalFormatting sqref="H578">
    <cfRule type="expression" dxfId="0" priority="1252">
      <formula>H579=0</formula>
    </cfRule>
  </conditionalFormatting>
  <conditionalFormatting sqref="H579">
    <cfRule type="cellIs" dxfId="1" priority="1258" operator="equal">
      <formula>0</formula>
    </cfRule>
  </conditionalFormatting>
  <conditionalFormatting sqref="H603">
    <cfRule type="cellIs" dxfId="1" priority="1283" operator="equal">
      <formula>0</formula>
    </cfRule>
  </conditionalFormatting>
  <conditionalFormatting sqref="H604">
    <cfRule type="cellIs" dxfId="1" priority="1285" operator="equal">
      <formula>0</formula>
    </cfRule>
  </conditionalFormatting>
  <conditionalFormatting sqref="H612">
    <cfRule type="expression" dxfId="0" priority="1291">
      <formula>H613=0</formula>
    </cfRule>
  </conditionalFormatting>
  <conditionalFormatting sqref="H613">
    <cfRule type="cellIs" dxfId="1" priority="1300" operator="equal">
      <formula>0</formula>
    </cfRule>
  </conditionalFormatting>
  <conditionalFormatting sqref="H620">
    <cfRule type="cellIs" dxfId="1" priority="1328" operator="equal">
      <formula>0</formula>
    </cfRule>
  </conditionalFormatting>
  <conditionalFormatting sqref="H621">
    <cfRule type="cellIs" dxfId="1" priority="1334" operator="equal">
      <formula>0</formula>
    </cfRule>
  </conditionalFormatting>
  <conditionalFormatting sqref="H651">
    <cfRule type="expression" dxfId="0" priority="1372">
      <formula>H652=0</formula>
    </cfRule>
  </conditionalFormatting>
  <conditionalFormatting sqref="H652">
    <cfRule type="cellIs" dxfId="1" priority="1378" operator="equal">
      <formula>0</formula>
    </cfRule>
  </conditionalFormatting>
  <conditionalFormatting sqref="H661">
    <cfRule type="cellIs" dxfId="1" priority="1415" operator="equal">
      <formula>0</formula>
    </cfRule>
  </conditionalFormatting>
  <conditionalFormatting sqref="H664">
    <cfRule type="expression" dxfId="0" priority="1425">
      <formula>H665=0</formula>
    </cfRule>
  </conditionalFormatting>
  <conditionalFormatting sqref="H665">
    <cfRule type="cellIs" dxfId="1" priority="1433" operator="equal">
      <formula>0</formula>
    </cfRule>
  </conditionalFormatting>
  <conditionalFormatting sqref="H670">
    <cfRule type="cellIs" dxfId="1" priority="1444" operator="equal">
      <formula>0</formula>
    </cfRule>
  </conditionalFormatting>
  <conditionalFormatting sqref="H696">
    <cfRule type="expression" dxfId="0" priority="1478">
      <formula>H697=0</formula>
    </cfRule>
  </conditionalFormatting>
  <conditionalFormatting sqref="H697">
    <cfRule type="cellIs" dxfId="1" priority="1485" operator="equal">
      <formula>0</formula>
    </cfRule>
  </conditionalFormatting>
  <conditionalFormatting sqref="H698">
    <cfRule type="cellIs" dxfId="1" priority="1490" operator="equal">
      <formula>0</formula>
    </cfRule>
  </conditionalFormatting>
  <conditionalFormatting sqref="H723">
    <cfRule type="expression" dxfId="0" priority="1533">
      <formula>H724=0</formula>
    </cfRule>
  </conditionalFormatting>
  <conditionalFormatting sqref="H724">
    <cfRule type="cellIs" dxfId="1" priority="1540" operator="equal">
      <formula>0</formula>
    </cfRule>
  </conditionalFormatting>
  <conditionalFormatting sqref="H726">
    <cfRule type="cellIs" dxfId="1" priority="1548" operator="equal">
      <formula>0</formula>
    </cfRule>
  </conditionalFormatting>
  <conditionalFormatting sqref="H75">
    <cfRule type="expression" dxfId="0" priority="84">
      <formula>H76=0</formula>
    </cfRule>
  </conditionalFormatting>
  <conditionalFormatting sqref="H750">
    <cfRule type="expression" dxfId="0" priority="1592">
      <formula>H751=0</formula>
    </cfRule>
  </conditionalFormatting>
  <conditionalFormatting sqref="H751">
    <cfRule type="cellIs" dxfId="1" priority="1599" operator="equal">
      <formula>0</formula>
    </cfRule>
  </conditionalFormatting>
  <conditionalFormatting sqref="H753">
    <cfRule type="cellIs" dxfId="1" priority="1610" operator="equal">
      <formula>0</formula>
    </cfRule>
  </conditionalFormatting>
  <conditionalFormatting sqref="H76">
    <cfRule type="cellIs" dxfId="1" priority="94" operator="equal">
      <formula>0</formula>
    </cfRule>
  </conditionalFormatting>
  <conditionalFormatting sqref="H771">
    <cfRule type="expression" dxfId="0" priority="1631">
      <formula>H772=0</formula>
    </cfRule>
  </conditionalFormatting>
  <conditionalFormatting sqref="H772">
    <cfRule type="cellIs" dxfId="1" priority="1642" operator="equal">
      <formula>0</formula>
    </cfRule>
  </conditionalFormatting>
  <conditionalFormatting sqref="H774">
    <cfRule type="cellIs" dxfId="1" priority="1655" operator="equal">
      <formula>0</formula>
    </cfRule>
  </conditionalFormatting>
  <conditionalFormatting sqref="H775">
    <cfRule type="cellIs" dxfId="1" priority="1659" operator="equal">
      <formula>0</formula>
    </cfRule>
  </conditionalFormatting>
  <conditionalFormatting sqref="H776">
    <cfRule type="cellIs" dxfId="1" priority="1663" operator="equal">
      <formula>0</formula>
    </cfRule>
  </conditionalFormatting>
  <conditionalFormatting sqref="H778">
    <cfRule type="cellIs" dxfId="1" priority="1675" operator="equal">
      <formula>0</formula>
    </cfRule>
  </conditionalFormatting>
  <conditionalFormatting sqref="H779">
    <cfRule type="cellIs" dxfId="1" priority="1680" operator="equal">
      <formula>0</formula>
    </cfRule>
  </conditionalFormatting>
  <conditionalFormatting sqref="H780">
    <cfRule type="cellIs" dxfId="1" priority="1684" operator="equal">
      <formula>0</formula>
    </cfRule>
  </conditionalFormatting>
  <conditionalFormatting sqref="H785">
    <cfRule type="cellIs" dxfId="1" priority="1706" operator="equal">
      <formula>0</formula>
    </cfRule>
  </conditionalFormatting>
  <conditionalFormatting sqref="H788">
    <cfRule type="cellIs" dxfId="1" priority="1718" operator="equal">
      <formula>0</formula>
    </cfRule>
  </conditionalFormatting>
  <conditionalFormatting sqref="H790">
    <cfRule type="cellIs" dxfId="1" priority="1728" operator="equal">
      <formula>0</formula>
    </cfRule>
  </conditionalFormatting>
  <conditionalFormatting sqref="H794">
    <cfRule type="expression" dxfId="0" priority="1744">
      <formula>H795=0</formula>
    </cfRule>
  </conditionalFormatting>
  <conditionalFormatting sqref="H795">
    <cfRule type="cellIs" dxfId="1" priority="1751" operator="equal">
      <formula>0</formula>
    </cfRule>
  </conditionalFormatting>
  <conditionalFormatting sqref="H800">
    <cfRule type="cellIs" dxfId="1" priority="1760" operator="equal">
      <formula>0</formula>
    </cfRule>
  </conditionalFormatting>
  <conditionalFormatting sqref="H803">
    <cfRule type="cellIs" dxfId="1" priority="1765" operator="equal">
      <formula>0</formula>
    </cfRule>
  </conditionalFormatting>
  <conditionalFormatting sqref="H808">
    <cfRule type="cellIs" dxfId="1" priority="1774" operator="equal">
      <formula>0</formula>
    </cfRule>
  </conditionalFormatting>
  <conditionalFormatting sqref="H81">
    <cfRule type="cellIs" dxfId="1" priority="122" operator="equal">
      <formula>0</formula>
    </cfRule>
  </conditionalFormatting>
  <conditionalFormatting sqref="H810">
    <cfRule type="cellIs" dxfId="1" priority="1777" operator="equal">
      <formula>0</formula>
    </cfRule>
  </conditionalFormatting>
  <conditionalFormatting sqref="H82">
    <cfRule type="cellIs" dxfId="1" priority="127" operator="equal">
      <formula>0</formula>
    </cfRule>
  </conditionalFormatting>
  <conditionalFormatting sqref="H846">
    <cfRule type="expression" dxfId="0" priority="1816">
      <formula>H847=0</formula>
    </cfRule>
  </conditionalFormatting>
  <conditionalFormatting sqref="H847">
    <cfRule type="cellIs" dxfId="1" priority="1827" operator="equal">
      <formula>0</formula>
    </cfRule>
  </conditionalFormatting>
  <conditionalFormatting sqref="H849">
    <cfRule type="cellIs" dxfId="1" priority="1840" operator="equal">
      <formula>0</formula>
    </cfRule>
  </conditionalFormatting>
  <conditionalFormatting sqref="H851">
    <cfRule type="cellIs" dxfId="1" priority="1848" operator="equal">
      <formula>0</formula>
    </cfRule>
  </conditionalFormatting>
  <conditionalFormatting sqref="H856">
    <cfRule type="expression" dxfId="0" priority="1867">
      <formula>H857=0</formula>
    </cfRule>
  </conditionalFormatting>
  <conditionalFormatting sqref="H857">
    <cfRule type="cellIs" dxfId="1" priority="1873" operator="equal">
      <formula>0</formula>
    </cfRule>
  </conditionalFormatting>
  <conditionalFormatting sqref="H864">
    <cfRule type="cellIs" dxfId="1" priority="1885" operator="equal">
      <formula>0</formula>
    </cfRule>
  </conditionalFormatting>
  <conditionalFormatting sqref="H87">
    <cfRule type="expression" dxfId="0" priority="146">
      <formula>H88=0</formula>
    </cfRule>
  </conditionalFormatting>
  <conditionalFormatting sqref="H88">
    <cfRule type="cellIs" dxfId="1" priority="152" operator="equal">
      <formula>0</formula>
    </cfRule>
  </conditionalFormatting>
  <conditionalFormatting sqref="H882">
    <cfRule type="expression" dxfId="0" priority="1907">
      <formula>H883=0</formula>
    </cfRule>
  </conditionalFormatting>
  <conditionalFormatting sqref="H883">
    <cfRule type="cellIs" dxfId="1" priority="1916" operator="equal">
      <formula>0</formula>
    </cfRule>
  </conditionalFormatting>
  <conditionalFormatting sqref="H886">
    <cfRule type="cellIs" dxfId="1" priority="1931" operator="equal">
      <formula>0</formula>
    </cfRule>
  </conditionalFormatting>
  <conditionalFormatting sqref="H891">
    <cfRule type="expression" dxfId="0" priority="1951">
      <formula>H892=0</formula>
    </cfRule>
  </conditionalFormatting>
  <conditionalFormatting sqref="H892">
    <cfRule type="cellIs" dxfId="1" priority="1958" operator="equal">
      <formula>0</formula>
    </cfRule>
  </conditionalFormatting>
  <conditionalFormatting sqref="H897">
    <cfRule type="cellIs" dxfId="1" priority="1968" operator="equal">
      <formula>0</formula>
    </cfRule>
  </conditionalFormatting>
  <conditionalFormatting sqref="H915">
    <cfRule type="expression" dxfId="0" priority="1989">
      <formula>H916=0</formula>
    </cfRule>
  </conditionalFormatting>
  <conditionalFormatting sqref="H916">
    <cfRule type="cellIs" dxfId="1" priority="1995" operator="equal">
      <formula>0</formula>
    </cfRule>
  </conditionalFormatting>
  <conditionalFormatting sqref="H918">
    <cfRule type="cellIs" dxfId="1" priority="2002" operator="equal">
      <formula>0</formula>
    </cfRule>
  </conditionalFormatting>
  <conditionalFormatting sqref="H948">
    <cfRule type="expression" dxfId="0" priority="2047">
      <formula>H949=0</formula>
    </cfRule>
  </conditionalFormatting>
  <conditionalFormatting sqref="H949">
    <cfRule type="cellIs" dxfId="1" priority="2055" operator="equal">
      <formula>0</formula>
    </cfRule>
  </conditionalFormatting>
  <conditionalFormatting sqref="H958">
    <cfRule type="cellIs" dxfId="1" priority="2095" operator="equal">
      <formula>0</formula>
    </cfRule>
  </conditionalFormatting>
  <conditionalFormatting sqref="H960">
    <cfRule type="cellIs" dxfId="1" priority="2104" operator="equal">
      <formula>0</formula>
    </cfRule>
  </conditionalFormatting>
  <conditionalFormatting sqref="H961">
    <cfRule type="cellIs" dxfId="1" priority="2108" operator="equal">
      <formula>0</formula>
    </cfRule>
  </conditionalFormatting>
  <conditionalFormatting sqref="H97">
    <cfRule type="cellIs" dxfId="1" priority="171" operator="equal">
      <formula>0</formula>
    </cfRule>
  </conditionalFormatting>
  <conditionalFormatting sqref="I1065">
    <cfRule type="expression" dxfId="0" priority="2293">
      <formula>I1066=0</formula>
    </cfRule>
  </conditionalFormatting>
  <conditionalFormatting sqref="I1066">
    <cfRule type="cellIs" dxfId="1" priority="2300" operator="equal">
      <formula>0</formula>
    </cfRule>
  </conditionalFormatting>
  <conditionalFormatting sqref="I1068">
    <cfRule type="cellIs" dxfId="1" priority="2308" operator="equal">
      <formula>0</formula>
    </cfRule>
  </conditionalFormatting>
  <conditionalFormatting sqref="I1085">
    <cfRule type="expression" dxfId="0" priority="2375">
      <formula>I1086=0</formula>
    </cfRule>
  </conditionalFormatting>
  <conditionalFormatting sqref="I1086">
    <cfRule type="cellIs" dxfId="1" priority="2384" operator="equal">
      <formula>0</formula>
    </cfRule>
  </conditionalFormatting>
  <conditionalFormatting sqref="I1092">
    <cfRule type="cellIs" dxfId="1" priority="2398" operator="equal">
      <formula>0</formula>
    </cfRule>
  </conditionalFormatting>
  <conditionalFormatting sqref="I1094">
    <cfRule type="cellIs" dxfId="1" priority="2402" operator="equal">
      <formula>0</formula>
    </cfRule>
  </conditionalFormatting>
  <conditionalFormatting sqref="I1096">
    <cfRule type="cellIs" dxfId="1" priority="2406" operator="equal">
      <formula>0</formula>
    </cfRule>
  </conditionalFormatting>
  <conditionalFormatting sqref="I1100">
    <cfRule type="cellIs" dxfId="1" priority="2413" operator="equal">
      <formula>0</formula>
    </cfRule>
  </conditionalFormatting>
  <conditionalFormatting sqref="I1103">
    <cfRule type="cellIs" dxfId="1" priority="2419" operator="equal">
      <formula>0</formula>
    </cfRule>
  </conditionalFormatting>
  <conditionalFormatting sqref="I1131">
    <cfRule type="expression" dxfId="0" priority="2450">
      <formula>I1132=0</formula>
    </cfRule>
  </conditionalFormatting>
  <conditionalFormatting sqref="I1132">
    <cfRule type="cellIs" dxfId="1" priority="2459" operator="equal">
      <formula>0</formula>
    </cfRule>
  </conditionalFormatting>
  <conditionalFormatting sqref="I1134">
    <cfRule type="cellIs" dxfId="1" priority="2470" operator="equal">
      <formula>0</formula>
    </cfRule>
  </conditionalFormatting>
  <conditionalFormatting sqref="I1136">
    <cfRule type="cellIs" dxfId="1" priority="2480" operator="equal">
      <formula>0</formula>
    </cfRule>
  </conditionalFormatting>
  <conditionalFormatting sqref="I1281">
    <cfRule type="expression" dxfId="0" priority="2813">
      <formula>I1282=0</formula>
    </cfRule>
  </conditionalFormatting>
  <conditionalFormatting sqref="I1282">
    <cfRule type="cellIs" dxfId="1" priority="2821" operator="equal">
      <formula>0</formula>
    </cfRule>
  </conditionalFormatting>
  <conditionalFormatting sqref="I1291">
    <cfRule type="cellIs" dxfId="1" priority="2840" operator="equal">
      <formula>0</formula>
    </cfRule>
  </conditionalFormatting>
  <conditionalFormatting sqref="I1294">
    <cfRule type="cellIs" dxfId="1" priority="2846" operator="equal">
      <formula>0</formula>
    </cfRule>
  </conditionalFormatting>
  <conditionalFormatting sqref="I1295">
    <cfRule type="cellIs" dxfId="1" priority="2848" operator="equal">
      <formula>0</formula>
    </cfRule>
  </conditionalFormatting>
  <conditionalFormatting sqref="I1323">
    <cfRule type="expression" dxfId="0" priority="2880">
      <formula>I1324=0</formula>
    </cfRule>
  </conditionalFormatting>
  <conditionalFormatting sqref="I1324">
    <cfRule type="cellIs" dxfId="1" priority="2890" operator="equal">
      <formula>0</formula>
    </cfRule>
  </conditionalFormatting>
  <conditionalFormatting sqref="I1329">
    <cfRule type="cellIs" dxfId="1" priority="2913" operator="equal">
      <formula>0</formula>
    </cfRule>
  </conditionalFormatting>
  <conditionalFormatting sqref="I1330">
    <cfRule type="cellIs" dxfId="1" priority="2919" operator="equal">
      <formula>0</formula>
    </cfRule>
  </conditionalFormatting>
  <conditionalFormatting sqref="I1331">
    <cfRule type="cellIs" dxfId="1" priority="2924" operator="equal">
      <formula>0</formula>
    </cfRule>
  </conditionalFormatting>
  <conditionalFormatting sqref="I1337">
    <cfRule type="cellIs" dxfId="1" priority="2952" operator="equal">
      <formula>0</formula>
    </cfRule>
  </conditionalFormatting>
  <conditionalFormatting sqref="I1338">
    <cfRule type="cellIs" dxfId="1" priority="2958" operator="equal">
      <formula>0</formula>
    </cfRule>
  </conditionalFormatting>
  <conditionalFormatting sqref="I1341">
    <cfRule type="cellIs" dxfId="1" priority="2970" operator="equal">
      <formula>0</formula>
    </cfRule>
  </conditionalFormatting>
  <conditionalFormatting sqref="I1343">
    <cfRule type="expression" dxfId="0" priority="2979">
      <formula>I1344=0</formula>
    </cfRule>
  </conditionalFormatting>
  <conditionalFormatting sqref="I1344">
    <cfRule type="cellIs" dxfId="1" priority="2986" operator="equal">
      <formula>0</formula>
    </cfRule>
  </conditionalFormatting>
  <conditionalFormatting sqref="I1361">
    <cfRule type="cellIs" dxfId="1" priority="3018" operator="equal">
      <formula>0</formula>
    </cfRule>
  </conditionalFormatting>
  <conditionalFormatting sqref="I1389">
    <cfRule type="expression" dxfId="0" priority="3054">
      <formula>I1390=0</formula>
    </cfRule>
  </conditionalFormatting>
  <conditionalFormatting sqref="I1390">
    <cfRule type="cellIs" dxfId="1" priority="3063" operator="equal">
      <formula>0</formula>
    </cfRule>
  </conditionalFormatting>
  <conditionalFormatting sqref="I1393">
    <cfRule type="cellIs" dxfId="1" priority="3075" operator="equal">
      <formula>0</formula>
    </cfRule>
  </conditionalFormatting>
  <conditionalFormatting sqref="I1396">
    <cfRule type="cellIs" dxfId="1" priority="3088" operator="equal">
      <formula>0</formula>
    </cfRule>
  </conditionalFormatting>
  <conditionalFormatting sqref="I1398">
    <cfRule type="cellIs" dxfId="1" priority="3097" operator="equal">
      <formula>0</formula>
    </cfRule>
  </conditionalFormatting>
  <conditionalFormatting sqref="I1527">
    <cfRule type="expression" dxfId="0" priority="3326">
      <formula>I1528=0</formula>
    </cfRule>
  </conditionalFormatting>
  <conditionalFormatting sqref="I1528">
    <cfRule type="cellIs" dxfId="1" priority="3335" operator="equal">
      <formula>0</formula>
    </cfRule>
  </conditionalFormatting>
  <conditionalFormatting sqref="I1533">
    <cfRule type="cellIs" dxfId="1" priority="3356" operator="equal">
      <formula>0</formula>
    </cfRule>
  </conditionalFormatting>
  <conditionalFormatting sqref="I1535">
    <cfRule type="cellIs" dxfId="1" priority="3364" operator="equal">
      <formula>0</formula>
    </cfRule>
  </conditionalFormatting>
  <conditionalFormatting sqref="I1538">
    <cfRule type="cellIs" dxfId="1" priority="3378" operator="equal">
      <formula>0</formula>
    </cfRule>
  </conditionalFormatting>
  <conditionalFormatting sqref="I1542">
    <cfRule type="expression" dxfId="0" priority="3392">
      <formula>I1543=0</formula>
    </cfRule>
  </conditionalFormatting>
  <conditionalFormatting sqref="I1543">
    <cfRule type="cellIs" dxfId="1" priority="3399" operator="equal">
      <formula>0</formula>
    </cfRule>
  </conditionalFormatting>
  <conditionalFormatting sqref="I1551">
    <cfRule type="cellIs" dxfId="1" priority="3409" operator="equal">
      <formula>0</formula>
    </cfRule>
  </conditionalFormatting>
  <conditionalFormatting sqref="I1554">
    <cfRule type="cellIs" dxfId="1" priority="3414" operator="equal">
      <formula>0</formula>
    </cfRule>
  </conditionalFormatting>
  <conditionalFormatting sqref="I160">
    <cfRule type="expression" dxfId="0" priority="310">
      <formula>I161=0</formula>
    </cfRule>
  </conditionalFormatting>
  <conditionalFormatting sqref="I1605">
    <cfRule type="expression" dxfId="0" priority="3493">
      <formula>I1606=0</formula>
    </cfRule>
  </conditionalFormatting>
  <conditionalFormatting sqref="I1606">
    <cfRule type="cellIs" dxfId="1" priority="3500" operator="equal">
      <formula>0</formula>
    </cfRule>
  </conditionalFormatting>
  <conditionalFormatting sqref="I1609">
    <cfRule type="cellIs" dxfId="1" priority="3513" operator="equal">
      <formula>0</formula>
    </cfRule>
  </conditionalFormatting>
  <conditionalFormatting sqref="I161">
    <cfRule type="cellIs" dxfId="1" priority="319" operator="equal">
      <formula>0</formula>
    </cfRule>
  </conditionalFormatting>
  <conditionalFormatting sqref="I167">
    <cfRule type="cellIs" dxfId="1" priority="333" operator="equal">
      <formula>0</formula>
    </cfRule>
  </conditionalFormatting>
  <conditionalFormatting sqref="I170">
    <cfRule type="cellIs" dxfId="1" priority="337" operator="equal">
      <formula>0</formula>
    </cfRule>
  </conditionalFormatting>
  <conditionalFormatting sqref="I192">
    <cfRule type="expression" dxfId="0" priority="365">
      <formula>I193=0</formula>
    </cfRule>
  </conditionalFormatting>
  <conditionalFormatting sqref="I193">
    <cfRule type="cellIs" dxfId="1" priority="376" operator="equal">
      <formula>0</formula>
    </cfRule>
  </conditionalFormatting>
  <conditionalFormatting sqref="I196">
    <cfRule type="cellIs" dxfId="1" priority="392" operator="equal">
      <formula>0</formula>
    </cfRule>
  </conditionalFormatting>
  <conditionalFormatting sqref="I200">
    <cfRule type="cellIs" dxfId="1" priority="412" operator="equal">
      <formula>0</formula>
    </cfRule>
  </conditionalFormatting>
  <conditionalFormatting sqref="I205">
    <cfRule type="cellIs" dxfId="1" priority="433" operator="equal">
      <formula>0</formula>
    </cfRule>
  </conditionalFormatting>
  <conditionalFormatting sqref="I207">
    <cfRule type="cellIs" dxfId="1" priority="441" operator="equal">
      <formula>0</formula>
    </cfRule>
  </conditionalFormatting>
  <conditionalFormatting sqref="I208">
    <cfRule type="cellIs" dxfId="1" priority="447" operator="equal">
      <formula>0</formula>
    </cfRule>
  </conditionalFormatting>
  <conditionalFormatting sqref="I210">
    <cfRule type="cellIs" dxfId="1" priority="452" operator="equal">
      <formula>0</formula>
    </cfRule>
  </conditionalFormatting>
  <conditionalFormatting sqref="I211">
    <cfRule type="cellIs" dxfId="1" priority="454" operator="equal">
      <formula>0</formula>
    </cfRule>
  </conditionalFormatting>
  <conditionalFormatting sqref="I282">
    <cfRule type="expression" dxfId="0" priority="556">
      <formula>I283=0</formula>
    </cfRule>
  </conditionalFormatting>
  <conditionalFormatting sqref="I283">
    <cfRule type="cellIs" dxfId="1" priority="564" operator="equal">
      <formula>0</formula>
    </cfRule>
  </conditionalFormatting>
  <conditionalFormatting sqref="I284">
    <cfRule type="cellIs" dxfId="1" priority="570" operator="equal">
      <formula>0</formula>
    </cfRule>
  </conditionalFormatting>
  <conditionalFormatting sqref="I309">
    <cfRule type="expression" dxfId="0" priority="672">
      <formula>I310=0</formula>
    </cfRule>
  </conditionalFormatting>
  <conditionalFormatting sqref="I310">
    <cfRule type="cellIs" dxfId="1" priority="680" operator="equal">
      <formula>0</formula>
    </cfRule>
  </conditionalFormatting>
  <conditionalFormatting sqref="I320">
    <cfRule type="cellIs" dxfId="1" priority="701" operator="equal">
      <formula>0</formula>
    </cfRule>
  </conditionalFormatting>
  <conditionalFormatting sqref="I324">
    <cfRule type="cellIs" dxfId="1" priority="709" operator="equal">
      <formula>0</formula>
    </cfRule>
  </conditionalFormatting>
  <conditionalFormatting sqref="I330">
    <cfRule type="cellIs" dxfId="1" priority="720" operator="equal">
      <formula>0</formula>
    </cfRule>
  </conditionalFormatting>
  <conditionalFormatting sqref="I334">
    <cfRule type="cellIs" dxfId="1" priority="728" operator="equal">
      <formula>0</formula>
    </cfRule>
  </conditionalFormatting>
  <conditionalFormatting sqref="I369">
    <cfRule type="expression" dxfId="0" priority="768">
      <formula>I370=0</formula>
    </cfRule>
  </conditionalFormatting>
  <conditionalFormatting sqref="I370">
    <cfRule type="cellIs" dxfId="1" priority="775" operator="equal">
      <formula>0</formula>
    </cfRule>
  </conditionalFormatting>
  <conditionalFormatting sqref="I372">
    <cfRule type="cellIs" dxfId="1" priority="785" operator="equal">
      <formula>0</formula>
    </cfRule>
  </conditionalFormatting>
  <conditionalFormatting sqref="I399">
    <cfRule type="expression" dxfId="0" priority="825">
      <formula>I400=0</formula>
    </cfRule>
  </conditionalFormatting>
  <conditionalFormatting sqref="I400">
    <cfRule type="cellIs" dxfId="1" priority="834" operator="equal">
      <formula>0</formula>
    </cfRule>
  </conditionalFormatting>
  <conditionalFormatting sqref="I408">
    <cfRule type="cellIs" dxfId="1" priority="867" operator="equal">
      <formula>0</formula>
    </cfRule>
  </conditionalFormatting>
  <conditionalFormatting sqref="I441">
    <cfRule type="expression" dxfId="0" priority="920">
      <formula>I442=0</formula>
    </cfRule>
  </conditionalFormatting>
  <conditionalFormatting sqref="I442">
    <cfRule type="cellIs" dxfId="1" priority="929" operator="equal">
      <formula>0</formula>
    </cfRule>
  </conditionalFormatting>
  <conditionalFormatting sqref="I444">
    <cfRule type="cellIs" dxfId="1" priority="938" operator="equal">
      <formula>0</formula>
    </cfRule>
  </conditionalFormatting>
  <conditionalFormatting sqref="I522">
    <cfRule type="expression" dxfId="0" priority="1062">
      <formula>I523=0</formula>
    </cfRule>
  </conditionalFormatting>
  <conditionalFormatting sqref="I523">
    <cfRule type="cellIs" dxfId="1" priority="1073" operator="equal">
      <formula>0</formula>
    </cfRule>
  </conditionalFormatting>
  <conditionalFormatting sqref="I525">
    <cfRule type="cellIs" dxfId="1" priority="1086" operator="equal">
      <formula>0</formula>
    </cfRule>
  </conditionalFormatting>
  <conditionalFormatting sqref="I550">
    <cfRule type="expression" dxfId="0" priority="1186">
      <formula>I551=0</formula>
    </cfRule>
  </conditionalFormatting>
  <conditionalFormatting sqref="I551">
    <cfRule type="cellIs" dxfId="1" priority="1196" operator="equal">
      <formula>0</formula>
    </cfRule>
  </conditionalFormatting>
  <conditionalFormatting sqref="I556">
    <cfRule type="cellIs" dxfId="1" priority="1209" operator="equal">
      <formula>0</formula>
    </cfRule>
  </conditionalFormatting>
  <conditionalFormatting sqref="I612">
    <cfRule type="expression" dxfId="0" priority="1292">
      <formula>I613=0</formula>
    </cfRule>
  </conditionalFormatting>
  <conditionalFormatting sqref="I613">
    <cfRule type="cellIs" dxfId="1" priority="1301" operator="equal">
      <formula>0</formula>
    </cfRule>
  </conditionalFormatting>
  <conditionalFormatting sqref="I618">
    <cfRule type="cellIs" dxfId="1" priority="1319" operator="equal">
      <formula>0</formula>
    </cfRule>
  </conditionalFormatting>
  <conditionalFormatting sqref="I664">
    <cfRule type="expression" dxfId="0" priority="1426">
      <formula>I665=0</formula>
    </cfRule>
  </conditionalFormatting>
  <conditionalFormatting sqref="I665">
    <cfRule type="cellIs" dxfId="1" priority="1434" operator="equal">
      <formula>0</formula>
    </cfRule>
  </conditionalFormatting>
  <conditionalFormatting sqref="I673">
    <cfRule type="cellIs" dxfId="1" priority="1449" operator="equal">
      <formula>0</formula>
    </cfRule>
  </conditionalFormatting>
  <conditionalFormatting sqref="I696">
    <cfRule type="expression" dxfId="0" priority="1479">
      <formula>I697=0</formula>
    </cfRule>
  </conditionalFormatting>
  <conditionalFormatting sqref="I697">
    <cfRule type="cellIs" dxfId="1" priority="1486" operator="equal">
      <formula>0</formula>
    </cfRule>
  </conditionalFormatting>
  <conditionalFormatting sqref="I698">
    <cfRule type="cellIs" dxfId="1" priority="1491" operator="equal">
      <formula>0</formula>
    </cfRule>
  </conditionalFormatting>
  <conditionalFormatting sqref="I723">
    <cfRule type="expression" dxfId="0" priority="1534">
      <formula>I724=0</formula>
    </cfRule>
  </conditionalFormatting>
  <conditionalFormatting sqref="I724">
    <cfRule type="cellIs" dxfId="1" priority="1541" operator="equal">
      <formula>0</formula>
    </cfRule>
  </conditionalFormatting>
  <conditionalFormatting sqref="I726">
    <cfRule type="cellIs" dxfId="1" priority="1549" operator="equal">
      <formula>0</formula>
    </cfRule>
  </conditionalFormatting>
  <conditionalFormatting sqref="I75">
    <cfRule type="expression" dxfId="0" priority="85">
      <formula>I76=0</formula>
    </cfRule>
  </conditionalFormatting>
  <conditionalFormatting sqref="I750">
    <cfRule type="expression" dxfId="0" priority="1593">
      <formula>I751=0</formula>
    </cfRule>
  </conditionalFormatting>
  <conditionalFormatting sqref="I751">
    <cfRule type="cellIs" dxfId="1" priority="1600" operator="equal">
      <formula>0</formula>
    </cfRule>
  </conditionalFormatting>
  <conditionalFormatting sqref="I752">
    <cfRule type="cellIs" dxfId="1" priority="1605" operator="equal">
      <formula>0</formula>
    </cfRule>
  </conditionalFormatting>
  <conditionalFormatting sqref="I76">
    <cfRule type="cellIs" dxfId="1" priority="95" operator="equal">
      <formula>0</formula>
    </cfRule>
  </conditionalFormatting>
  <conditionalFormatting sqref="I77">
    <cfRule type="cellIs" dxfId="1" priority="102" operator="equal">
      <formula>0</formula>
    </cfRule>
  </conditionalFormatting>
  <conditionalFormatting sqref="I771">
    <cfRule type="expression" dxfId="0" priority="1632">
      <formula>I772=0</formula>
    </cfRule>
  </conditionalFormatting>
  <conditionalFormatting sqref="I772">
    <cfRule type="cellIs" dxfId="1" priority="1643" operator="equal">
      <formula>0</formula>
    </cfRule>
  </conditionalFormatting>
  <conditionalFormatting sqref="I782">
    <cfRule type="cellIs" dxfId="1" priority="1693" operator="equal">
      <formula>0</formula>
    </cfRule>
  </conditionalFormatting>
  <conditionalFormatting sqref="I784">
    <cfRule type="cellIs" dxfId="1" priority="1702" operator="equal">
      <formula>0</formula>
    </cfRule>
  </conditionalFormatting>
  <conditionalFormatting sqref="I789">
    <cfRule type="cellIs" dxfId="1" priority="1724" operator="equal">
      <formula>0</formula>
    </cfRule>
  </conditionalFormatting>
  <conditionalFormatting sqref="I79">
    <cfRule type="cellIs" dxfId="1" priority="111" operator="equal">
      <formula>0</formula>
    </cfRule>
  </conditionalFormatting>
  <conditionalFormatting sqref="I790">
    <cfRule type="cellIs" dxfId="1" priority="1729" operator="equal">
      <formula>0</formula>
    </cfRule>
  </conditionalFormatting>
  <conditionalFormatting sqref="I792">
    <cfRule type="cellIs" dxfId="1" priority="1736" operator="equal">
      <formula>0</formula>
    </cfRule>
  </conditionalFormatting>
  <conditionalFormatting sqref="I794">
    <cfRule type="expression" dxfId="0" priority="1745">
      <formula>I795=0</formula>
    </cfRule>
  </conditionalFormatting>
  <conditionalFormatting sqref="I795">
    <cfRule type="cellIs" dxfId="1" priority="1752" operator="equal">
      <formula>0</formula>
    </cfRule>
  </conditionalFormatting>
  <conditionalFormatting sqref="I806">
    <cfRule type="cellIs" dxfId="1" priority="1770" operator="equal">
      <formula>0</formula>
    </cfRule>
  </conditionalFormatting>
  <conditionalFormatting sqref="I815">
    <cfRule type="cellIs" dxfId="1" priority="1784" operator="equal">
      <formula>0</formula>
    </cfRule>
  </conditionalFormatting>
  <conditionalFormatting sqref="I846">
    <cfRule type="expression" dxfId="0" priority="1817">
      <formula>I847=0</formula>
    </cfRule>
  </conditionalFormatting>
  <conditionalFormatting sqref="I847">
    <cfRule type="cellIs" dxfId="1" priority="1828" operator="equal">
      <formula>0</formula>
    </cfRule>
  </conditionalFormatting>
  <conditionalFormatting sqref="I851">
    <cfRule type="cellIs" dxfId="1" priority="1849" operator="equal">
      <formula>0</formula>
    </cfRule>
  </conditionalFormatting>
  <conditionalFormatting sqref="I854">
    <cfRule type="cellIs" dxfId="1" priority="1859" operator="equal">
      <formula>0</formula>
    </cfRule>
  </conditionalFormatting>
  <conditionalFormatting sqref="I882">
    <cfRule type="expression" dxfId="0" priority="1908">
      <formula>I883=0</formula>
    </cfRule>
  </conditionalFormatting>
  <conditionalFormatting sqref="I883">
    <cfRule type="cellIs" dxfId="1" priority="1917" operator="equal">
      <formula>0</formula>
    </cfRule>
  </conditionalFormatting>
  <conditionalFormatting sqref="I889">
    <cfRule type="cellIs" dxfId="1" priority="1944" operator="equal">
      <formula>0</formula>
    </cfRule>
  </conditionalFormatting>
  <conditionalFormatting sqref="I891">
    <cfRule type="expression" dxfId="0" priority="1952">
      <formula>I892=0</formula>
    </cfRule>
  </conditionalFormatting>
  <conditionalFormatting sqref="I892">
    <cfRule type="cellIs" dxfId="1" priority="1959" operator="equal">
      <formula>0</formula>
    </cfRule>
  </conditionalFormatting>
  <conditionalFormatting sqref="I898">
    <cfRule type="cellIs" dxfId="1" priority="1970" operator="equal">
      <formula>0</formula>
    </cfRule>
  </conditionalFormatting>
  <conditionalFormatting sqref="I948">
    <cfRule type="expression" dxfId="0" priority="2048">
      <formula>I949=0</formula>
    </cfRule>
  </conditionalFormatting>
  <conditionalFormatting sqref="I949">
    <cfRule type="cellIs" dxfId="1" priority="2056" operator="equal">
      <formula>0</formula>
    </cfRule>
  </conditionalFormatting>
  <conditionalFormatting sqref="I951">
    <cfRule type="cellIs" dxfId="1" priority="2065" operator="equal">
      <formula>0</formula>
    </cfRule>
  </conditionalFormatting>
  <conditionalFormatting sqref="J1085">
    <cfRule type="expression" dxfId="0" priority="2376">
      <formula>J1086=0</formula>
    </cfRule>
  </conditionalFormatting>
  <conditionalFormatting sqref="J1086">
    <cfRule type="cellIs" dxfId="1" priority="2385" operator="equal">
      <formula>0</formula>
    </cfRule>
  </conditionalFormatting>
  <conditionalFormatting sqref="J1093">
    <cfRule type="cellIs" dxfId="1" priority="2400" operator="equal">
      <formula>0</formula>
    </cfRule>
  </conditionalFormatting>
  <conditionalFormatting sqref="J1131">
    <cfRule type="expression" dxfId="0" priority="2451">
      <formula>J1132=0</formula>
    </cfRule>
  </conditionalFormatting>
  <conditionalFormatting sqref="J1132">
    <cfRule type="cellIs" dxfId="1" priority="2460" operator="equal">
      <formula>0</formula>
    </cfRule>
  </conditionalFormatting>
  <conditionalFormatting sqref="J1137">
    <cfRule type="cellIs" dxfId="1" priority="2485" operator="equal">
      <formula>0</formula>
    </cfRule>
  </conditionalFormatting>
  <conditionalFormatting sqref="J1281">
    <cfRule type="expression" dxfId="0" priority="2814">
      <formula>J1282=0</formula>
    </cfRule>
  </conditionalFormatting>
  <conditionalFormatting sqref="J1282">
    <cfRule type="cellIs" dxfId="1" priority="2822" operator="equal">
      <formula>0</formula>
    </cfRule>
  </conditionalFormatting>
  <conditionalFormatting sqref="J1296">
    <cfRule type="cellIs" dxfId="1" priority="2850" operator="equal">
      <formula>0</formula>
    </cfRule>
  </conditionalFormatting>
  <conditionalFormatting sqref="J1323">
    <cfRule type="expression" dxfId="0" priority="2881">
      <formula>J1324=0</formula>
    </cfRule>
  </conditionalFormatting>
  <conditionalFormatting sqref="J1324">
    <cfRule type="cellIs" dxfId="1" priority="2891" operator="equal">
      <formula>0</formula>
    </cfRule>
  </conditionalFormatting>
  <conditionalFormatting sqref="J1327">
    <cfRule type="cellIs" dxfId="1" priority="2907" operator="equal">
      <formula>0</formula>
    </cfRule>
  </conditionalFormatting>
  <conditionalFormatting sqref="J1333">
    <cfRule type="cellIs" dxfId="1" priority="2933" operator="equal">
      <formula>0</formula>
    </cfRule>
  </conditionalFormatting>
  <conditionalFormatting sqref="J1337">
    <cfRule type="cellIs" dxfId="1" priority="2953" operator="equal">
      <formula>0</formula>
    </cfRule>
  </conditionalFormatting>
  <conditionalFormatting sqref="J1338">
    <cfRule type="cellIs" dxfId="1" priority="2959" operator="equal">
      <formula>0</formula>
    </cfRule>
  </conditionalFormatting>
  <conditionalFormatting sqref="J1339">
    <cfRule type="cellIs" dxfId="1" priority="2963" operator="equal">
      <formula>0</formula>
    </cfRule>
  </conditionalFormatting>
  <conditionalFormatting sqref="J1341">
    <cfRule type="cellIs" dxfId="1" priority="2971" operator="equal">
      <formula>0</formula>
    </cfRule>
  </conditionalFormatting>
  <conditionalFormatting sqref="J1389">
    <cfRule type="expression" dxfId="0" priority="3055">
      <formula>J1390=0</formula>
    </cfRule>
  </conditionalFormatting>
  <conditionalFormatting sqref="J1390">
    <cfRule type="cellIs" dxfId="1" priority="3064" operator="equal">
      <formula>0</formula>
    </cfRule>
  </conditionalFormatting>
  <conditionalFormatting sqref="J1392">
    <cfRule type="cellIs" dxfId="1" priority="3071" operator="equal">
      <formula>0</formula>
    </cfRule>
  </conditionalFormatting>
  <conditionalFormatting sqref="J1402">
    <cfRule type="cellIs" dxfId="1" priority="3113" operator="equal">
      <formula>0</formula>
    </cfRule>
  </conditionalFormatting>
  <conditionalFormatting sqref="J1527">
    <cfRule type="expression" dxfId="0" priority="3327">
      <formula>J1528=0</formula>
    </cfRule>
  </conditionalFormatting>
  <conditionalFormatting sqref="J1528">
    <cfRule type="cellIs" dxfId="1" priority="3336" operator="equal">
      <formula>0</formula>
    </cfRule>
  </conditionalFormatting>
  <conditionalFormatting sqref="J1532">
    <cfRule type="cellIs" dxfId="1" priority="3352" operator="equal">
      <formula>0</formula>
    </cfRule>
  </conditionalFormatting>
  <conditionalFormatting sqref="J1536">
    <cfRule type="cellIs" dxfId="1" priority="3369" operator="equal">
      <formula>0</formula>
    </cfRule>
  </conditionalFormatting>
  <conditionalFormatting sqref="J160">
    <cfRule type="expression" dxfId="0" priority="311">
      <formula>J161=0</formula>
    </cfRule>
  </conditionalFormatting>
  <conditionalFormatting sqref="J161">
    <cfRule type="cellIs" dxfId="1" priority="320" operator="equal">
      <formula>0</formula>
    </cfRule>
  </conditionalFormatting>
  <conditionalFormatting sqref="J168">
    <cfRule type="cellIs" dxfId="1" priority="334" operator="equal">
      <formula>0</formula>
    </cfRule>
  </conditionalFormatting>
  <conditionalFormatting sqref="J192">
    <cfRule type="expression" dxfId="0" priority="366">
      <formula>J193=0</formula>
    </cfRule>
  </conditionalFormatting>
  <conditionalFormatting sqref="J193">
    <cfRule type="cellIs" dxfId="1" priority="377" operator="equal">
      <formula>0</formula>
    </cfRule>
  </conditionalFormatting>
  <conditionalFormatting sqref="J198">
    <cfRule type="cellIs" dxfId="1" priority="402" operator="equal">
      <formula>0</formula>
    </cfRule>
  </conditionalFormatting>
  <conditionalFormatting sqref="J199">
    <cfRule type="cellIs" dxfId="1" priority="405" operator="equal">
      <formula>0</formula>
    </cfRule>
  </conditionalFormatting>
  <conditionalFormatting sqref="J203">
    <cfRule type="cellIs" dxfId="1" priority="424" operator="equal">
      <formula>0</formula>
    </cfRule>
  </conditionalFormatting>
  <conditionalFormatting sqref="J204">
    <cfRule type="cellIs" dxfId="1" priority="429" operator="equal">
      <formula>0</formula>
    </cfRule>
  </conditionalFormatting>
  <conditionalFormatting sqref="J207">
    <cfRule type="cellIs" dxfId="1" priority="442" operator="equal">
      <formula>0</formula>
    </cfRule>
  </conditionalFormatting>
  <conditionalFormatting sqref="J211">
    <cfRule type="cellIs" dxfId="1" priority="455" operator="equal">
      <formula>0</formula>
    </cfRule>
  </conditionalFormatting>
  <conditionalFormatting sqref="J282">
    <cfRule type="expression" dxfId="0" priority="557">
      <formula>J283=0</formula>
    </cfRule>
  </conditionalFormatting>
  <conditionalFormatting sqref="J283">
    <cfRule type="cellIs" dxfId="1" priority="565" operator="equal">
      <formula>0</formula>
    </cfRule>
  </conditionalFormatting>
  <conditionalFormatting sqref="J284">
    <cfRule type="cellIs" dxfId="1" priority="571" operator="equal">
      <formula>0</formula>
    </cfRule>
  </conditionalFormatting>
  <conditionalFormatting sqref="J309">
    <cfRule type="expression" dxfId="0" priority="673">
      <formula>J310=0</formula>
    </cfRule>
  </conditionalFormatting>
  <conditionalFormatting sqref="J310">
    <cfRule type="cellIs" dxfId="1" priority="681" operator="equal">
      <formula>0</formula>
    </cfRule>
  </conditionalFormatting>
  <conditionalFormatting sqref="J325">
    <cfRule type="cellIs" dxfId="1" priority="710" operator="equal">
      <formula>0</formula>
    </cfRule>
  </conditionalFormatting>
  <conditionalFormatting sqref="J327">
    <cfRule type="cellIs" dxfId="1" priority="714" operator="equal">
      <formula>0</formula>
    </cfRule>
  </conditionalFormatting>
  <conditionalFormatting sqref="J333">
    <cfRule type="cellIs" dxfId="1" priority="726" operator="equal">
      <formula>0</formula>
    </cfRule>
  </conditionalFormatting>
  <conditionalFormatting sqref="J399">
    <cfRule type="expression" dxfId="0" priority="826">
      <formula>J400=0</formula>
    </cfRule>
  </conditionalFormatting>
  <conditionalFormatting sqref="J400">
    <cfRule type="cellIs" dxfId="1" priority="835" operator="equal">
      <formula>0</formula>
    </cfRule>
  </conditionalFormatting>
  <conditionalFormatting sqref="J408">
    <cfRule type="cellIs" dxfId="1" priority="868" operator="equal">
      <formula>0</formula>
    </cfRule>
  </conditionalFormatting>
  <conditionalFormatting sqref="J441">
    <cfRule type="expression" dxfId="0" priority="921">
      <formula>J442=0</formula>
    </cfRule>
  </conditionalFormatting>
  <conditionalFormatting sqref="J442">
    <cfRule type="cellIs" dxfId="1" priority="930" operator="equal">
      <formula>0</formula>
    </cfRule>
  </conditionalFormatting>
  <conditionalFormatting sqref="J444">
    <cfRule type="cellIs" dxfId="1" priority="939" operator="equal">
      <formula>0</formula>
    </cfRule>
  </conditionalFormatting>
  <conditionalFormatting sqref="J522">
    <cfRule type="expression" dxfId="0" priority="1063">
      <formula>J523=0</formula>
    </cfRule>
  </conditionalFormatting>
  <conditionalFormatting sqref="J523">
    <cfRule type="cellIs" dxfId="1" priority="1074" operator="equal">
      <formula>0</formula>
    </cfRule>
  </conditionalFormatting>
  <conditionalFormatting sqref="J548">
    <cfRule type="cellIs" dxfId="1" priority="1179" operator="equal">
      <formula>0</formula>
    </cfRule>
  </conditionalFormatting>
  <conditionalFormatting sqref="J550">
    <cfRule type="expression" dxfId="0" priority="1187">
      <formula>J551=0</formula>
    </cfRule>
  </conditionalFormatting>
  <conditionalFormatting sqref="J551">
    <cfRule type="cellIs" dxfId="1" priority="1197" operator="equal">
      <formula>0</formula>
    </cfRule>
  </conditionalFormatting>
  <conditionalFormatting sqref="J561">
    <cfRule type="cellIs" dxfId="1" priority="1219" operator="equal">
      <formula>0</formula>
    </cfRule>
  </conditionalFormatting>
  <conditionalFormatting sqref="J565">
    <cfRule type="cellIs" dxfId="1" priority="1226" operator="equal">
      <formula>0</formula>
    </cfRule>
  </conditionalFormatting>
  <conditionalFormatting sqref="J566">
    <cfRule type="cellIs" dxfId="1" priority="1228" operator="equal">
      <formula>0</formula>
    </cfRule>
  </conditionalFormatting>
  <conditionalFormatting sqref="J612">
    <cfRule type="expression" dxfId="0" priority="1293">
      <formula>J613=0</formula>
    </cfRule>
  </conditionalFormatting>
  <conditionalFormatting sqref="J613">
    <cfRule type="cellIs" dxfId="1" priority="1302" operator="equal">
      <formula>0</formula>
    </cfRule>
  </conditionalFormatting>
  <conditionalFormatting sqref="J618">
    <cfRule type="cellIs" dxfId="1" priority="1320" operator="equal">
      <formula>0</formula>
    </cfRule>
  </conditionalFormatting>
  <conditionalFormatting sqref="J664">
    <cfRule type="expression" dxfId="0" priority="1427">
      <formula>J665=0</formula>
    </cfRule>
  </conditionalFormatting>
  <conditionalFormatting sqref="J665">
    <cfRule type="cellIs" dxfId="1" priority="1435" operator="equal">
      <formula>0</formula>
    </cfRule>
  </conditionalFormatting>
  <conditionalFormatting sqref="J674">
    <cfRule type="cellIs" dxfId="1" priority="1451" operator="equal">
      <formula>0</formula>
    </cfRule>
  </conditionalFormatting>
  <conditionalFormatting sqref="J75">
    <cfRule type="expression" dxfId="0" priority="86">
      <formula>J76=0</formula>
    </cfRule>
  </conditionalFormatting>
  <conditionalFormatting sqref="J76">
    <cfRule type="cellIs" dxfId="1" priority="96" operator="equal">
      <formula>0</formula>
    </cfRule>
  </conditionalFormatting>
  <conditionalFormatting sqref="J771">
    <cfRule type="expression" dxfId="0" priority="1633">
      <formula>J772=0</formula>
    </cfRule>
  </conditionalFormatting>
  <conditionalFormatting sqref="J772">
    <cfRule type="cellIs" dxfId="1" priority="1644" operator="equal">
      <formula>0</formula>
    </cfRule>
  </conditionalFormatting>
  <conditionalFormatting sqref="J775">
    <cfRule type="cellIs" dxfId="1" priority="1660" operator="equal">
      <formula>0</formula>
    </cfRule>
  </conditionalFormatting>
  <conditionalFormatting sqref="J776">
    <cfRule type="cellIs" dxfId="1" priority="1664" operator="equal">
      <formula>0</formula>
    </cfRule>
  </conditionalFormatting>
  <conditionalFormatting sqref="J777">
    <cfRule type="cellIs" dxfId="1" priority="1671" operator="equal">
      <formula>0</formula>
    </cfRule>
  </conditionalFormatting>
  <conditionalFormatting sqref="J781">
    <cfRule type="cellIs" dxfId="1" priority="1689" operator="equal">
      <formula>0</formula>
    </cfRule>
  </conditionalFormatting>
  <conditionalFormatting sqref="J788">
    <cfRule type="cellIs" dxfId="1" priority="1719" operator="equal">
      <formula>0</formula>
    </cfRule>
  </conditionalFormatting>
  <conditionalFormatting sqref="J80">
    <cfRule type="cellIs" dxfId="1" priority="117" operator="equal">
      <formula>0</formula>
    </cfRule>
  </conditionalFormatting>
  <conditionalFormatting sqref="J82">
    <cfRule type="cellIs" dxfId="1" priority="128" operator="equal">
      <formula>0</formula>
    </cfRule>
  </conditionalFormatting>
  <conditionalFormatting sqref="J846">
    <cfRule type="expression" dxfId="0" priority="1818">
      <formula>J847=0</formula>
    </cfRule>
  </conditionalFormatting>
  <conditionalFormatting sqref="J847">
    <cfRule type="cellIs" dxfId="1" priority="1829" operator="equal">
      <formula>0</formula>
    </cfRule>
  </conditionalFormatting>
  <conditionalFormatting sqref="J850">
    <cfRule type="cellIs" dxfId="1" priority="1843" operator="equal">
      <formula>0</formula>
    </cfRule>
  </conditionalFormatting>
  <conditionalFormatting sqref="J882">
    <cfRule type="expression" dxfId="0" priority="1909">
      <formula>J883=0</formula>
    </cfRule>
  </conditionalFormatting>
  <conditionalFormatting sqref="J883">
    <cfRule type="cellIs" dxfId="1" priority="1918" operator="equal">
      <formula>0</formula>
    </cfRule>
  </conditionalFormatting>
  <conditionalFormatting sqref="J889">
    <cfRule type="cellIs" dxfId="1" priority="1945" operator="equal">
      <formula>0</formula>
    </cfRule>
  </conditionalFormatting>
  <conditionalFormatting sqref="J948">
    <cfRule type="expression" dxfId="0" priority="2049">
      <formula>J949=0</formula>
    </cfRule>
  </conditionalFormatting>
  <conditionalFormatting sqref="J949">
    <cfRule type="cellIs" dxfId="1" priority="2057" operator="equal">
      <formula>0</formula>
    </cfRule>
  </conditionalFormatting>
  <conditionalFormatting sqref="J951">
    <cfRule type="cellIs" dxfId="1" priority="2066" operator="equal">
      <formula>0</formula>
    </cfRule>
  </conditionalFormatting>
  <conditionalFormatting sqref="K1085">
    <cfRule type="expression" dxfId="0" priority="2377">
      <formula>K1086=0</formula>
    </cfRule>
  </conditionalFormatting>
  <conditionalFormatting sqref="K1086">
    <cfRule type="cellIs" dxfId="1" priority="2386" operator="equal">
      <formula>0</formula>
    </cfRule>
  </conditionalFormatting>
  <conditionalFormatting sqref="K1097">
    <cfRule type="cellIs" dxfId="1" priority="2407" operator="equal">
      <formula>0</formula>
    </cfRule>
  </conditionalFormatting>
  <conditionalFormatting sqref="K1098">
    <cfRule type="cellIs" dxfId="1" priority="2409" operator="equal">
      <formula>0</formula>
    </cfRule>
  </conditionalFormatting>
  <conditionalFormatting sqref="K1131">
    <cfRule type="expression" dxfId="0" priority="2452">
      <formula>K1132=0</formula>
    </cfRule>
  </conditionalFormatting>
  <conditionalFormatting sqref="K1132">
    <cfRule type="cellIs" dxfId="1" priority="2461" operator="equal">
      <formula>0</formula>
    </cfRule>
  </conditionalFormatting>
  <conditionalFormatting sqref="K1139">
    <cfRule type="cellIs" dxfId="1" priority="2493" operator="equal">
      <formula>0</formula>
    </cfRule>
  </conditionalFormatting>
  <conditionalFormatting sqref="K1323">
    <cfRule type="expression" dxfId="0" priority="2882">
      <formula>K1324=0</formula>
    </cfRule>
  </conditionalFormatting>
  <conditionalFormatting sqref="K1324">
    <cfRule type="cellIs" dxfId="1" priority="2892" operator="equal">
      <formula>0</formula>
    </cfRule>
  </conditionalFormatting>
  <conditionalFormatting sqref="K1326">
    <cfRule type="cellIs" dxfId="1" priority="2902" operator="equal">
      <formula>0</formula>
    </cfRule>
  </conditionalFormatting>
  <conditionalFormatting sqref="K1334">
    <cfRule type="cellIs" dxfId="1" priority="2938" operator="equal">
      <formula>0</formula>
    </cfRule>
  </conditionalFormatting>
  <conditionalFormatting sqref="K1335">
    <cfRule type="cellIs" dxfId="1" priority="2943" operator="equal">
      <formula>0</formula>
    </cfRule>
  </conditionalFormatting>
  <conditionalFormatting sqref="K1340">
    <cfRule type="cellIs" dxfId="1" priority="2966" operator="equal">
      <formula>0</formula>
    </cfRule>
  </conditionalFormatting>
  <conditionalFormatting sqref="K1389">
    <cfRule type="expression" dxfId="0" priority="3056">
      <formula>K1390=0</formula>
    </cfRule>
  </conditionalFormatting>
  <conditionalFormatting sqref="K1390">
    <cfRule type="cellIs" dxfId="1" priority="3065" operator="equal">
      <formula>0</formula>
    </cfRule>
  </conditionalFormatting>
  <conditionalFormatting sqref="K1395">
    <cfRule type="cellIs" dxfId="1" priority="3083" operator="equal">
      <formula>0</formula>
    </cfRule>
  </conditionalFormatting>
  <conditionalFormatting sqref="K1400">
    <cfRule type="cellIs" dxfId="1" priority="3105" operator="equal">
      <formula>0</formula>
    </cfRule>
  </conditionalFormatting>
  <conditionalFormatting sqref="K1527">
    <cfRule type="expression" dxfId="0" priority="3328">
      <formula>K1528=0</formula>
    </cfRule>
  </conditionalFormatting>
  <conditionalFormatting sqref="K1528">
    <cfRule type="cellIs" dxfId="1" priority="3337" operator="equal">
      <formula>0</formula>
    </cfRule>
  </conditionalFormatting>
  <conditionalFormatting sqref="K1530">
    <cfRule type="cellIs" dxfId="1" priority="3345" operator="equal">
      <formula>0</formula>
    </cfRule>
  </conditionalFormatting>
  <conditionalFormatting sqref="K1540">
    <cfRule type="cellIs" dxfId="1" priority="3385" operator="equal">
      <formula>0</formula>
    </cfRule>
  </conditionalFormatting>
  <conditionalFormatting sqref="K160">
    <cfRule type="expression" dxfId="0" priority="312">
      <formula>K161=0</formula>
    </cfRule>
  </conditionalFormatting>
  <conditionalFormatting sqref="K161">
    <cfRule type="cellIs" dxfId="1" priority="321" operator="equal">
      <formula>0</formula>
    </cfRule>
  </conditionalFormatting>
  <conditionalFormatting sqref="K169">
    <cfRule type="cellIs" dxfId="1" priority="335" operator="equal">
      <formula>0</formula>
    </cfRule>
  </conditionalFormatting>
  <conditionalFormatting sqref="K192">
    <cfRule type="expression" dxfId="0" priority="367">
      <formula>K193=0</formula>
    </cfRule>
  </conditionalFormatting>
  <conditionalFormatting sqref="K193">
    <cfRule type="cellIs" dxfId="1" priority="378" operator="equal">
      <formula>0</formula>
    </cfRule>
  </conditionalFormatting>
  <conditionalFormatting sqref="K199">
    <cfRule type="cellIs" dxfId="1" priority="406" operator="equal">
      <formula>0</formula>
    </cfRule>
  </conditionalFormatting>
  <conditionalFormatting sqref="K201">
    <cfRule type="cellIs" dxfId="1" priority="416" operator="equal">
      <formula>0</formula>
    </cfRule>
  </conditionalFormatting>
  <conditionalFormatting sqref="K202">
    <cfRule type="cellIs" dxfId="1" priority="420" operator="equal">
      <formula>0</formula>
    </cfRule>
  </conditionalFormatting>
  <conditionalFormatting sqref="K399">
    <cfRule type="expression" dxfId="0" priority="827">
      <formula>K400=0</formula>
    </cfRule>
  </conditionalFormatting>
  <conditionalFormatting sqref="K400">
    <cfRule type="cellIs" dxfId="1" priority="836" operator="equal">
      <formula>0</formula>
    </cfRule>
  </conditionalFormatting>
  <conditionalFormatting sqref="K402">
    <cfRule type="cellIs" dxfId="1" priority="844" operator="equal">
      <formula>0</formula>
    </cfRule>
  </conditionalFormatting>
  <conditionalFormatting sqref="K441">
    <cfRule type="expression" dxfId="0" priority="922">
      <formula>K442=0</formula>
    </cfRule>
  </conditionalFormatting>
  <conditionalFormatting sqref="K442">
    <cfRule type="cellIs" dxfId="1" priority="931" operator="equal">
      <formula>0</formula>
    </cfRule>
  </conditionalFormatting>
  <conditionalFormatting sqref="K444">
    <cfRule type="cellIs" dxfId="1" priority="940" operator="equal">
      <formula>0</formula>
    </cfRule>
  </conditionalFormatting>
  <conditionalFormatting sqref="K522">
    <cfRule type="expression" dxfId="0" priority="1064">
      <formula>K523=0</formula>
    </cfRule>
  </conditionalFormatting>
  <conditionalFormatting sqref="K523">
    <cfRule type="cellIs" dxfId="1" priority="1075" operator="equal">
      <formula>0</formula>
    </cfRule>
  </conditionalFormatting>
  <conditionalFormatting sqref="K526">
    <cfRule type="cellIs" dxfId="1" priority="1089" operator="equal">
      <formula>0</formula>
    </cfRule>
  </conditionalFormatting>
  <conditionalFormatting sqref="K550">
    <cfRule type="expression" dxfId="0" priority="1188">
      <formula>K551=0</formula>
    </cfRule>
  </conditionalFormatting>
  <conditionalFormatting sqref="K551">
    <cfRule type="cellIs" dxfId="1" priority="1198" operator="equal">
      <formula>0</formula>
    </cfRule>
  </conditionalFormatting>
  <conditionalFormatting sqref="K562">
    <cfRule type="cellIs" dxfId="1" priority="1221" operator="equal">
      <formula>0</formula>
    </cfRule>
  </conditionalFormatting>
  <conditionalFormatting sqref="K571">
    <cfRule type="cellIs" dxfId="1" priority="1236" operator="equal">
      <formula>0</formula>
    </cfRule>
  </conditionalFormatting>
  <conditionalFormatting sqref="K612">
    <cfRule type="expression" dxfId="0" priority="1294">
      <formula>K613=0</formula>
    </cfRule>
  </conditionalFormatting>
  <conditionalFormatting sqref="K613">
    <cfRule type="cellIs" dxfId="1" priority="1303" operator="equal">
      <formula>0</formula>
    </cfRule>
  </conditionalFormatting>
  <conditionalFormatting sqref="K616">
    <cfRule type="cellIs" dxfId="1" priority="1313" operator="equal">
      <formula>0</formula>
    </cfRule>
  </conditionalFormatting>
  <conditionalFormatting sqref="K75">
    <cfRule type="expression" dxfId="0" priority="87">
      <formula>K76=0</formula>
    </cfRule>
  </conditionalFormatting>
  <conditionalFormatting sqref="K76">
    <cfRule type="cellIs" dxfId="1" priority="97" operator="equal">
      <formula>0</formula>
    </cfRule>
  </conditionalFormatting>
  <conditionalFormatting sqref="K771">
    <cfRule type="expression" dxfId="0" priority="1634">
      <formula>K772=0</formula>
    </cfRule>
  </conditionalFormatting>
  <conditionalFormatting sqref="K772">
    <cfRule type="cellIs" dxfId="1" priority="1645" operator="equal">
      <formula>0</formula>
    </cfRule>
  </conditionalFormatting>
  <conditionalFormatting sqref="K776">
    <cfRule type="cellIs" dxfId="1" priority="1665" operator="equal">
      <formula>0</formula>
    </cfRule>
  </conditionalFormatting>
  <conditionalFormatting sqref="K778">
    <cfRule type="cellIs" dxfId="1" priority="1676" operator="equal">
      <formula>0</formula>
    </cfRule>
  </conditionalFormatting>
  <conditionalFormatting sqref="K786">
    <cfRule type="cellIs" dxfId="1" priority="1708" operator="equal">
      <formula>0</formula>
    </cfRule>
  </conditionalFormatting>
  <conditionalFormatting sqref="K79">
    <cfRule type="cellIs" dxfId="1" priority="112" operator="equal">
      <formula>0</formula>
    </cfRule>
  </conditionalFormatting>
  <conditionalFormatting sqref="K791">
    <cfRule type="cellIs" dxfId="1" priority="1734" operator="equal">
      <formula>0</formula>
    </cfRule>
  </conditionalFormatting>
  <conditionalFormatting sqref="K792">
    <cfRule type="cellIs" dxfId="1" priority="1737" operator="equal">
      <formula>0</formula>
    </cfRule>
  </conditionalFormatting>
  <conditionalFormatting sqref="K846">
    <cfRule type="expression" dxfId="0" priority="1819">
      <formula>K847=0</formula>
    </cfRule>
  </conditionalFormatting>
  <conditionalFormatting sqref="K847">
    <cfRule type="cellIs" dxfId="1" priority="1830" operator="equal">
      <formula>0</formula>
    </cfRule>
  </conditionalFormatting>
  <conditionalFormatting sqref="K854">
    <cfRule type="cellIs" dxfId="1" priority="1860" operator="equal">
      <formula>0</formula>
    </cfRule>
  </conditionalFormatting>
  <conditionalFormatting sqref="K882">
    <cfRule type="expression" dxfId="0" priority="1910">
      <formula>K883=0</formula>
    </cfRule>
  </conditionalFormatting>
  <conditionalFormatting sqref="K883">
    <cfRule type="cellIs" dxfId="1" priority="1919" operator="equal">
      <formula>0</formula>
    </cfRule>
  </conditionalFormatting>
  <conditionalFormatting sqref="K886">
    <cfRule type="cellIs" dxfId="1" priority="1932" operator="equal">
      <formula>0</formula>
    </cfRule>
  </conditionalFormatting>
  <conditionalFormatting sqref="L1323">
    <cfRule type="expression" dxfId="0" priority="2883">
      <formula>L1324=0</formula>
    </cfRule>
  </conditionalFormatting>
  <conditionalFormatting sqref="L1324">
    <cfRule type="cellIs" dxfId="1" priority="2893" operator="equal">
      <formula>0</formula>
    </cfRule>
  </conditionalFormatting>
  <conditionalFormatting sqref="L1329">
    <cfRule type="cellIs" dxfId="1" priority="2914" operator="equal">
      <formula>0</formula>
    </cfRule>
  </conditionalFormatting>
  <conditionalFormatting sqref="L1332">
    <cfRule type="cellIs" dxfId="1" priority="2928" operator="equal">
      <formula>0</formula>
    </cfRule>
  </conditionalFormatting>
  <conditionalFormatting sqref="L1336">
    <cfRule type="cellIs" dxfId="1" priority="2948" operator="equal">
      <formula>0</formula>
    </cfRule>
  </conditionalFormatting>
  <conditionalFormatting sqref="L1341">
    <cfRule type="cellIs" dxfId="1" priority="2972" operator="equal">
      <formula>0</formula>
    </cfRule>
  </conditionalFormatting>
  <conditionalFormatting sqref="L192">
    <cfRule type="expression" dxfId="0" priority="368">
      <formula>L193=0</formula>
    </cfRule>
  </conditionalFormatting>
  <conditionalFormatting sqref="L193">
    <cfRule type="cellIs" dxfId="1" priority="379" operator="equal">
      <formula>0</formula>
    </cfRule>
  </conditionalFormatting>
  <conditionalFormatting sqref="L199">
    <cfRule type="cellIs" dxfId="1" priority="407" operator="equal">
      <formula>0</formula>
    </cfRule>
  </conditionalFormatting>
  <conditionalFormatting sqref="L201">
    <cfRule type="cellIs" dxfId="1" priority="417" operator="equal">
      <formula>0</formula>
    </cfRule>
  </conditionalFormatting>
  <conditionalFormatting sqref="L202">
    <cfRule type="cellIs" dxfId="1" priority="421" operator="equal">
      <formula>0</formula>
    </cfRule>
  </conditionalFormatting>
  <conditionalFormatting sqref="L522">
    <cfRule type="expression" dxfId="0" priority="1065">
      <formula>L523=0</formula>
    </cfRule>
  </conditionalFormatting>
  <conditionalFormatting sqref="L523">
    <cfRule type="cellIs" dxfId="1" priority="1076" operator="equal">
      <formula>0</formula>
    </cfRule>
  </conditionalFormatting>
  <conditionalFormatting sqref="L526">
    <cfRule type="cellIs" dxfId="1" priority="1090" operator="equal">
      <formula>0</formula>
    </cfRule>
  </conditionalFormatting>
  <conditionalFormatting sqref="L550">
    <cfRule type="expression" dxfId="0" priority="1189">
      <formula>L551=0</formula>
    </cfRule>
  </conditionalFormatting>
  <conditionalFormatting sqref="L551">
    <cfRule type="cellIs" dxfId="1" priority="1199" operator="equal">
      <formula>0</formula>
    </cfRule>
  </conditionalFormatting>
  <conditionalFormatting sqref="L563">
    <cfRule type="cellIs" dxfId="1" priority="1222" operator="equal">
      <formula>0</formula>
    </cfRule>
  </conditionalFormatting>
  <conditionalFormatting sqref="L568">
    <cfRule type="cellIs" dxfId="1" priority="1230" operator="equal">
      <formula>0</formula>
    </cfRule>
  </conditionalFormatting>
  <conditionalFormatting sqref="L569">
    <cfRule type="cellIs" dxfId="1" priority="1232" operator="equal">
      <formula>0</formula>
    </cfRule>
  </conditionalFormatting>
  <conditionalFormatting sqref="L574">
    <cfRule type="cellIs" dxfId="1" priority="1242" operator="equal">
      <formula>0</formula>
    </cfRule>
  </conditionalFormatting>
  <conditionalFormatting sqref="L75">
    <cfRule type="expression" dxfId="0" priority="88">
      <formula>L76=0</formula>
    </cfRule>
  </conditionalFormatting>
  <conditionalFormatting sqref="L76">
    <cfRule type="cellIs" dxfId="1" priority="98" operator="equal">
      <formula>0</formula>
    </cfRule>
  </conditionalFormatting>
  <conditionalFormatting sqref="L77">
    <cfRule type="cellIs" dxfId="1" priority="103" operator="equal">
      <formula>0</formula>
    </cfRule>
  </conditionalFormatting>
  <conditionalFormatting sqref="L771">
    <cfRule type="expression" dxfId="0" priority="1635">
      <formula>L772=0</formula>
    </cfRule>
  </conditionalFormatting>
  <conditionalFormatting sqref="L772">
    <cfRule type="cellIs" dxfId="1" priority="1646" operator="equal">
      <formula>0</formula>
    </cfRule>
  </conditionalFormatting>
  <conditionalFormatting sqref="L776">
    <cfRule type="cellIs" dxfId="1" priority="1666" operator="equal">
      <formula>0</formula>
    </cfRule>
  </conditionalFormatting>
  <conditionalFormatting sqref="L781">
    <cfRule type="cellIs" dxfId="1" priority="1690" operator="equal">
      <formula>0</formula>
    </cfRule>
  </conditionalFormatting>
  <conditionalFormatting sqref="L786">
    <cfRule type="cellIs" dxfId="1" priority="1709" operator="equal">
      <formula>0</formula>
    </cfRule>
  </conditionalFormatting>
  <conditionalFormatting sqref="L787">
    <cfRule type="cellIs" dxfId="1" priority="1714" operator="equal">
      <formula>0</formula>
    </cfRule>
  </conditionalFormatting>
  <conditionalFormatting sqref="L846">
    <cfRule type="expression" dxfId="0" priority="1820">
      <formula>L847=0</formula>
    </cfRule>
  </conditionalFormatting>
  <conditionalFormatting sqref="L847">
    <cfRule type="cellIs" dxfId="1" priority="1831" operator="equal">
      <formula>0</formula>
    </cfRule>
  </conditionalFormatting>
  <conditionalFormatting sqref="L854">
    <cfRule type="cellIs" dxfId="1" priority="1861" operator="equal">
      <formula>0</formula>
    </cfRule>
  </conditionalFormatting>
  <conditionalFormatting sqref="M192">
    <cfRule type="expression" dxfId="0" priority="369">
      <formula>M193=0</formula>
    </cfRule>
  </conditionalFormatting>
  <conditionalFormatting sqref="M193">
    <cfRule type="cellIs" dxfId="1" priority="380" operator="equal">
      <formula>0</formula>
    </cfRule>
  </conditionalFormatting>
  <conditionalFormatting sqref="M207">
    <cfRule type="cellIs" dxfId="1" priority="443" operator="equal">
      <formula>0</formula>
    </cfRule>
  </conditionalFormatting>
  <conditionalFormatting sqref="M211">
    <cfRule type="cellIs" dxfId="1" priority="456" operator="equal">
      <formula>0</formula>
    </cfRule>
  </conditionalFormatting>
  <conditionalFormatting sqref="M522">
    <cfRule type="expression" dxfId="0" priority="1066">
      <formula>M523=0</formula>
    </cfRule>
  </conditionalFormatting>
  <conditionalFormatting sqref="M523">
    <cfRule type="cellIs" dxfId="1" priority="1077" operator="equal">
      <formula>0</formula>
    </cfRule>
  </conditionalFormatting>
  <conditionalFormatting sqref="M529">
    <cfRule type="cellIs" dxfId="1" priority="1101" operator="equal">
      <formula>0</formula>
    </cfRule>
  </conditionalFormatting>
  <conditionalFormatting sqref="M771">
    <cfRule type="expression" dxfId="0" priority="1636">
      <formula>M772=0</formula>
    </cfRule>
  </conditionalFormatting>
  <conditionalFormatting sqref="M772">
    <cfRule type="cellIs" dxfId="1" priority="1647" operator="equal">
      <formula>0</formula>
    </cfRule>
  </conditionalFormatting>
  <conditionalFormatting sqref="M792">
    <cfRule type="cellIs" dxfId="1" priority="1738" operator="equal">
      <formula>0</formula>
    </cfRule>
  </conditionalFormatting>
  <conditionalFormatting sqref="M846">
    <cfRule type="expression" dxfId="0" priority="1821">
      <formula>M847=0</formula>
    </cfRule>
  </conditionalFormatting>
  <conditionalFormatting sqref="M847">
    <cfRule type="cellIs" dxfId="1" priority="1832" operator="equal">
      <formula>0</formula>
    </cfRule>
  </conditionalFormatting>
  <conditionalFormatting sqref="M850">
    <cfRule type="cellIs" dxfId="1" priority="1844" operator="equal">
      <formula>0</formula>
    </cfRule>
  </conditionalFormatting>
  <hyperlinks>
    <hyperlink ref="B3" r:id="rId1"/>
    <hyperlink ref="B4" r:id="rId2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7"/>
  <sheetViews>
    <sheetView workbookViewId="0"/>
  </sheetViews>
  <sheetFormatPr defaultRowHeight="15"/>
  <cols>
    <col min="1" max="1" width="25.42578125" bestFit="1" customWidth="1"/>
    <col min="2" max="2" width="3" bestFit="1" customWidth="1"/>
    <col min="5" max="5" width="60.7109375" bestFit="1" customWidth="1"/>
  </cols>
  <sheetData>
    <row r="1" spans="1:5">
      <c r="A1" t="s">
        <v>22</v>
      </c>
      <c r="B1">
        <v>-1</v>
      </c>
      <c r="E1" s="9" t="s">
        <v>139</v>
      </c>
    </row>
    <row r="2" spans="1:5">
      <c r="A2" t="s">
        <v>144</v>
      </c>
      <c r="B2">
        <v>-1</v>
      </c>
      <c r="E2" t="s">
        <v>140</v>
      </c>
    </row>
    <row r="3" spans="1:5">
      <c r="A3" t="s">
        <v>50</v>
      </c>
      <c r="B3">
        <v>-1</v>
      </c>
      <c r="E3" t="s">
        <v>141</v>
      </c>
    </row>
    <row r="4" spans="1:5">
      <c r="A4" t="s">
        <v>18</v>
      </c>
      <c r="B4">
        <v>-1</v>
      </c>
      <c r="E4" t="s">
        <v>142</v>
      </c>
    </row>
    <row r="5" spans="1:5">
      <c r="A5" t="s">
        <v>69</v>
      </c>
      <c r="B5">
        <v>-1</v>
      </c>
      <c r="E5" t="s">
        <v>143</v>
      </c>
    </row>
    <row r="6" spans="1:5">
      <c r="A6" t="s">
        <v>36</v>
      </c>
      <c r="B6">
        <v>-1</v>
      </c>
    </row>
    <row r="7" spans="1:5">
      <c r="A7" t="s">
        <v>95</v>
      </c>
      <c r="B7">
        <v>-1</v>
      </c>
    </row>
    <row r="8" spans="1:5">
      <c r="A8" t="s">
        <v>76</v>
      </c>
      <c r="B8">
        <v>-1</v>
      </c>
    </row>
    <row r="9" spans="1:5">
      <c r="A9" t="s">
        <v>107</v>
      </c>
      <c r="B9">
        <v>-1</v>
      </c>
    </row>
    <row r="10" spans="1:5">
      <c r="A10" t="s">
        <v>77</v>
      </c>
      <c r="B10">
        <v>-1</v>
      </c>
    </row>
    <row r="11" spans="1:5">
      <c r="A11" t="s">
        <v>37</v>
      </c>
      <c r="B11">
        <v>-1</v>
      </c>
    </row>
    <row r="12" spans="1:5">
      <c r="A12" t="s">
        <v>51</v>
      </c>
      <c r="B12">
        <v>-1</v>
      </c>
    </row>
    <row r="13" spans="1:5">
      <c r="A13" t="s">
        <v>85</v>
      </c>
      <c r="B13">
        <v>-1</v>
      </c>
    </row>
    <row r="14" spans="1:5">
      <c r="A14" t="s">
        <v>86</v>
      </c>
      <c r="B14">
        <v>-1</v>
      </c>
    </row>
    <row r="15" spans="1:5">
      <c r="A15" t="s">
        <v>55</v>
      </c>
      <c r="B15">
        <v>-1</v>
      </c>
    </row>
    <row r="16" spans="1:5">
      <c r="A16" t="s">
        <v>56</v>
      </c>
      <c r="B16">
        <v>-1</v>
      </c>
    </row>
    <row r="17" spans="1:2">
      <c r="A17" t="s">
        <v>100</v>
      </c>
      <c r="B17">
        <v>-1</v>
      </c>
    </row>
    <row r="18" spans="1:2">
      <c r="A18" t="s">
        <v>38</v>
      </c>
      <c r="B18">
        <v>-1</v>
      </c>
    </row>
    <row r="19" spans="1:2">
      <c r="A19" t="s">
        <v>101</v>
      </c>
      <c r="B19">
        <v>-1</v>
      </c>
    </row>
    <row r="20" spans="1:2">
      <c r="A20" t="s">
        <v>29</v>
      </c>
      <c r="B20">
        <v>-1</v>
      </c>
    </row>
    <row r="21" spans="1:2">
      <c r="A21" t="s">
        <v>82</v>
      </c>
      <c r="B21">
        <v>-1</v>
      </c>
    </row>
    <row r="22" spans="1:2">
      <c r="A22" t="s">
        <v>39</v>
      </c>
      <c r="B22">
        <v>-1</v>
      </c>
    </row>
    <row r="23" spans="1:2">
      <c r="A23" t="s">
        <v>59</v>
      </c>
      <c r="B23">
        <v>-1</v>
      </c>
    </row>
    <row r="24" spans="1:2">
      <c r="A24" t="s">
        <v>60</v>
      </c>
      <c r="B24">
        <v>-1</v>
      </c>
    </row>
    <row r="25" spans="1:2">
      <c r="A25" t="s">
        <v>80</v>
      </c>
      <c r="B25">
        <v>-1</v>
      </c>
    </row>
    <row r="26" spans="1:2">
      <c r="A26" t="s">
        <v>96</v>
      </c>
      <c r="B26">
        <v>-1</v>
      </c>
    </row>
    <row r="27" spans="1:2">
      <c r="A27" t="s">
        <v>62</v>
      </c>
      <c r="B27">
        <v>-1</v>
      </c>
    </row>
    <row r="28" spans="1:2">
      <c r="A28" t="s">
        <v>70</v>
      </c>
      <c r="B28">
        <v>-1</v>
      </c>
    </row>
    <row r="29" spans="1:2">
      <c r="A29" t="s">
        <v>19</v>
      </c>
      <c r="B29">
        <v>-1</v>
      </c>
    </row>
    <row r="30" spans="1:2">
      <c r="A30" t="s">
        <v>87</v>
      </c>
      <c r="B30">
        <v>-1</v>
      </c>
    </row>
    <row r="31" spans="1:2">
      <c r="A31" t="s">
        <v>20</v>
      </c>
      <c r="B31">
        <v>-1</v>
      </c>
    </row>
    <row r="32" spans="1:2">
      <c r="A32" t="s">
        <v>102</v>
      </c>
      <c r="B32">
        <v>-1</v>
      </c>
    </row>
    <row r="33" spans="1:2">
      <c r="A33" t="s">
        <v>53</v>
      </c>
      <c r="B33">
        <v>-1</v>
      </c>
    </row>
    <row r="34" spans="1:2">
      <c r="A34" t="s">
        <v>117</v>
      </c>
      <c r="B34">
        <v>-1</v>
      </c>
    </row>
    <row r="35" spans="1:2">
      <c r="A35" t="s">
        <v>97</v>
      </c>
      <c r="B35">
        <v>-1</v>
      </c>
    </row>
    <row r="36" spans="1:2">
      <c r="A36" t="s">
        <v>112</v>
      </c>
      <c r="B36">
        <v>-1</v>
      </c>
    </row>
    <row r="37" spans="1:2">
      <c r="A37" t="s">
        <v>91</v>
      </c>
      <c r="B37">
        <v>-1</v>
      </c>
    </row>
    <row r="38" spans="1:2">
      <c r="A38" t="s">
        <v>83</v>
      </c>
      <c r="B38">
        <v>-1</v>
      </c>
    </row>
    <row r="39" spans="1:2">
      <c r="A39" t="s">
        <v>57</v>
      </c>
      <c r="B39">
        <v>-1</v>
      </c>
    </row>
    <row r="40" spans="1:2">
      <c r="A40" t="s">
        <v>145</v>
      </c>
      <c r="B40">
        <v>-1</v>
      </c>
    </row>
    <row r="41" spans="1:2">
      <c r="A41" t="s">
        <v>98</v>
      </c>
      <c r="B41">
        <v>-1</v>
      </c>
    </row>
    <row r="42" spans="1:2">
      <c r="A42" t="s">
        <v>40</v>
      </c>
      <c r="B42">
        <v>-1</v>
      </c>
    </row>
    <row r="43" spans="1:2">
      <c r="A43" t="s">
        <v>88</v>
      </c>
      <c r="B43">
        <v>-1</v>
      </c>
    </row>
    <row r="44" spans="1:2">
      <c r="A44" t="s">
        <v>78</v>
      </c>
      <c r="B44">
        <v>-1</v>
      </c>
    </row>
    <row r="45" spans="1:2">
      <c r="A45" t="s">
        <v>120</v>
      </c>
      <c r="B45">
        <v>-1</v>
      </c>
    </row>
    <row r="46" spans="1:2">
      <c r="A46" t="s">
        <v>118</v>
      </c>
      <c r="B46">
        <v>-1</v>
      </c>
    </row>
    <row r="47" spans="1:2">
      <c r="A47" t="s">
        <v>75</v>
      </c>
      <c r="B47">
        <v>-1</v>
      </c>
    </row>
    <row r="48" spans="1:2">
      <c r="A48" t="s">
        <v>89</v>
      </c>
      <c r="B48">
        <v>-1</v>
      </c>
    </row>
    <row r="49" spans="1:2">
      <c r="A49" t="s">
        <v>21</v>
      </c>
      <c r="B49">
        <v>-1</v>
      </c>
    </row>
    <row r="50" spans="1:2">
      <c r="A50" t="s">
        <v>41</v>
      </c>
      <c r="B50">
        <v>-1</v>
      </c>
    </row>
    <row r="51" spans="1:2">
      <c r="A51" t="s">
        <v>42</v>
      </c>
      <c r="B51">
        <v>-1</v>
      </c>
    </row>
    <row r="52" spans="1:2">
      <c r="A52" t="s">
        <v>71</v>
      </c>
      <c r="B52">
        <v>-1</v>
      </c>
    </row>
    <row r="53" spans="1:2">
      <c r="A53" t="s">
        <v>49</v>
      </c>
      <c r="B53">
        <v>-1</v>
      </c>
    </row>
    <row r="54" spans="1:2">
      <c r="A54" t="s">
        <v>92</v>
      </c>
      <c r="B54">
        <v>-1</v>
      </c>
    </row>
    <row r="55" spans="1:2">
      <c r="A55" t="s">
        <v>72</v>
      </c>
      <c r="B55">
        <v>-1</v>
      </c>
    </row>
    <row r="56" spans="1:2">
      <c r="A56" t="s">
        <v>73</v>
      </c>
      <c r="B56">
        <v>-1</v>
      </c>
    </row>
    <row r="57" spans="1:2">
      <c r="A57" t="s">
        <v>58</v>
      </c>
      <c r="B57">
        <v>-1</v>
      </c>
    </row>
    <row r="58" spans="1:2">
      <c r="A58" t="s">
        <v>52</v>
      </c>
      <c r="B58">
        <v>-1</v>
      </c>
    </row>
    <row r="59" spans="1:2">
      <c r="A59" t="s">
        <v>74</v>
      </c>
      <c r="B59">
        <v>-1</v>
      </c>
    </row>
    <row r="60" spans="1:2">
      <c r="A60" t="s">
        <v>113</v>
      </c>
      <c r="B60">
        <v>-1</v>
      </c>
    </row>
    <row r="61" spans="1:2">
      <c r="A61" t="s">
        <v>43</v>
      </c>
      <c r="B61">
        <v>-1</v>
      </c>
    </row>
    <row r="62" spans="1:2">
      <c r="A62" t="s">
        <v>146</v>
      </c>
      <c r="B62">
        <v>-1</v>
      </c>
    </row>
    <row r="63" spans="1:2">
      <c r="A63" t="s">
        <v>90</v>
      </c>
      <c r="B63">
        <v>-1</v>
      </c>
    </row>
    <row r="64" spans="1:2">
      <c r="A64" t="s">
        <v>93</v>
      </c>
      <c r="B64">
        <v>-1</v>
      </c>
    </row>
    <row r="65" spans="1:2">
      <c r="A65" t="s">
        <v>84</v>
      </c>
      <c r="B65">
        <v>-1</v>
      </c>
    </row>
    <row r="66" spans="1:2">
      <c r="A66" t="s">
        <v>44</v>
      </c>
      <c r="B66">
        <v>-1</v>
      </c>
    </row>
    <row r="67" spans="1:2">
      <c r="A67" t="s">
        <v>61</v>
      </c>
      <c r="B67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equipment</vt:lpstr>
      <vt:lpstr>characters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2025-02-03T19:00:44Z</dcterms:created>
  <dcterms:modified xsi:type="dcterms:W3CDTF">2025-02-03T19:00:44Z</dcterms:modified>
</cp:coreProperties>
</file>